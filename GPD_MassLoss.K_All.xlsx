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suprod-my.sharepoint.com/personal/hrush4_kent_edu/Documents/Desktop/Manuscripts/Chapter 2 - GPD/Data/"/>
    </mc:Choice>
  </mc:AlternateContent>
  <xr:revisionPtr revIDLastSave="48" documentId="8_{0A0D586A-4187-4C44-8EF8-2B8E9AF34C07}" xr6:coauthVersionLast="47" xr6:coauthVersionMax="47" xr10:uidLastSave="{61660368-D22D-48F2-82B2-85138FBBDE6D}"/>
  <bookViews>
    <workbookView xWindow="-108" yWindow="-108" windowWidth="23256" windowHeight="13896" activeTab="1" xr2:uid="{3EA66EB2-5C09-43C2-952E-3ACDF990B3E0}"/>
  </bookViews>
  <sheets>
    <sheet name="Sheet1" sheetId="1" r:id="rId1"/>
    <sheet name="Sheet2" sheetId="2" r:id="rId2"/>
  </sheet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2" i="1"/>
</calcChain>
</file>

<file path=xl/sharedStrings.xml><?xml version="1.0" encoding="utf-8"?>
<sst xmlns="http://schemas.openxmlformats.org/spreadsheetml/2006/main" count="2888" uniqueCount="53">
  <si>
    <t>Bag#</t>
  </si>
  <si>
    <t>Park</t>
  </si>
  <si>
    <t>Habitat</t>
  </si>
  <si>
    <t>Species</t>
  </si>
  <si>
    <t>Rep</t>
  </si>
  <si>
    <t>Mesh</t>
  </si>
  <si>
    <t>Month</t>
  </si>
  <si>
    <t>Wet(g)</t>
  </si>
  <si>
    <t>MoisturePerc</t>
  </si>
  <si>
    <t>PercMassLoss</t>
  </si>
  <si>
    <t>k</t>
  </si>
  <si>
    <t>PercCarb</t>
  </si>
  <si>
    <t>PercNit</t>
  </si>
  <si>
    <t>PercProtein</t>
  </si>
  <si>
    <t>HH</t>
  </si>
  <si>
    <t>Upland</t>
  </si>
  <si>
    <t>Pin</t>
  </si>
  <si>
    <t>C</t>
  </si>
  <si>
    <t>Lowland</t>
  </si>
  <si>
    <t>Red</t>
  </si>
  <si>
    <t>SB</t>
  </si>
  <si>
    <t>BC</t>
  </si>
  <si>
    <t>F</t>
  </si>
  <si>
    <t>?</t>
  </si>
  <si>
    <t>BCLP2</t>
  </si>
  <si>
    <t>BCLP5</t>
  </si>
  <si>
    <t>BCLR4</t>
  </si>
  <si>
    <t>BCUP1</t>
  </si>
  <si>
    <t>BCUR2</t>
  </si>
  <si>
    <t>BCUR4</t>
  </si>
  <si>
    <t>HCLP3</t>
  </si>
  <si>
    <t>HCLP4</t>
  </si>
  <si>
    <t>SCUR4</t>
  </si>
  <si>
    <t>HFLR4</t>
  </si>
  <si>
    <t>HFLR5</t>
  </si>
  <si>
    <t>BCLR2</t>
  </si>
  <si>
    <t>BCUP4</t>
  </si>
  <si>
    <t>BCUPR2</t>
  </si>
  <si>
    <t>HCLP2</t>
  </si>
  <si>
    <t>HCLR2</t>
  </si>
  <si>
    <t>HCLR3</t>
  </si>
  <si>
    <t>HCUR4</t>
  </si>
  <si>
    <t>HFLR2</t>
  </si>
  <si>
    <t>HFLP3</t>
  </si>
  <si>
    <t>HFLP4</t>
  </si>
  <si>
    <t>SFLP5</t>
  </si>
  <si>
    <t>HFUR4</t>
  </si>
  <si>
    <t>InitialDry</t>
  </si>
  <si>
    <t>FinalDry</t>
  </si>
  <si>
    <t>Row Labels</t>
  </si>
  <si>
    <t>Grand Total</t>
  </si>
  <si>
    <t>Average of PercCarb</t>
  </si>
  <si>
    <t>Average of PercNit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</si>
</sst>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5E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/>
    <xf numFmtId="0" fontId="1" fillId="0" borderId="0" xfId="0" applyFont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5E2"/>
      <color rgb="FFFFFF99"/>
      <color rgb="FFFFFF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lee Rush" refreshedDate="46085.530703935183" createdVersion="8" refreshedVersion="8" minRefreshableVersion="3" recordCount="710" xr:uid="{35E0AAC8-2C94-4106-A61D-9E24EC975808}">
  <cacheSource type="worksheet">
    <worksheetSource ref="A1:P711" sheet="Sheet1"/>
  </cacheSource>
  <cacheFields count="16">
    <cacheField name="Bag#" numFmtId="0">
      <sharedItems containsMixedTypes="1" containsNumber="1" containsInteger="1" minValue="2" maxValue="720"/>
    </cacheField>
    <cacheField name="Park" numFmtId="0">
      <sharedItems/>
    </cacheField>
    <cacheField name="Habitat" numFmtId="0">
      <sharedItems/>
    </cacheField>
    <cacheField name="Species" numFmtId="0">
      <sharedItems count="2">
        <s v="Pin"/>
        <s v="Red"/>
      </sharedItems>
    </cacheField>
    <cacheField name="Rep" numFmtId="0">
      <sharedItems containsBlank="1" containsMixedTypes="1" containsNumber="1" containsInteger="1" minValue="1" maxValue="5"/>
    </cacheField>
    <cacheField name="Mesh" numFmtId="0">
      <sharedItems count="2">
        <s v="C"/>
        <s v="F"/>
      </sharedItems>
    </cacheField>
    <cacheField name="Month" numFmtId="0">
      <sharedItems containsSemiMixedTypes="0" containsString="0" containsNumber="1" containsInteger="1" minValue="1" maxValue="18" count="6">
        <n v="1"/>
        <n v="2"/>
        <n v="3"/>
        <n v="6"/>
        <n v="12"/>
        <n v="18"/>
      </sharedItems>
    </cacheField>
    <cacheField name="Wet(g)" numFmtId="0">
      <sharedItems containsSemiMixedTypes="0" containsString="0" containsNumber="1" minValue="0.79100000000000004" maxValue="83847"/>
    </cacheField>
    <cacheField name="MoisturePerc" numFmtId="0">
      <sharedItems containsSemiMixedTypes="0" containsString="0" containsNumber="1" minValue="4.6045058378556192" maxValue="99.993526423127847"/>
    </cacheField>
    <cacheField name="InitialDry" numFmtId="0">
      <sharedItems containsSemiMixedTypes="0" containsString="0" containsNumber="1" minValue="6.06" maxValue="7.5099999999999989"/>
    </cacheField>
    <cacheField name="FinalDry" numFmtId="0">
      <sharedItems containsSemiMixedTypes="0" containsString="0" containsNumber="1" minValue="0.60399999999999998" maxValue="6.5389999999999997"/>
    </cacheField>
    <cacheField name="PercMassLoss" numFmtId="0">
      <sharedItems containsSemiMixedTypes="0" containsString="0" containsNumber="1" minValue="1.306930693069295" maxValue="91.383737517831662"/>
    </cacheField>
    <cacheField name="k" numFmtId="0">
      <sharedItems containsSemiMixedTypes="0" containsString="0" containsNumber="1" minValue="1.3155461802116337E-2" maxValue="5.3418905399899854"/>
    </cacheField>
    <cacheField name="PercCarb" numFmtId="0">
      <sharedItems containsString="0" containsBlank="1" containsNumber="1" minValue="27.36" maxValue="49.9"/>
    </cacheField>
    <cacheField name="PercNit" numFmtId="0">
      <sharedItems containsString="0" containsBlank="1" containsNumber="1" minValue="0.54900000000000004" maxValue="3.5539999999999998"/>
    </cacheField>
    <cacheField name="PercProtein" numFmtId="0">
      <sharedItems containsString="0" containsBlank="1" containsNumber="1" minValue="3.4289999999999998" maxValue="22.213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0">
  <r>
    <n v="2"/>
    <s v="HH"/>
    <s v="Upland"/>
    <x v="0"/>
    <n v="3"/>
    <x v="0"/>
    <x v="0"/>
    <n v="22.623000000000001"/>
    <n v="73.526941608097957"/>
    <n v="6.99"/>
    <n v="5.9889999999999999"/>
    <n v="14.320457796852651"/>
    <n v="0.15455610296339356"/>
    <n v="48.46"/>
    <n v="0.90400000000000003"/>
    <n v="5.6509999999999998"/>
  </r>
  <r>
    <n v="5"/>
    <s v="HH"/>
    <s v="Lowland"/>
    <x v="0"/>
    <n v="4"/>
    <x v="0"/>
    <x v="0"/>
    <n v="21.009"/>
    <n v="70.91246608596316"/>
    <n v="7.02"/>
    <n v="6.1109999999999998"/>
    <n v="12.948717948717947"/>
    <n v="0.13867279212494127"/>
    <n v="48.08"/>
    <n v="0.92100000000000004"/>
    <n v="5.7569999999999997"/>
  </r>
  <r>
    <n v="10"/>
    <s v="HH"/>
    <s v="Lowland"/>
    <x v="0"/>
    <n v="3"/>
    <x v="0"/>
    <x v="0"/>
    <n v="22.902999999999999"/>
    <n v="73.042832816661573"/>
    <n v="6.95"/>
    <n v="6.1740000000000004"/>
    <n v="11.165467625899279"/>
    <n v="0.11839473349673311"/>
    <n v="48.4"/>
    <n v="0.94099999999999995"/>
    <n v="5.8819999999999997"/>
  </r>
  <r>
    <n v="17"/>
    <s v="HH"/>
    <s v="Lowland"/>
    <x v="0"/>
    <n v="1"/>
    <x v="0"/>
    <x v="0"/>
    <n v="22.751000000000001"/>
    <n v="72.853940486132487"/>
    <n v="7.02"/>
    <n v="6.1760000000000002"/>
    <n v="12.022792022792016"/>
    <n v="0.12809240531524463"/>
    <n v="47.83"/>
    <n v="0.88900000000000001"/>
    <n v="5.556"/>
  </r>
  <r>
    <n v="19"/>
    <s v="HH"/>
    <s v="Upland"/>
    <x v="0"/>
    <n v="1"/>
    <x v="0"/>
    <x v="0"/>
    <n v="23.952000000000002"/>
    <n v="73.910320641282567"/>
    <n v="7.08"/>
    <n v="6.2489999999999997"/>
    <n v="11.737288135593225"/>
    <n v="0.12485245675868384"/>
    <n v="48.01"/>
    <n v="0.83899999999999997"/>
    <n v="5.242"/>
  </r>
  <r>
    <n v="26"/>
    <s v="HH"/>
    <s v="Lowland"/>
    <x v="0"/>
    <n v="2"/>
    <x v="0"/>
    <x v="0"/>
    <n v="23.552"/>
    <n v="74.061650815217376"/>
    <n v="6.9799999999999995"/>
    <n v="6.109"/>
    <n v="12.47851002865329"/>
    <n v="0.13328582310665113"/>
    <n v="48.69"/>
    <n v="1.02"/>
    <n v="6.375"/>
  </r>
  <r>
    <n v="36"/>
    <s v="HH"/>
    <s v="Upland"/>
    <x v="0"/>
    <n v="4"/>
    <x v="0"/>
    <x v="0"/>
    <n v="20.486999999999998"/>
    <n v="71.850441743544692"/>
    <n v="7"/>
    <n v="5.7670000000000003"/>
    <n v="17.61428571428571"/>
    <n v="0.19375813442203763"/>
    <n v="48.08"/>
    <n v="0.92200000000000004"/>
    <n v="5.7619999999999996"/>
  </r>
  <r>
    <n v="38"/>
    <s v="HH"/>
    <s v="Upland"/>
    <x v="0"/>
    <n v="2"/>
    <x v="0"/>
    <x v="0"/>
    <n v="21.471"/>
    <n v="71.678077406734658"/>
    <n v="7.03"/>
    <n v="6.0810000000000004"/>
    <n v="13.499288762446653"/>
    <n v="0.1450175496846009"/>
    <n v="48.01"/>
    <n v="0.88600000000000001"/>
    <n v="5.5389999999999997"/>
  </r>
  <r>
    <n v="43"/>
    <s v="HH"/>
    <s v="Lowland"/>
    <x v="0"/>
    <n v="5"/>
    <x v="0"/>
    <x v="0"/>
    <n v="25.106999999999999"/>
    <n v="76.675827458477713"/>
    <n v="7.0600000000000005"/>
    <n v="5.8559999999999999"/>
    <n v="17.053824362606239"/>
    <n v="0.18697827484614038"/>
    <n v="48.09"/>
    <n v="0.90700000000000003"/>
    <n v="5.67"/>
  </r>
  <r>
    <n v="51"/>
    <s v="HH"/>
    <s v="Upland"/>
    <x v="0"/>
    <n v="5"/>
    <x v="0"/>
    <x v="0"/>
    <n v="23.167000000000002"/>
    <n v="73.798938144774894"/>
    <n v="7"/>
    <n v="6.07"/>
    <n v="13.285714285714281"/>
    <n v="0.14255154398390632"/>
    <n v="48.48"/>
    <n v="0.877"/>
    <n v="5.4809999999999999"/>
  </r>
  <r>
    <n v="125"/>
    <s v="HH"/>
    <s v="Lowland"/>
    <x v="1"/>
    <n v="3"/>
    <x v="0"/>
    <x v="0"/>
    <n v="25.106999999999999"/>
    <n v="76.345242362687699"/>
    <n v="7.01"/>
    <n v="5.9390000000000001"/>
    <n v="15.278174037089867"/>
    <n v="0.16579693201277548"/>
    <n v="47.26"/>
    <n v="0.73199999999999998"/>
    <n v="4.577"/>
  </r>
  <r>
    <n v="127"/>
    <s v="HH"/>
    <s v="Lowland"/>
    <x v="1"/>
    <n v="1"/>
    <x v="0"/>
    <x v="0"/>
    <n v="17.065999999999999"/>
    <n v="63.418492909879291"/>
    <n v="7.03"/>
    <n v="6.2430000000000003"/>
    <n v="11.194879089615931"/>
    <n v="0.11872586974296642"/>
    <n v="47.83"/>
    <n v="0.54900000000000004"/>
    <n v="3.4289999999999998"/>
  </r>
  <r>
    <n v="132"/>
    <s v="HH"/>
    <s v="Upland"/>
    <x v="1"/>
    <n v="4"/>
    <x v="0"/>
    <x v="0"/>
    <n v="25.042999999999999"/>
    <n v="75.378349239308378"/>
    <n v="7.05"/>
    <n v="6.1660000000000004"/>
    <n v="12.539007092198574"/>
    <n v="0.13397728736021858"/>
    <n v="48.54"/>
    <n v="0.69299999999999995"/>
    <n v="4.3310000000000004"/>
  </r>
  <r>
    <n v="138"/>
    <s v="HH"/>
    <s v="Lowland"/>
    <x v="1"/>
    <n v="4"/>
    <x v="0"/>
    <x v="0"/>
    <n v="22.42"/>
    <n v="72.604817127564687"/>
    <n v="6.99"/>
    <n v="6.1420000000000003"/>
    <n v="12.131616595135906"/>
    <n v="0.12933013422708825"/>
    <n v="48.17"/>
    <n v="0.71699999999999997"/>
    <n v="4.4800000000000004"/>
  </r>
  <r>
    <n v="151"/>
    <s v="HH"/>
    <s v="Upland"/>
    <x v="1"/>
    <n v="1"/>
    <x v="0"/>
    <x v="0"/>
    <n v="22.975000000000001"/>
    <n v="73.140369967355824"/>
    <n v="6.98"/>
    <n v="6.1710000000000003"/>
    <n v="11.590257879656161"/>
    <n v="0.12318801743535132"/>
    <n v="48.21"/>
    <n v="0.67100000000000004"/>
    <n v="4.1950000000000003"/>
  </r>
  <r>
    <n v="156"/>
    <s v="HH"/>
    <s v="Upland"/>
    <x v="1"/>
    <n v="5"/>
    <x v="0"/>
    <x v="0"/>
    <n v="22.917000000000002"/>
    <n v="73.910197669852082"/>
    <n v="6.99"/>
    <n v="5.9790000000000001"/>
    <n v="14.463519313304724"/>
    <n v="0.15622722634695149"/>
    <n v="47.6"/>
    <n v="0.83"/>
    <n v="5.1849999999999996"/>
  </r>
  <r>
    <n v="164"/>
    <s v="HH"/>
    <s v="Upland"/>
    <x v="1"/>
    <n v="2"/>
    <x v="0"/>
    <x v="0"/>
    <n v="20.623999999999999"/>
    <n v="69.724592707525218"/>
    <n v="7.09"/>
    <n v="6.2439999999999998"/>
    <n v="11.932299012693937"/>
    <n v="0.1270643378908505"/>
    <n v="47.87"/>
    <n v="0.80900000000000005"/>
    <n v="5.0570000000000004"/>
  </r>
  <r>
    <n v="165"/>
    <s v="HH"/>
    <s v="Upland"/>
    <x v="1"/>
    <n v="3"/>
    <x v="0"/>
    <x v="0"/>
    <n v="19.972999999999999"/>
    <n v="70.364992740199256"/>
    <n v="6.97"/>
    <n v="5.9189999999999996"/>
    <n v="15.078909612625541"/>
    <n v="0.16344770906384462"/>
    <n v="48.02"/>
    <n v="0.73199999999999998"/>
    <n v="4.5780000000000003"/>
  </r>
  <r>
    <n v="170"/>
    <s v="HH"/>
    <s v="Lowland"/>
    <x v="1"/>
    <n v="1"/>
    <x v="0"/>
    <x v="0"/>
    <n v="22.440999999999999"/>
    <n v="72.55915511786462"/>
    <n v="7.05"/>
    <n v="6.1580000000000004"/>
    <n v="12.65248226950354"/>
    <n v="0.13527556732186857"/>
    <n v="48.2"/>
    <n v="0.72899999999999998"/>
    <n v="4.5549999999999997"/>
  </r>
  <r>
    <n v="172"/>
    <s v="HH"/>
    <s v="Lowland"/>
    <x v="1"/>
    <n v="2"/>
    <x v="0"/>
    <x v="0"/>
    <n v="21.731000000000002"/>
    <n v="71.938705075698323"/>
    <n v="7"/>
    <n v="6.0979999999999999"/>
    <n v="12.885714285714286"/>
    <n v="0.1379493004892503"/>
    <n v="48.59"/>
    <n v="0.66400000000000003"/>
    <n v="4.1479999999999997"/>
  </r>
  <r>
    <n v="251"/>
    <s v="SB"/>
    <s v="Upland"/>
    <x v="0"/>
    <n v="5"/>
    <x v="0"/>
    <x v="0"/>
    <n v="36.487299999999998"/>
    <n v="83.962639055232913"/>
    <n v="6.9600000000000009"/>
    <n v="5.8516000000000004"/>
    <n v="15.925287356321844"/>
    <n v="0.17346434622453441"/>
    <n v="47.89"/>
    <n v="1.1859999999999999"/>
    <n v="7.4119999999999999"/>
  </r>
  <r>
    <n v="263"/>
    <s v="SB"/>
    <s v="Upland"/>
    <x v="0"/>
    <n v="4"/>
    <x v="0"/>
    <x v="0"/>
    <n v="36.5548"/>
    <n v="83.298773348506899"/>
    <n v="7.07"/>
    <n v="6.1051000000000002"/>
    <n v="13.647807637906647"/>
    <n v="0.1467359924635844"/>
    <n v="48.39"/>
    <n v="1.32"/>
    <n v="8.2509999999999994"/>
  </r>
  <r>
    <n v="264"/>
    <s v="SB"/>
    <s v="Upland"/>
    <x v="0"/>
    <n v="3"/>
    <x v="0"/>
    <x v="0"/>
    <n v="33.957999999999998"/>
    <n v="82.810530655515635"/>
    <n v="6.9499999999999993"/>
    <n v="5.8372000000000002"/>
    <n v="16.011510791366895"/>
    <n v="0.17449042976524706"/>
    <n v="48.52"/>
    <n v="1.0449999999999999"/>
    <n v="6.5289999999999999"/>
  </r>
  <r>
    <n v="267"/>
    <s v="SB"/>
    <s v="Lowland"/>
    <x v="0"/>
    <n v="3"/>
    <x v="0"/>
    <x v="0"/>
    <n v="35.299799999999998"/>
    <n v="82.844095433968462"/>
    <n v="7.08"/>
    <n v="6.056"/>
    <n v="14.463276836158192"/>
    <n v="0.15622439157048071"/>
    <n v="48.66"/>
    <n v="1.3120000000000001"/>
    <n v="8.1999999999999993"/>
  </r>
  <r>
    <n v="271"/>
    <s v="SB"/>
    <s v="Lowland"/>
    <x v="0"/>
    <n v="5"/>
    <x v="0"/>
    <x v="0"/>
    <n v="32.6357"/>
    <n v="81.813167788648627"/>
    <n v="6.99"/>
    <n v="5.9353999999999996"/>
    <n v="15.087267525035774"/>
    <n v="0.16354613365649776"/>
    <n v="48.39"/>
    <n v="1.111"/>
    <n v="6.9420000000000002"/>
  </r>
  <r>
    <n v="277"/>
    <s v="SB"/>
    <s v="Lowland"/>
    <x v="0"/>
    <n v="2"/>
    <x v="0"/>
    <x v="0"/>
    <n v="32.385199999999998"/>
    <n v="81.993626718377527"/>
    <n v="6.96"/>
    <n v="5.8314000000000004"/>
    <n v="16.215517241379303"/>
    <n v="0.17692236559098537"/>
    <n v="47.68"/>
    <n v="1.054"/>
    <n v="6.5869999999999997"/>
  </r>
  <r>
    <n v="283"/>
    <s v="SB"/>
    <s v="Upland"/>
    <x v="0"/>
    <n v="2"/>
    <x v="0"/>
    <x v="0"/>
    <n v="37.941099999999999"/>
    <n v="84.488852458152238"/>
    <n v="7.02"/>
    <n v="5.8851000000000004"/>
    <n v="16.166666666666654"/>
    <n v="0.17633948511640699"/>
    <n v="48.1"/>
    <n v="1.1639999999999999"/>
    <n v="7.2759999999999998"/>
  </r>
  <r>
    <n v="288"/>
    <s v="SB"/>
    <s v="Lowland"/>
    <x v="0"/>
    <n v="4"/>
    <x v="0"/>
    <x v="0"/>
    <n v="35.551200000000001"/>
    <n v="83.814329755395036"/>
    <n v="7"/>
    <n v="5.7542"/>
    <n v="17.797142857142859"/>
    <n v="0.1959801261010983"/>
    <n v="48.96"/>
    <n v="1.2589999999999999"/>
    <n v="7.8710000000000004"/>
  </r>
  <r>
    <n v="296"/>
    <s v="SB"/>
    <s v="Upland"/>
    <x v="0"/>
    <n v="1"/>
    <x v="0"/>
    <x v="0"/>
    <n v="32.920999999999999"/>
    <n v="82.413049421341995"/>
    <n v="6.8999999999999995"/>
    <n v="5.7897999999999996"/>
    <n v="16.08985507246377"/>
    <n v="0.17542366292924433"/>
    <n v="48.15"/>
    <n v="1.081"/>
    <n v="6.7539999999999996"/>
  </r>
  <r>
    <n v="297"/>
    <s v="SB"/>
    <s v="Upland"/>
    <x v="0"/>
    <n v="1"/>
    <x v="0"/>
    <x v="0"/>
    <n v="37.179400000000001"/>
    <n v="84.256873429910101"/>
    <n v="6.92"/>
    <n v="5.8532000000000002"/>
    <n v="15.416184971098263"/>
    <n v="0.16742724939344383"/>
    <n v="48.25"/>
    <n v="1.1160000000000001"/>
    <n v="6.9740000000000002"/>
  </r>
  <r>
    <n v="361"/>
    <s v="SB"/>
    <s v="Upland"/>
    <x v="1"/>
    <n v="5"/>
    <x v="0"/>
    <x v="0"/>
    <n v="30.854700000000001"/>
    <n v="80.457434361701772"/>
    <n v="7.08"/>
    <n v="6.0297999999999998"/>
    <n v="14.833333333333337"/>
    <n v="0.16056006501244191"/>
    <n v="47.37"/>
    <n v="0.71299999999999997"/>
    <n v="4.4539999999999997"/>
  </r>
  <r>
    <n v="368"/>
    <s v="SB"/>
    <s v="Lowland"/>
    <x v="1"/>
    <n v="5"/>
    <x v="0"/>
    <x v="0"/>
    <n v="24.490500000000001"/>
    <n v="76.432085910863407"/>
    <n v="6.94"/>
    <n v="5.7718999999999996"/>
    <n v="16.831412103746406"/>
    <n v="0.18430045877449375"/>
    <n v="48.9"/>
    <n v="0.68"/>
    <n v="4.2489999999999997"/>
  </r>
  <r>
    <n v="373"/>
    <s v="SB"/>
    <s v="Upland"/>
    <x v="1"/>
    <n v="2"/>
    <x v="0"/>
    <x v="0"/>
    <n v="22.206099999999999"/>
    <n v="74.11522059253987"/>
    <n v="6.98"/>
    <n v="5.7480000000000002"/>
    <n v="17.650429799426938"/>
    <n v="0.19419694855750264"/>
    <n v="48.34"/>
    <n v="0.80200000000000005"/>
    <n v="5.0119999999999996"/>
  </r>
  <r>
    <n v="375"/>
    <s v="SB"/>
    <s v="Lowland"/>
    <x v="1"/>
    <n v="4"/>
    <x v="0"/>
    <x v="0"/>
    <n v="28.273700000000002"/>
    <n v="21.117858646020856"/>
    <n v="6.99"/>
    <n v="5.9707999999999997"/>
    <n v="14.580829756795429"/>
    <n v="0.15759963446877145"/>
    <n v="48.43"/>
    <n v="0.872"/>
    <n v="5.4509999999999996"/>
  </r>
  <r>
    <n v="378"/>
    <s v="SB"/>
    <s v="Upland"/>
    <x v="1"/>
    <n v="3"/>
    <x v="0"/>
    <x v="0"/>
    <n v="24.304500000000001"/>
    <n v="75.392211318891569"/>
    <n v="6.06"/>
    <n v="5.9808000000000003"/>
    <n v="1.306930693069295"/>
    <n v="1.3155461802116337E-2"/>
    <n v="48.61"/>
    <n v="0.67300000000000004"/>
    <n v="4.2039999999999997"/>
  </r>
  <r>
    <n v="384"/>
    <s v="SB"/>
    <s v="Lowland"/>
    <x v="1"/>
    <n v="3"/>
    <x v="0"/>
    <x v="0"/>
    <n v="22.343"/>
    <n v="73.5420489638813"/>
    <n v="6.97"/>
    <n v="5.9115000000000002"/>
    <n v="15.186513629842175"/>
    <n v="0.16471561845140148"/>
    <n v="47.48"/>
    <n v="0.84"/>
    <n v="5.2519999999999998"/>
  </r>
  <r>
    <n v="395"/>
    <s v="SB"/>
    <s v="Lowland"/>
    <x v="1"/>
    <n v="2"/>
    <x v="0"/>
    <x v="0"/>
    <n v="25.083500000000001"/>
    <n v="76.325871588893108"/>
    <n v="7.02"/>
    <n v="5.9382999999999999"/>
    <n v="15.408831908831905"/>
    <n v="0.16734032091104797"/>
    <n v="47.57"/>
    <n v="0.747"/>
    <n v="4.6719999999999997"/>
  </r>
  <r>
    <n v="403"/>
    <s v="SB"/>
    <s v="Upland"/>
    <x v="1"/>
    <n v="1"/>
    <x v="0"/>
    <x v="0"/>
    <n v="27.4483"/>
    <n v="79.06573448993197"/>
    <n v="6.96"/>
    <n v="5.7461000000000002"/>
    <n v="17.441091954022987"/>
    <n v="0.19165811052959941"/>
    <n v="47.04"/>
    <n v="0.85299999999999998"/>
    <n v="5.3289999999999997"/>
  </r>
  <r>
    <n v="408"/>
    <s v="SB"/>
    <s v="Upland"/>
    <x v="1"/>
    <n v="4"/>
    <x v="0"/>
    <x v="0"/>
    <n v="21.4681"/>
    <n v="72.400911119288608"/>
    <n v="6.93"/>
    <n v="5.9249999999999998"/>
    <n v="14.502164502164502"/>
    <n v="0.15667912618061702"/>
    <n v="47.99"/>
    <n v="0.79700000000000004"/>
    <n v="4.9829999999999997"/>
  </r>
  <r>
    <n v="415"/>
    <s v="SB"/>
    <s v="Upland"/>
    <x v="1"/>
    <n v="1"/>
    <x v="0"/>
    <x v="0"/>
    <n v="24.71"/>
    <n v="75.662889518413607"/>
    <n v="7.05"/>
    <n v="6.0137"/>
    <n v="14.69929078014184"/>
    <n v="0.15898741710699013"/>
    <n v="47.89"/>
    <n v="0.56999999999999995"/>
    <n v="3.56"/>
  </r>
  <r>
    <n v="489"/>
    <s v="BC"/>
    <s v="Upland"/>
    <x v="0"/>
    <n v="4"/>
    <x v="0"/>
    <x v="0"/>
    <n v="31.959"/>
    <n v="18.504959479332893"/>
    <n v="6.91"/>
    <n v="5.9139999999999997"/>
    <n v="14.413892908827791"/>
    <n v="0.15564721634929318"/>
    <n v="48.34"/>
    <n v="0.75800000000000001"/>
    <n v="4.74"/>
  </r>
  <r>
    <n v="497"/>
    <s v="BC"/>
    <s v="Lowland"/>
    <x v="0"/>
    <n v="4"/>
    <x v="0"/>
    <x v="0"/>
    <n v="28.12"/>
    <n v="21.070412517780937"/>
    <n v="7.03"/>
    <n v="5.9249999999999998"/>
    <n v="15.718349928876249"/>
    <n v="0.17100601880137875"/>
    <n v="49.01"/>
    <n v="0.77400000000000002"/>
    <n v="4.835"/>
  </r>
  <r>
    <n v="498"/>
    <s v="BC"/>
    <s v="Lowland"/>
    <x v="0"/>
    <n v="2"/>
    <x v="0"/>
    <x v="0"/>
    <n v="24.141999999999999"/>
    <n v="23.249937867616605"/>
    <n v="6.9"/>
    <n v="5.6130000000000004"/>
    <n v="18.652173913043477"/>
    <n v="0.20643607564315145"/>
    <n v="48.64"/>
    <n v="0.72299999999999998"/>
    <n v="4.5170000000000003"/>
  </r>
  <r>
    <n v="507"/>
    <s v="BC"/>
    <s v="Upland"/>
    <x v="0"/>
    <n v="1"/>
    <x v="0"/>
    <x v="0"/>
    <n v="23.687000000000001"/>
    <n v="24.967281631274535"/>
    <n v="7.01"/>
    <n v="5.9139999999999997"/>
    <n v="15.634807417974326"/>
    <n v="0.17001527961621332"/>
    <n v="48.37"/>
    <n v="0.752"/>
    <n v="4.702"/>
  </r>
  <r>
    <n v="508"/>
    <s v="BC"/>
    <s v="Lowland"/>
    <x v="0"/>
    <n v="1"/>
    <x v="0"/>
    <x v="0"/>
    <n v="21.074000000000002"/>
    <n v="27.778305020404286"/>
    <n v="7.08"/>
    <n v="5.8540000000000001"/>
    <n v="17.316384180790962"/>
    <n v="0.19014871943593423"/>
    <n v="47.75"/>
    <n v="0.90300000000000002"/>
    <n v="5.6429999999999998"/>
  </r>
  <r>
    <n v="514"/>
    <s v="BC"/>
    <s v="Lowland"/>
    <x v="0"/>
    <n v="3"/>
    <x v="0"/>
    <x v="0"/>
    <n v="36.938000000000002"/>
    <n v="15.344631544750662"/>
    <n v="6.92"/>
    <n v="5.6680000000000001"/>
    <n v="18.092485549132945"/>
    <n v="0.19957944780114412"/>
    <n v="49.1"/>
    <n v="0.60399999999999998"/>
    <n v="3.7730000000000001"/>
  </r>
  <r>
    <n v="517"/>
    <s v="BC"/>
    <s v="Upland"/>
    <x v="0"/>
    <n v="2"/>
    <x v="0"/>
    <x v="0"/>
    <n v="27.510999999999999"/>
    <n v="21.40961797099342"/>
    <n v="7.02"/>
    <n v="5.89"/>
    <n v="16.096866096866098"/>
    <n v="0.17550722037422434"/>
    <n v="48.54"/>
    <n v="0.8"/>
    <n v="4.9989999999999997"/>
  </r>
  <r>
    <n v="528"/>
    <s v="BC"/>
    <s v="Upland"/>
    <x v="0"/>
    <n v="5"/>
    <x v="0"/>
    <x v="0"/>
    <n v="28.091000000000001"/>
    <n v="22.327435833540992"/>
    <n v="7.06"/>
    <n v="6.2720000000000002"/>
    <n v="11.161473087818688"/>
    <n v="0.11834976845704386"/>
    <n v="48.47"/>
    <n v="0.94299999999999995"/>
    <n v="5.8959999999999999"/>
  </r>
  <r>
    <n v="531"/>
    <s v="BC"/>
    <s v="Upland"/>
    <x v="0"/>
    <n v="3"/>
    <x v="0"/>
    <x v="0"/>
    <n v="19.359000000000002"/>
    <n v="31.365256469858977"/>
    <n v="7.01"/>
    <n v="6.0720000000000001"/>
    <n v="13.380884450784588"/>
    <n v="0.14364966095316989"/>
    <n v="48.01"/>
    <n v="0.85599999999999998"/>
    <n v="5.3470000000000004"/>
  </r>
  <r>
    <n v="532"/>
    <s v="BC"/>
    <s v="Lowland"/>
    <x v="0"/>
    <n v="5"/>
    <x v="0"/>
    <x v="0"/>
    <n v="29.29"/>
    <n v="20.669170365312397"/>
    <n v="7"/>
    <n v="6.0540000000000003"/>
    <n v="13.514285714285709"/>
    <n v="0.14519093845578637"/>
    <n v="47.45"/>
    <n v="0.872"/>
    <n v="5.45"/>
  </r>
  <r>
    <n v="601"/>
    <s v="BC"/>
    <s v="Lowland"/>
    <x v="1"/>
    <n v="4"/>
    <x v="0"/>
    <x v="0"/>
    <n v="18.712"/>
    <n v="26.678067550235145"/>
    <n v="6.99"/>
    <n v="4.992"/>
    <n v="28.583690987124466"/>
    <n v="0.33664392517859237"/>
    <n v="47"/>
    <n v="2.266"/>
    <n v="14.164999999999999"/>
  </r>
  <r>
    <n v="603"/>
    <s v="BC"/>
    <s v="Upland"/>
    <x v="1"/>
    <n v="2"/>
    <x v="0"/>
    <x v="0"/>
    <n v="31.292000000000002"/>
    <n v="16.748689760961266"/>
    <n v="7.05"/>
    <n v="5.2409999999999997"/>
    <n v="25.659574468085111"/>
    <n v="0.29651529700414814"/>
    <n v="48.81"/>
    <n v="2.3559999999999999"/>
    <n v="14.727"/>
  </r>
  <r>
    <n v="607"/>
    <s v="BC"/>
    <s v="Lowland"/>
    <x v="1"/>
    <n v="2"/>
    <x v="0"/>
    <x v="0"/>
    <n v="23.422000000000001"/>
    <n v="22.060455981555801"/>
    <n v="6.92"/>
    <n v="5.1669999999999998"/>
    <n v="25.332369942196532"/>
    <n v="0.29212352032453065"/>
    <n v="47.94"/>
    <n v="2.1869999999999998"/>
    <n v="13.672000000000001"/>
  </r>
  <r>
    <n v="620"/>
    <s v="BC"/>
    <s v="Lowland"/>
    <x v="1"/>
    <n v="1"/>
    <x v="0"/>
    <x v="0"/>
    <n v="27.097999999999999"/>
    <n v="21.617831574285926"/>
    <n v="7.07"/>
    <n v="5.8579999999999997"/>
    <n v="17.142857142857153"/>
    <n v="0.18805223150293973"/>
    <n v="48.09"/>
    <n v="0.80400000000000005"/>
    <n v="5.0259999999999998"/>
  </r>
  <r>
    <n v="622"/>
    <s v="BC"/>
    <s v="Lowland"/>
    <x v="1"/>
    <n v="3"/>
    <x v="0"/>
    <x v="0"/>
    <n v="35.853999999999999"/>
    <n v="16.265967535003067"/>
    <n v="6.98"/>
    <n v="5.8319999999999999"/>
    <n v="16.44699140401147"/>
    <n v="0.17968892206792417"/>
    <n v="47.69"/>
    <n v="0.80600000000000005"/>
    <n v="5.0350000000000001"/>
  </r>
  <r>
    <n v="624"/>
    <s v="BC"/>
    <s v="Upland"/>
    <x v="1"/>
    <n v="1"/>
    <x v="0"/>
    <x v="0"/>
    <n v="23.481999999999999"/>
    <n v="24.993612128438805"/>
    <n v="7"/>
    <n v="5.8689999999999998"/>
    <n v="16.157142857142862"/>
    <n v="0.17622588747911588"/>
    <n v="48.32"/>
    <n v="0.86699999999999999"/>
    <n v="5.4210000000000003"/>
  </r>
  <r>
    <n v="629"/>
    <s v="BC"/>
    <s v="Lowland"/>
    <x v="1"/>
    <n v="5"/>
    <x v="0"/>
    <x v="0"/>
    <n v="21.82"/>
    <n v="27.108157653528874"/>
    <n v="6.93"/>
    <n v="5.915"/>
    <n v="14.646464646464644"/>
    <n v="0.15836831577146171"/>
    <n v="48.59"/>
    <n v="0.66800000000000004"/>
    <n v="4.173"/>
  </r>
  <r>
    <n v="637"/>
    <s v="BC"/>
    <s v="Upland"/>
    <x v="1"/>
    <n v="4"/>
    <x v="0"/>
    <x v="0"/>
    <n v="27.923999999999999"/>
    <n v="18.557513250250683"/>
    <n v="6.99"/>
    <n v="5.1820000000000004"/>
    <n v="25.865522174535048"/>
    <n v="0.29928947410580065"/>
    <n v="49.08"/>
    <n v="1.589"/>
    <n v="9.93"/>
  </r>
  <r>
    <n v="643"/>
    <s v="BC"/>
    <s v="Upland"/>
    <x v="1"/>
    <n v="5"/>
    <x v="0"/>
    <x v="0"/>
    <n v="18.286000000000001"/>
    <n v="33.074483211199826"/>
    <n v="6.91"/>
    <n v="6.048"/>
    <n v="12.474674384949349"/>
    <n v="0.13324199890234664"/>
    <n v="48.81"/>
    <n v="1.097"/>
    <n v="6.8579999999999997"/>
  </r>
  <r>
    <n v="647"/>
    <s v="BC"/>
    <s v="Upland"/>
    <x v="1"/>
    <n v="3"/>
    <x v="0"/>
    <x v="0"/>
    <n v="23.213999999999999"/>
    <n v="24.02860342896528"/>
    <n v="6.96"/>
    <n v="5.5780000000000003"/>
    <n v="19.856321839080454"/>
    <n v="0.22134918514103108"/>
    <n v="48.17"/>
    <n v="1.796"/>
    <n v="11.225"/>
  </r>
  <r>
    <n v="70"/>
    <s v="HH"/>
    <s v="Upland"/>
    <x v="0"/>
    <n v="5"/>
    <x v="1"/>
    <x v="0"/>
    <n v="18.289000000000001"/>
    <n v="66.455246322926357"/>
    <n v="7.01"/>
    <n v="6.1349999999999998"/>
    <n v="12.482168330955778"/>
    <n v="0.13332762288362399"/>
    <n v="48.51"/>
    <n v="0.90200000000000002"/>
    <n v="5.6369999999999996"/>
  </r>
  <r>
    <n v="73"/>
    <s v="HH"/>
    <s v="Lowland"/>
    <x v="0"/>
    <n v="5"/>
    <x v="1"/>
    <x v="0"/>
    <n v="20.222000000000001"/>
    <n v="69.968351300563754"/>
    <n v="6.98"/>
    <n v="6.0730000000000004"/>
    <n v="12.994269340974213"/>
    <n v="0.13919619985884277"/>
    <n v="46.65"/>
    <n v="1.073"/>
    <n v="6.7080000000000002"/>
  </r>
  <r>
    <n v="80"/>
    <s v="HH"/>
    <s v="Upland"/>
    <x v="0"/>
    <n v="4"/>
    <x v="1"/>
    <x v="0"/>
    <n v="21.581"/>
    <n v="72.364579954589686"/>
    <n v="6.97"/>
    <n v="5.9640000000000004"/>
    <n v="14.433285509325671"/>
    <n v="0.15587382786994047"/>
    <n v="48.62"/>
    <n v="0.91500000000000004"/>
    <n v="5.7190000000000003"/>
  </r>
  <r>
    <n v="83"/>
    <s v="HH"/>
    <s v="Lowland"/>
    <x v="0"/>
    <n v="4"/>
    <x v="1"/>
    <x v="0"/>
    <n v="21.952000000000002"/>
    <n v="72.972849854227405"/>
    <n v="7"/>
    <n v="5.9329999999999998"/>
    <n v="15.242857142857144"/>
    <n v="0.16538016177880716"/>
    <n v="48"/>
    <n v="0.82699999999999996"/>
    <n v="5.17"/>
  </r>
  <r>
    <n v="92"/>
    <s v="HH"/>
    <s v="Lowland"/>
    <x v="0"/>
    <n v="2"/>
    <x v="1"/>
    <x v="0"/>
    <n v="8.6419999999999995"/>
    <n v="30.571626938208745"/>
    <n v="6.98"/>
    <n v="6"/>
    <n v="14.040114613180521"/>
    <n v="0.15128944754622617"/>
    <n v="48.12"/>
    <n v="1.0189999999999999"/>
    <n v="6.367"/>
  </r>
  <r>
    <n v="94"/>
    <s v="HH"/>
    <s v="Lowland"/>
    <x v="0"/>
    <n v="1"/>
    <x v="1"/>
    <x v="0"/>
    <n v="23.768000000000001"/>
    <n v="74.68024234264557"/>
    <n v="7.05"/>
    <n v="6.0179999999999998"/>
    <n v="14.638297872340425"/>
    <n v="0.15827263861632376"/>
    <n v="47.64"/>
    <n v="1.117"/>
    <n v="6.9809999999999999"/>
  </r>
  <r>
    <n v="98"/>
    <s v="HH"/>
    <s v="Lowland"/>
    <x v="0"/>
    <n v="3"/>
    <x v="1"/>
    <x v="0"/>
    <n v="18.914000000000001"/>
    <n v="69.186845722745062"/>
    <n v="7"/>
    <n v="5.8280000000000003"/>
    <n v="16.74285714285714"/>
    <n v="0.18323626072235483"/>
    <n v="48.31"/>
    <n v="1.0549999999999999"/>
    <n v="6.5940000000000003"/>
  </r>
  <r>
    <n v="105"/>
    <s v="HH"/>
    <s v="Upland"/>
    <x v="0"/>
    <n v="3"/>
    <x v="1"/>
    <x v="0"/>
    <n v="16.603999999999999"/>
    <n v="64.12912551192484"/>
    <n v="6.98"/>
    <n v="5.9560000000000004"/>
    <n v="14.670487106017191"/>
    <n v="0.15864980195251857"/>
    <n v="47.44"/>
    <n v="0.98799999999999999"/>
    <n v="6.1769999999999996"/>
  </r>
  <r>
    <n v="107"/>
    <s v="HH"/>
    <s v="Upland"/>
    <x v="0"/>
    <n v="1"/>
    <x v="1"/>
    <x v="0"/>
    <n v="27.981000000000002"/>
    <n v="79.271648618705541"/>
    <n v="6.97"/>
    <n v="5.8"/>
    <n v="16.786226685796269"/>
    <n v="0.18375730722005884"/>
    <n v="48.22"/>
    <n v="0.90300000000000002"/>
    <n v="5.6459999999999999"/>
  </r>
  <r>
    <n v="108"/>
    <s v="HH"/>
    <s v="Upland"/>
    <x v="0"/>
    <n v="2"/>
    <x v="1"/>
    <x v="0"/>
    <n v="20.465"/>
    <n v="70.965062301490349"/>
    <n v="7.04"/>
    <n v="5.9420000000000002"/>
    <n v="15.596590909090907"/>
    <n v="0.16956239312953506"/>
    <n v="47.37"/>
    <n v="1.0209999999999999"/>
    <n v="6.3810000000000002"/>
  </r>
  <r>
    <n v="190"/>
    <s v="HH"/>
    <s v="Upland"/>
    <x v="1"/>
    <n v="4"/>
    <x v="1"/>
    <x v="0"/>
    <n v="19.683"/>
    <n v="69.567647208250776"/>
    <n v="7.03"/>
    <n v="5.99"/>
    <n v="14.793741109530584"/>
    <n v="0.1600952936952155"/>
    <n v="47.61"/>
    <n v="0.71399999999999997"/>
    <n v="4.4630000000000001"/>
  </r>
  <r>
    <n v="192"/>
    <s v="HH"/>
    <s v="Lowland"/>
    <x v="1"/>
    <n v="5"/>
    <x v="1"/>
    <x v="0"/>
    <n v="17.946999999999999"/>
    <n v="66.646236139744801"/>
    <n v="6.98"/>
    <n v="5.9859999999999998"/>
    <n v="14.240687679083102"/>
    <n v="0.15362550734377409"/>
    <n v="48.72"/>
    <n v="0.68600000000000005"/>
    <n v="4.2859999999999996"/>
  </r>
  <r>
    <n v="196"/>
    <s v="HH"/>
    <s v="Lowland"/>
    <x v="1"/>
    <n v="3"/>
    <x v="1"/>
    <x v="0"/>
    <n v="17.068999999999999"/>
    <n v="64.22754701505653"/>
    <n v="7.04"/>
    <n v="6.1059999999999999"/>
    <n v="13.267045454545457"/>
    <n v="0.14233627585726494"/>
    <n v="48.02"/>
    <n v="0.69899999999999995"/>
    <n v="4.3680000000000003"/>
  </r>
  <r>
    <n v="198"/>
    <s v="HH"/>
    <s v="Upland"/>
    <x v="1"/>
    <n v="5"/>
    <x v="1"/>
    <x v="0"/>
    <n v="15.196"/>
    <n v="60.851539878915503"/>
    <n v="6.96"/>
    <n v="5.9489999999999998"/>
    <n v="14.52586206896552"/>
    <n v="0.15695633614055973"/>
    <n v="47.45"/>
    <n v="0.68400000000000005"/>
    <n v="4.2729999999999997"/>
  </r>
  <r>
    <n v="209"/>
    <s v="HH"/>
    <s v="Lowland"/>
    <x v="1"/>
    <n v="1"/>
    <x v="1"/>
    <x v="0"/>
    <n v="20.204999999999998"/>
    <n v="70.106409304627576"/>
    <n v="6.95"/>
    <n v="6.04"/>
    <n v="13.093525179856117"/>
    <n v="0.14033764762997716"/>
    <n v="47.32"/>
    <n v="0.62"/>
    <n v="3.8769999999999998"/>
  </r>
  <r>
    <n v="211"/>
    <s v="HH"/>
    <s v="Upland"/>
    <x v="1"/>
    <n v="2"/>
    <x v="1"/>
    <x v="0"/>
    <n v="17.018999999999998"/>
    <n v="64.140078735530864"/>
    <n v="7.07"/>
    <n v="6.1029999999999998"/>
    <n v="13.677510608203686"/>
    <n v="0.14708002634612352"/>
    <n v="47.89"/>
    <n v="0.90400000000000003"/>
    <n v="5.6479999999999997"/>
  </r>
  <r>
    <n v="212"/>
    <s v="HH"/>
    <s v="Lowland"/>
    <x v="1"/>
    <n v="4"/>
    <x v="1"/>
    <x v="0"/>
    <n v="23.971"/>
    <n v="75.411956113637302"/>
    <n v="6.95"/>
    <n v="5.8940000000000001"/>
    <n v="15.194244604316548"/>
    <n v="0.16480677526119775"/>
    <n v="47.93"/>
    <n v="0.81200000000000006"/>
    <n v="5.077"/>
  </r>
  <r>
    <n v="222"/>
    <s v="HH"/>
    <s v="Upland"/>
    <x v="1"/>
    <n v="3"/>
    <x v="1"/>
    <x v="0"/>
    <n v="15.645"/>
    <n v="61.035474592521567"/>
    <n v="7.04"/>
    <n v="6.0960000000000001"/>
    <n v="13.40909090909091"/>
    <n v="0.14397535178560583"/>
    <n v="47.85"/>
    <n v="0.92300000000000004"/>
    <n v="5.7709999999999999"/>
  </r>
  <r>
    <n v="231"/>
    <s v="HH"/>
    <s v="Upland"/>
    <x v="1"/>
    <n v="1"/>
    <x v="1"/>
    <x v="0"/>
    <n v="23.359000000000002"/>
    <n v="74.656449334303687"/>
    <n v="6.94"/>
    <n v="5.92"/>
    <n v="14.697406340057642"/>
    <n v="0.15896532562279886"/>
    <n v="47.35"/>
    <n v="0.67300000000000004"/>
    <n v="4.2080000000000002"/>
  </r>
  <r>
    <n v="238"/>
    <s v="HH"/>
    <s v="Lowland"/>
    <x v="1"/>
    <n v="2"/>
    <x v="1"/>
    <x v="0"/>
    <n v="21.952000000000002"/>
    <n v="72.872631195335273"/>
    <n v="7"/>
    <n v="5.9550000000000001"/>
    <n v="14.928571428571427"/>
    <n v="0.16167894624804982"/>
    <n v="47.99"/>
    <n v="0.77"/>
    <n v="4.8150000000000004"/>
  </r>
  <r>
    <n v="302"/>
    <s v="SB"/>
    <s v="Upland"/>
    <x v="0"/>
    <n v="2"/>
    <x v="1"/>
    <x v="0"/>
    <n v="27.716000000000001"/>
    <n v="76.944725068552458"/>
    <n v="7.02"/>
    <n v="6.39"/>
    <n v="8.9743589743589727"/>
    <n v="9.4028949648276336E-2"/>
    <n v="48.4"/>
    <n v="1.097"/>
    <n v="6.8559999999999999"/>
  </r>
  <r>
    <n v="307"/>
    <s v="SB"/>
    <s v="Upland"/>
    <x v="0"/>
    <n v="4"/>
    <x v="1"/>
    <x v="0"/>
    <n v="28.766999999999999"/>
    <n v="78.45100288525046"/>
    <n v="7"/>
    <n v="6.1989999999999998"/>
    <n v="11.442857142857145"/>
    <n v="0.12152216033553097"/>
    <n v="48.31"/>
    <n v="1.3069999999999999"/>
    <n v="8.1669999999999998"/>
  </r>
  <r>
    <n v="308"/>
    <s v="SB"/>
    <s v="Upland"/>
    <x v="0"/>
    <n v="1"/>
    <x v="1"/>
    <x v="0"/>
    <n v="24.562999999999999"/>
    <n v="74.64071978178562"/>
    <n v="7.03"/>
    <n v="6.2290000000000001"/>
    <n v="11.394025604551922"/>
    <n v="0.12097089955056514"/>
    <n v="48.51"/>
    <n v="1.2909999999999999"/>
    <n v="8.07"/>
  </r>
  <r>
    <n v="309"/>
    <s v="SB"/>
    <s v="Lowland"/>
    <x v="0"/>
    <n v="4"/>
    <x v="1"/>
    <x v="0"/>
    <n v="23.59"/>
    <n v="73.162356930902931"/>
    <n v="6.98"/>
    <n v="6.3310000000000004"/>
    <n v="9.2979942693409736"/>
    <n v="9.7590715212291582E-2"/>
    <n v="48.03"/>
    <n v="1.1950000000000001"/>
    <n v="7.4720000000000004"/>
  </r>
  <r>
    <n v="330"/>
    <s v="SB"/>
    <s v="Lowland"/>
    <x v="0"/>
    <n v="1"/>
    <x v="1"/>
    <x v="0"/>
    <n v="26.466999999999999"/>
    <n v="76.415914157252416"/>
    <n v="7"/>
    <n v="6.242"/>
    <n v="10.828571428571429"/>
    <n v="0.11460950520672565"/>
    <n v="47.99"/>
    <n v="1.4930000000000001"/>
    <n v="9.3309999999999995"/>
  </r>
  <r>
    <n v="342"/>
    <s v="SB"/>
    <s v="Lowland"/>
    <x v="0"/>
    <n v="3"/>
    <x v="1"/>
    <x v="0"/>
    <n v="22.521000000000001"/>
    <n v="71.910661160694474"/>
    <n v="7.03"/>
    <n v="6.3259999999999996"/>
    <n v="10.014224751066864"/>
    <n v="0.10551858093911658"/>
    <n v="48.38"/>
    <n v="0.83399999999999996"/>
    <n v="5.2119999999999997"/>
  </r>
  <r>
    <n v="344"/>
    <s v="SB"/>
    <s v="Upland"/>
    <x v="0"/>
    <n v="3"/>
    <x v="1"/>
    <x v="0"/>
    <n v="22.056000000000001"/>
    <n v="71.563293434893012"/>
    <n v="7.03"/>
    <n v="6.2720000000000002"/>
    <n v="10.782361308677098"/>
    <n v="0.11409142277446685"/>
    <n v="47.72"/>
    <n v="0.98899999999999999"/>
    <n v="6.1779999999999999"/>
  </r>
  <r>
    <n v="349"/>
    <s v="SB"/>
    <s v="Lowland"/>
    <x v="0"/>
    <n v="5"/>
    <x v="1"/>
    <x v="0"/>
    <n v="25.251999999999999"/>
    <n v="75.130682718200532"/>
    <n v="7.05"/>
    <n v="6.28"/>
    <n v="10.921985815602831"/>
    <n v="0.11565763634406991"/>
    <n v="48.01"/>
    <n v="1.131"/>
    <n v="7.0679999999999996"/>
  </r>
  <r>
    <n v="357"/>
    <s v="SB"/>
    <s v="Upland"/>
    <x v="0"/>
    <n v="5"/>
    <x v="1"/>
    <x v="0"/>
    <n v="27.899000000000001"/>
    <n v="77.594179002831638"/>
    <n v="6.97"/>
    <n v="6.2510000000000003"/>
    <n v="10.315638450502144"/>
    <n v="0.10887377382275709"/>
    <n v="49.9"/>
    <n v="0.84899999999999998"/>
    <n v="5.3090000000000002"/>
  </r>
  <r>
    <n v="359"/>
    <s v="SB"/>
    <s v="Lowland"/>
    <x v="0"/>
    <n v="2"/>
    <x v="1"/>
    <x v="0"/>
    <n v="22.178999999999998"/>
    <n v="72.230488299743001"/>
    <n v="6.95"/>
    <n v="6.1589999999999998"/>
    <n v="11.381294964028783"/>
    <n v="0.12082723287179467"/>
    <n v="48.02"/>
    <n v="0.82499999999999996"/>
    <n v="5.1539999999999999"/>
  </r>
  <r>
    <n v="421"/>
    <s v="SB"/>
    <s v="Lowland"/>
    <x v="1"/>
    <n v="3"/>
    <x v="1"/>
    <x v="0"/>
    <n v="15.962999999999999"/>
    <n v="60.18292300945938"/>
    <n v="6.92"/>
    <n v="6.3559999999999999"/>
    <n v="8.1502890173410414"/>
    <n v="8.5016520955108643E-2"/>
    <n v="47.45"/>
    <n v="0.84399999999999997"/>
    <n v="5.2729999999999997"/>
  </r>
  <r>
    <n v="428"/>
    <s v="SB"/>
    <s v="Upland"/>
    <x v="1"/>
    <n v="2"/>
    <x v="1"/>
    <x v="0"/>
    <n v="17.213000000000001"/>
    <n v="62.807180619299366"/>
    <n v="7.02"/>
    <n v="6.4020000000000001"/>
    <n v="8.8034188034187952"/>
    <n v="9.2152776490048341E-2"/>
    <n v="47.49"/>
    <n v="0.91900000000000004"/>
    <n v="5.7409999999999997"/>
  </r>
  <r>
    <n v="432"/>
    <s v="SB"/>
    <s v="Upland"/>
    <x v="1"/>
    <n v="4"/>
    <x v="1"/>
    <x v="0"/>
    <n v="20.782"/>
    <n v="68.535270907516121"/>
    <n v="6.98"/>
    <n v="6.5389999999999997"/>
    <n v="6.3180515759312428"/>
    <n v="6.5264668195142275E-2"/>
    <n v="47.81"/>
    <n v="0.61099999999999999"/>
    <n v="3.8210000000000002"/>
  </r>
  <r>
    <n v="437"/>
    <s v="SB"/>
    <s v="Upland"/>
    <x v="1"/>
    <n v="5"/>
    <x v="1"/>
    <x v="0"/>
    <n v="25.393000000000001"/>
    <n v="74.496908596857409"/>
    <n v="7.08"/>
    <n v="6.476"/>
    <n v="8.5310734463276852"/>
    <n v="8.9170871890239728E-2"/>
    <n v="47.42"/>
    <n v="0.745"/>
    <n v="4.6589999999999998"/>
  </r>
  <r>
    <n v="446"/>
    <s v="SB"/>
    <s v="Lowland"/>
    <x v="1"/>
    <n v="2"/>
    <x v="1"/>
    <x v="0"/>
    <n v="18.815999999999999"/>
    <n v="66.028911564625844"/>
    <n v="6.93"/>
    <n v="6.3920000000000003"/>
    <n v="7.7633477633477543"/>
    <n v="8.0812604737838176E-2"/>
    <n v="47.2"/>
    <n v="0.70699999999999996"/>
    <n v="4.4180000000000001"/>
  </r>
  <r>
    <n v="449"/>
    <s v="SB"/>
    <s v="Lowland"/>
    <x v="1"/>
    <n v="1"/>
    <x v="1"/>
    <x v="0"/>
    <n v="18.440000000000001"/>
    <n v="65.0650759219089"/>
    <n v="7.03"/>
    <n v="6.4420000000000002"/>
    <n v="8.3641536273115236"/>
    <n v="8.7347654913566442E-2"/>
    <n v="48.1"/>
    <n v="0.82599999999999996"/>
    <n v="5.1619999999999999"/>
  </r>
  <r>
    <n v="451"/>
    <s v="SB"/>
    <s v="Lowland"/>
    <x v="1"/>
    <n v="5"/>
    <x v="1"/>
    <x v="0"/>
    <n v="21.248000000000001"/>
    <n v="69.310052710843379"/>
    <n v="7.01"/>
    <n v="6.5209999999999999"/>
    <n v="6.9757489300998561"/>
    <n v="7.2309962635433489E-2"/>
    <n v="47.99"/>
    <n v="0.871"/>
    <n v="5.4459999999999997"/>
  </r>
  <r>
    <n v="461"/>
    <s v="SB"/>
    <s v="Upland"/>
    <x v="1"/>
    <n v="1"/>
    <x v="1"/>
    <x v="0"/>
    <n v="21.41"/>
    <n v="70.990191499299399"/>
    <n v="6.95"/>
    <n v="6.2110000000000003"/>
    <n v="10.633093525179854"/>
    <n v="0.11241974599953475"/>
    <n v="47.39"/>
    <n v="0.89100000000000001"/>
    <n v="5.5679999999999996"/>
  </r>
  <r>
    <n v="465"/>
    <s v="SB"/>
    <s v="Lowland"/>
    <x v="1"/>
    <n v="4"/>
    <x v="1"/>
    <x v="0"/>
    <n v="21.876000000000001"/>
    <n v="71.050466264399347"/>
    <n v="6.96"/>
    <n v="6.3330000000000002"/>
    <n v="9.008620689655169"/>
    <n v="9.4405416812034973E-2"/>
    <n v="48.69"/>
    <n v="0.84199999999999997"/>
    <n v="5.2610000000000001"/>
  </r>
  <r>
    <n v="468"/>
    <s v="SB"/>
    <s v="Upland"/>
    <x v="1"/>
    <n v="3"/>
    <x v="1"/>
    <x v="0"/>
    <n v="16.457999999999998"/>
    <n v="61.33187507595089"/>
    <n v="7.01"/>
    <n v="6.3639999999999999"/>
    <n v="9.2154065620542074"/>
    <n v="9.6680590570958277E-2"/>
    <n v="47.23"/>
    <n v="0.72299999999999998"/>
    <n v="4.5170000000000003"/>
  </r>
  <r>
    <n v="555"/>
    <s v="BC"/>
    <s v="Lowland"/>
    <x v="0"/>
    <n v="1"/>
    <x v="1"/>
    <x v="0"/>
    <n v="14.757999999999999"/>
    <n v="40.994714730993358"/>
    <n v="6.95"/>
    <n v="6.05"/>
    <n v="12.949640287769789"/>
    <n v="0.13868338753395076"/>
    <n v="47.78"/>
    <n v="0.79900000000000004"/>
    <n v="4.9930000000000003"/>
  </r>
  <r>
    <n v="558"/>
    <s v="BC"/>
    <s v="Lowland"/>
    <x v="1"/>
    <n v="4"/>
    <x v="1"/>
    <x v="0"/>
    <n v="27.637"/>
    <n v="22.231067047798241"/>
    <n v="6.94"/>
    <n v="6.1440000000000001"/>
    <n v="11.469740634005767"/>
    <n v="0.1218257786733421"/>
    <n v="46.92"/>
    <n v="0.94599999999999995"/>
    <n v="5.9109999999999996"/>
  </r>
  <r>
    <n v="559"/>
    <s v="BC"/>
    <s v="Upland"/>
    <x v="1"/>
    <n v="4"/>
    <x v="1"/>
    <x v="0"/>
    <n v="22.611999999999998"/>
    <n v="27.755174243764376"/>
    <n v="7.09"/>
    <n v="6.2759999999999998"/>
    <n v="11.48095909732017"/>
    <n v="0.12195250567325004"/>
    <n v="47.11"/>
    <n v="1.0269999999999999"/>
    <n v="6.4210000000000003"/>
  </r>
  <r>
    <n v="567"/>
    <s v="BC"/>
    <s v="Lowland"/>
    <x v="0"/>
    <n v="2"/>
    <x v="1"/>
    <x v="0"/>
    <n v="23.297999999999998"/>
    <n v="26.182504936046016"/>
    <n v="7.02"/>
    <n v="6.1"/>
    <n v="13.105413105413104"/>
    <n v="0.14047444685845425"/>
    <n v="47.88"/>
    <n v="0.875"/>
    <n v="5.4720000000000004"/>
  </r>
  <r>
    <n v="575"/>
    <s v="BC"/>
    <s v="Lowland"/>
    <x v="1"/>
    <n v="3"/>
    <x v="1"/>
    <x v="0"/>
    <n v="21.145"/>
    <n v="28.890990777961694"/>
    <n v="7.03"/>
    <n v="6.109"/>
    <n v="13.100995732574683"/>
    <n v="0.14042361215494367"/>
    <n v="47.12"/>
    <n v="1.0029999999999999"/>
    <n v="6.2679999999999998"/>
  </r>
  <r>
    <n v="577"/>
    <s v="BC"/>
    <s v="Upland"/>
    <x v="0"/>
    <n v="1"/>
    <x v="1"/>
    <x v="0"/>
    <n v="20.315999999999999"/>
    <n v="30.084662335105339"/>
    <n v="7.08"/>
    <n v="6.1120000000000001"/>
    <n v="13.672316384180791"/>
    <n v="0.14701985584140906"/>
    <n v="48.89"/>
    <n v="0.93600000000000005"/>
    <n v="5.8470000000000004"/>
  </r>
  <r>
    <n v="579"/>
    <s v="BC"/>
    <s v="Lowland"/>
    <x v="0"/>
    <n v="5"/>
    <x v="1"/>
    <x v="0"/>
    <n v="21.105"/>
    <n v="29.433783463634207"/>
    <n v="7.03"/>
    <n v="6.2119999999999997"/>
    <n v="11.635846372688485"/>
    <n v="0.12370380053613299"/>
    <n v="48"/>
    <n v="0.94199999999999995"/>
    <n v="5.8879999999999999"/>
  </r>
  <r>
    <n v="590"/>
    <s v="BC"/>
    <s v="Upland"/>
    <x v="0"/>
    <n v="2"/>
    <x v="1"/>
    <x v="0"/>
    <n v="19.54"/>
    <n v="32.354145342886383"/>
    <n v="7.02"/>
    <n v="6.3220000000000001"/>
    <n v="9.9430199430199373"/>
    <n v="0.1047276042442937"/>
    <n v="48.19"/>
    <n v="1.054"/>
    <n v="6.5890000000000004"/>
  </r>
  <r>
    <n v="595"/>
    <s v="BC"/>
    <s v="Upland"/>
    <x v="0"/>
    <n v="3"/>
    <x v="1"/>
    <x v="0"/>
    <n v="23.844999999999999"/>
    <n v="24.504088907527784"/>
    <n v="6.95"/>
    <n v="5.843"/>
    <n v="15.928057553956837"/>
    <n v="0.17349729600440089"/>
    <n v="48.65"/>
    <n v="1.006"/>
    <n v="6.2889999999999997"/>
  </r>
  <r>
    <n v="596"/>
    <s v="BC"/>
    <s v="Upland"/>
    <x v="0"/>
    <n v="2"/>
    <x v="1"/>
    <x v="0"/>
    <n v="21.634"/>
    <n v="29.051493020245911"/>
    <n v="6.93"/>
    <n v="6.2850000000000001"/>
    <n v="9.3073593073593024"/>
    <n v="9.7693971159601004E-2"/>
    <n v="47.58"/>
    <n v="1.0629999999999999"/>
    <n v="6.641"/>
  </r>
  <r>
    <n v="661"/>
    <s v="BC"/>
    <s v="Upland"/>
    <x v="1"/>
    <n v="3"/>
    <x v="1"/>
    <x v="0"/>
    <n v="18.713000000000001"/>
    <n v="33.260300325976594"/>
    <n v="7.04"/>
    <n v="6.2240000000000002"/>
    <n v="11.59090909090909"/>
    <n v="0.12319538329386048"/>
    <n v="47.69"/>
    <n v="0.78200000000000003"/>
    <n v="4.8849999999999998"/>
  </r>
  <r>
    <n v="663"/>
    <s v="BC"/>
    <s v="Lowland"/>
    <x v="1"/>
    <n v="1"/>
    <x v="1"/>
    <x v="0"/>
    <n v="16.286000000000001"/>
    <n v="38.247574603954313"/>
    <n v="7.03"/>
    <n v="6.2290000000000001"/>
    <n v="11.394025604551922"/>
    <n v="0.12097089955056514"/>
    <n v="48"/>
    <n v="0.83499999999999996"/>
    <n v="5.2190000000000003"/>
  </r>
  <r>
    <n v="669"/>
    <s v="BC"/>
    <s v="Upland"/>
    <x v="1"/>
    <n v="1"/>
    <x v="1"/>
    <x v="0"/>
    <n v="15.332000000000001"/>
    <n v="39.838246804069918"/>
    <n v="7.03"/>
    <n v="6.1079999999999997"/>
    <n v="13.115220483641544"/>
    <n v="0.14058731846618761"/>
    <n v="48.06"/>
    <n v="0.85099999999999998"/>
    <n v="5.3170000000000002"/>
  </r>
  <r>
    <n v="678"/>
    <s v="BC"/>
    <s v="Lowland"/>
    <x v="0"/>
    <n v="4"/>
    <x v="1"/>
    <x v="0"/>
    <n v="18.283000000000001"/>
    <n v="33.025214680304103"/>
    <n v="7.02"/>
    <n v="6.0380000000000003"/>
    <n v="13.988603988603979"/>
    <n v="0.15069038675307256"/>
    <n v="48.29"/>
    <n v="0.78300000000000003"/>
    <n v="4.8920000000000003"/>
  </r>
  <r>
    <n v="684"/>
    <s v="BC"/>
    <s v="Upland"/>
    <x v="0"/>
    <n v="4"/>
    <x v="1"/>
    <x v="0"/>
    <n v="23.100999999999999"/>
    <n v="26.15038310029869"/>
    <n v="6.94"/>
    <n v="6.0410000000000004"/>
    <n v="12.953890489913544"/>
    <n v="0.13873221336210892"/>
    <n v="48.67"/>
    <n v="0.84799999999999998"/>
    <n v="5.2969999999999997"/>
  </r>
  <r>
    <n v="690"/>
    <s v="BC"/>
    <s v="Lowland"/>
    <x v="1"/>
    <n v="2"/>
    <x v="1"/>
    <x v="0"/>
    <n v="18.225000000000001"/>
    <n v="35.412894375857334"/>
    <n v="7.04"/>
    <n v="6.4539999999999997"/>
    <n v="8.3238636363636402"/>
    <n v="8.690807654018097E-2"/>
    <n v="47.45"/>
    <n v="0.79300000000000004"/>
    <n v="4.9580000000000002"/>
  </r>
  <r>
    <n v="693"/>
    <s v="BC"/>
    <s v="Upland"/>
    <x v="1"/>
    <n v="2"/>
    <x v="1"/>
    <x v="0"/>
    <n v="17.565999999999999"/>
    <n v="35.779346464761474"/>
    <n v="6.94"/>
    <n v="6.2850000000000001"/>
    <n v="9.438040345821328"/>
    <n v="9.9135932476502445E-2"/>
    <n v="48.33"/>
    <n v="0.77200000000000002"/>
    <n v="4.8239999999999998"/>
  </r>
  <r>
    <n v="711"/>
    <s v="BC"/>
    <s v="Upland"/>
    <x v="1"/>
    <n v="5"/>
    <x v="1"/>
    <x v="0"/>
    <n v="24.475000000000001"/>
    <n v="25.430030643513788"/>
    <n v="7.06"/>
    <n v="6.2240000000000002"/>
    <n v="11.841359773371098"/>
    <n v="0.12603226462906014"/>
    <n v="47.17"/>
    <n v="1.004"/>
    <n v="6.2750000000000004"/>
  </r>
  <r>
    <n v="714"/>
    <s v="BC"/>
    <s v="Lowland"/>
    <x v="0"/>
    <n v="3"/>
    <x v="1"/>
    <x v="0"/>
    <n v="20.472999999999999"/>
    <n v="28.925902408049627"/>
    <n v="7"/>
    <n v="5.9219999999999997"/>
    <n v="15.400000000000006"/>
    <n v="0.16723591937591381"/>
    <n v="45.9"/>
    <n v="1.0620000000000001"/>
    <n v="6.6349999999999998"/>
  </r>
  <r>
    <n v="717"/>
    <s v="BC"/>
    <s v="Lowland"/>
    <x v="1"/>
    <n v="5"/>
    <x v="1"/>
    <x v="0"/>
    <n v="20.981999999999999"/>
    <n v="29.687351062815747"/>
    <n v="7.04"/>
    <n v="6.2290000000000001"/>
    <n v="11.519886363636363"/>
    <n v="0.1223923638979426"/>
    <n v="48.17"/>
    <n v="0.77100000000000002"/>
    <n v="4.8209999999999997"/>
  </r>
  <r>
    <n v="4"/>
    <s v="HH"/>
    <s v="Lowland"/>
    <x v="0"/>
    <n v="4"/>
    <x v="0"/>
    <x v="1"/>
    <n v="7.9046000000000003"/>
    <n v="29.429699162512975"/>
    <n v="7.03"/>
    <n v="5.5782999999999996"/>
    <n v="20.650071123755342"/>
    <n v="0.92444981590564024"/>
    <n v="47.93"/>
    <n v="0.91700000000000004"/>
    <n v="5.7309999999999999"/>
  </r>
  <r>
    <n v="8"/>
    <s v="HH"/>
    <s v="Upland"/>
    <x v="0"/>
    <n v="3"/>
    <x v="0"/>
    <x v="1"/>
    <n v="6.7068000000000003"/>
    <n v="16.459414325758935"/>
    <n v="6.93"/>
    <n v="5.6029"/>
    <n v="19.150072150072148"/>
    <n v="0.90572267291953235"/>
    <n v="47.54"/>
    <n v="0.85799999999999998"/>
    <n v="5.3650000000000002"/>
  </r>
  <r>
    <n v="13"/>
    <s v="HH"/>
    <s v="Lowland"/>
    <x v="0"/>
    <n v="2"/>
    <x v="0"/>
    <x v="1"/>
    <n v="7.4600999999999997"/>
    <n v="23.242315786651645"/>
    <n v="6.99"/>
    <n v="5.7262000000000004"/>
    <n v="18.080114449213159"/>
    <n v="0.89257560234293654"/>
    <n v="47.8"/>
    <n v="0.746"/>
    <n v="4.6630000000000003"/>
  </r>
  <r>
    <n v="28"/>
    <s v="HH"/>
    <s v="Upland"/>
    <x v="0"/>
    <n v="2"/>
    <x v="0"/>
    <x v="1"/>
    <n v="6.9678000000000004"/>
    <n v="19.033267315364963"/>
    <n v="7.03"/>
    <n v="5.6416000000000004"/>
    <n v="19.749644381223323"/>
    <n v="0.91316617316110482"/>
    <n v="47.5"/>
    <n v="0.93700000000000006"/>
    <n v="5.8540000000000001"/>
  </r>
  <r>
    <n v="30"/>
    <s v="HH"/>
    <s v="Lowland"/>
    <x v="0"/>
    <n v="1"/>
    <x v="0"/>
    <x v="1"/>
    <n v="6.8299000000000003"/>
    <n v="19.602043953791416"/>
    <n v="7"/>
    <n v="5.4911000000000003"/>
    <n v="21.555714285714281"/>
    <n v="0.93592872986533959"/>
    <n v="47.87"/>
    <n v="0.89500000000000002"/>
    <n v="5.5940000000000003"/>
  </r>
  <r>
    <n v="32"/>
    <s v="HH"/>
    <s v="Upland"/>
    <x v="0"/>
    <n v="4"/>
    <x v="0"/>
    <x v="1"/>
    <n v="7.5350000000000001"/>
    <n v="24.549435965494361"/>
    <n v="6.9699999999999989"/>
    <n v="5.6852"/>
    <n v="18.433285509325668"/>
    <n v="0.89689609844965801"/>
    <n v="47.7"/>
    <n v="0.96099999999999997"/>
    <n v="6.008"/>
  </r>
  <r>
    <n v="33"/>
    <s v="HH"/>
    <s v="Upland"/>
    <x v="0"/>
    <n v="1"/>
    <x v="0"/>
    <x v="1"/>
    <n v="6.8251999999999997"/>
    <n v="15.24057903065111"/>
    <n v="6.9499999999999993"/>
    <n v="5.7850000000000001"/>
    <n v="16.762589928057544"/>
    <n v="0.87662047949100608"/>
    <n v="47.6"/>
    <n v="1.01"/>
    <n v="6.3120000000000003"/>
  </r>
  <r>
    <n v="37"/>
    <s v="HH"/>
    <s v="Lowland"/>
    <x v="0"/>
    <n v="3"/>
    <x v="0"/>
    <x v="1"/>
    <n v="6.8631000000000002"/>
    <n v="18.456674097710948"/>
    <n v="6.9200000000000008"/>
    <n v="5.5964"/>
    <n v="19.127167630057812"/>
    <n v="0.90543941631252989"/>
    <n v="46.22"/>
    <n v="0.90500000000000003"/>
    <n v="5.657"/>
  </r>
  <r>
    <n v="55"/>
    <s v="HH"/>
    <s v="Upland"/>
    <x v="0"/>
    <n v="5"/>
    <x v="0"/>
    <x v="1"/>
    <n v="6.9166999999999996"/>
    <n v="17.780155276360116"/>
    <n v="7.0600000000000005"/>
    <n v="5.6868999999999996"/>
    <n v="19.449008498583581"/>
    <n v="0.90942694785845857"/>
    <n v="48.69"/>
    <n v="0.96799999999999997"/>
    <n v="6.05"/>
  </r>
  <r>
    <n v="56"/>
    <s v="HH"/>
    <s v="Lowland"/>
    <x v="0"/>
    <n v="5"/>
    <x v="0"/>
    <x v="1"/>
    <n v="83847"/>
    <n v="99.993526423127847"/>
    <n v="6.94"/>
    <n v="5.4279000000000002"/>
    <n v="21.788184438040346"/>
    <n v="0.93889663626763509"/>
    <n v="46.89"/>
    <n v="0.90600000000000003"/>
    <n v="5.6619999999999999"/>
  </r>
  <r>
    <n v="131"/>
    <s v="HH"/>
    <s v="Upland"/>
    <x v="1"/>
    <n v="5"/>
    <x v="0"/>
    <x v="1"/>
    <n v="6.9288999999999996"/>
    <n v="17.278355871783397"/>
    <n v="7.01"/>
    <n v="5.7317"/>
    <n v="18.235378031383735"/>
    <n v="0.89447271076315238"/>
    <n v="49.29"/>
    <n v="0.77800000000000002"/>
    <n v="4.8600000000000003"/>
  </r>
  <r>
    <n v="134"/>
    <s v="HH"/>
    <s v="Lowland"/>
    <x v="1"/>
    <n v="3"/>
    <x v="0"/>
    <x v="1"/>
    <n v="7.0986000000000002"/>
    <n v="17.394979291691318"/>
    <n v="7.01"/>
    <n v="5.8638000000000003"/>
    <n v="16.350927246790292"/>
    <n v="0.87168702401573595"/>
    <n v="47.77"/>
    <n v="0.71"/>
    <n v="4.4370000000000003"/>
  </r>
  <r>
    <n v="136"/>
    <s v="HH"/>
    <s v="Lowland"/>
    <x v="1"/>
    <n v="5"/>
    <x v="0"/>
    <x v="1"/>
    <n v="8.2467000000000006"/>
    <n v="30.122351971091472"/>
    <n v="7.04"/>
    <n v="5.7625999999999999"/>
    <n v="18.144886363636363"/>
    <n v="0.89336658897852539"/>
    <n v="47.39"/>
    <n v="0.8"/>
    <n v="4.9969999999999999"/>
  </r>
  <r>
    <n v="141"/>
    <s v="HH"/>
    <s v="Lowland"/>
    <x v="1"/>
    <n v="4"/>
    <x v="0"/>
    <x v="1"/>
    <n v="6.6052"/>
    <n v="17.27729667534669"/>
    <n v="7.01"/>
    <n v="5.4640000000000004"/>
    <n v="22.054208273894428"/>
    <n v="0.94230375933795496"/>
    <n v="46.92"/>
    <n v="0.71299999999999997"/>
    <n v="4.4569999999999999"/>
  </r>
  <r>
    <n v="145"/>
    <s v="HH"/>
    <s v="Upland"/>
    <x v="1"/>
    <n v="4"/>
    <x v="0"/>
    <x v="1"/>
    <n v="8.1168999999999993"/>
    <n v="28.117877514814765"/>
    <n v="7.07"/>
    <n v="5.8346"/>
    <n v="17.473833097595477"/>
    <n v="0.8852019489220232"/>
    <n v="47.3"/>
    <n v="0.68"/>
    <n v="4.2510000000000003"/>
  </r>
  <r>
    <n v="146"/>
    <s v="HH"/>
    <s v="Upland"/>
    <x v="1"/>
    <n v="3"/>
    <x v="0"/>
    <x v="1"/>
    <n v="6.8513000000000002"/>
    <n v="15.36350765548144"/>
    <n v="7.06"/>
    <n v="5.7987000000000002"/>
    <n v="17.865439093484412"/>
    <n v="0.88995847756641688"/>
    <n v="47.74"/>
    <n v="0.71799999999999997"/>
    <n v="4.4850000000000003"/>
  </r>
  <r>
    <n v="160"/>
    <s v="HH"/>
    <s v="Upland"/>
    <x v="1"/>
    <n v="2"/>
    <x v="0"/>
    <x v="1"/>
    <n v="7.8555000000000001"/>
    <n v="27.141493221309915"/>
    <n v="7.02"/>
    <n v="5.7233999999999998"/>
    <n v="18.470085470085468"/>
    <n v="0.89734736420058459"/>
    <n v="47.34"/>
    <n v="0.69899999999999995"/>
    <n v="4.3689999999999998"/>
  </r>
  <r>
    <n v="169"/>
    <s v="HH"/>
    <s v="Lowland"/>
    <x v="1"/>
    <n v="1"/>
    <x v="0"/>
    <x v="1"/>
    <n v="8.1526999999999994"/>
    <n v="28.264256013345268"/>
    <n v="6.99"/>
    <n v="5.8483999999999998"/>
    <n v="16.331902718168816"/>
    <n v="0.87145961724451848"/>
    <n v="47.87"/>
    <n v="0.73499999999999999"/>
    <n v="4.5960000000000001"/>
  </r>
  <r>
    <n v="171"/>
    <s v="HH"/>
    <s v="Upland"/>
    <x v="1"/>
    <n v="1"/>
    <x v="0"/>
    <x v="1"/>
    <n v="7.1483999999999996"/>
    <n v="17.943875552571196"/>
    <n v="6.96"/>
    <n v="5.8657000000000004"/>
    <n v="15.72270114942528"/>
    <n v="0.86420482783406705"/>
    <n v="47.7"/>
    <n v="0.76400000000000001"/>
    <n v="4.7759999999999998"/>
  </r>
  <r>
    <n v="179"/>
    <s v="HH"/>
    <s v="Lowland"/>
    <x v="1"/>
    <n v="2"/>
    <x v="0"/>
    <x v="1"/>
    <n v="7.8971999999999998"/>
    <n v="29.388897330699486"/>
    <n v="6.97"/>
    <n v="5.5762999999999998"/>
    <n v="19.995695839311335"/>
    <n v="0.91623693131282291"/>
    <n v="47.2"/>
    <n v="0.748"/>
    <n v="4.6769999999999996"/>
  </r>
  <r>
    <n v="242"/>
    <s v="SB"/>
    <s v="Upland"/>
    <x v="0"/>
    <n v="5"/>
    <x v="0"/>
    <x v="1"/>
    <n v="11.480499999999999"/>
    <n v="49.559688166891682"/>
    <n v="6.95"/>
    <n v="5.7907999999999999"/>
    <n v="16.679136690647482"/>
    <n v="0.87561838883889476"/>
    <n v="47.72"/>
    <n v="1.0620000000000001"/>
    <n v="6.6349999999999998"/>
  </r>
  <r>
    <n v="249"/>
    <s v="SB"/>
    <s v="Lowland"/>
    <x v="0"/>
    <n v="5"/>
    <x v="0"/>
    <x v="1"/>
    <n v="14.1335"/>
    <n v="58.611808823009156"/>
    <n v="7.12"/>
    <n v="5.8495999999999997"/>
    <n v="17.842696629213489"/>
    <n v="0.88968162314619059"/>
    <n v="47.15"/>
    <n v="1.2030000000000001"/>
    <n v="7.52"/>
  </r>
  <r>
    <n v="254"/>
    <s v="SB"/>
    <s v="Lowland"/>
    <x v="0"/>
    <n v="3"/>
    <x v="0"/>
    <x v="1"/>
    <n v="6.8921000000000001"/>
    <n v="15.700584727441571"/>
    <n v="6.95"/>
    <n v="5.81"/>
    <n v="16.402877697841735"/>
    <n v="0.87230826927282634"/>
    <n v="47.9"/>
    <n v="1.175"/>
    <n v="7.343"/>
  </r>
  <r>
    <n v="265"/>
    <s v="SB"/>
    <s v="Lowland"/>
    <x v="0"/>
    <n v="4"/>
    <x v="0"/>
    <x v="1"/>
    <n v="9.1104000000000003"/>
    <n v="35.850237091675453"/>
    <n v="7.0399999999999991"/>
    <n v="5.8442999999999996"/>
    <n v="16.984374999999996"/>
    <n v="0.87928852345676523"/>
    <n v="47.97"/>
    <n v="1.1559999999999999"/>
    <n v="7.2240000000000002"/>
  </r>
  <r>
    <n v="272"/>
    <s v="SB"/>
    <s v="Upland"/>
    <x v="0"/>
    <n v="3"/>
    <x v="0"/>
    <x v="1"/>
    <n v="8.3759999999999994"/>
    <n v="31.245224450811843"/>
    <n v="7.0699999999999994"/>
    <n v="5.7588999999999997"/>
    <n v="18.544554455445542"/>
    <n v="0.89826117622036572"/>
    <n v="47.49"/>
    <n v="1.202"/>
    <n v="7.5140000000000002"/>
  </r>
  <r>
    <n v="280"/>
    <s v="SB"/>
    <s v="Lowland"/>
    <x v="0"/>
    <n v="2"/>
    <x v="0"/>
    <x v="1"/>
    <n v="8.4754000000000005"/>
    <n v="33.761238407626784"/>
    <n v="7"/>
    <n v="5.6139999999999999"/>
    <n v="19.8"/>
    <n v="0.91379385167556793"/>
    <n v="47.59"/>
    <n v="1.0529999999999999"/>
    <n v="6.5839999999999996"/>
  </r>
  <r>
    <n v="285"/>
    <s v="SB"/>
    <s v="Upland"/>
    <x v="0"/>
    <n v="2"/>
    <x v="0"/>
    <x v="1"/>
    <n v="6.9785000000000004"/>
    <n v="16.665472522748445"/>
    <n v="7.04"/>
    <n v="5.8155000000000001"/>
    <n v="17.393465909090907"/>
    <n v="0.8842285839329399"/>
    <n v="48.32"/>
    <n v="1.143"/>
    <n v="7.1440000000000001"/>
  </r>
  <r>
    <n v="292"/>
    <s v="SB"/>
    <s v="Upland"/>
    <x v="0"/>
    <n v="1"/>
    <x v="0"/>
    <x v="1"/>
    <n v="8.6277000000000008"/>
    <n v="36.801233237131562"/>
    <n v="6.96"/>
    <n v="5.4526000000000003"/>
    <n v="21.65804597701149"/>
    <n v="0.93723409576989358"/>
    <n v="48.61"/>
    <n v="1.161"/>
    <n v="7.2549999999999999"/>
  </r>
  <r>
    <n v="295"/>
    <s v="SB"/>
    <s v="Lowland"/>
    <x v="0"/>
    <n v="1"/>
    <x v="0"/>
    <x v="1"/>
    <n v="10.9261"/>
    <n v="47.692223208647185"/>
    <n v="6.93"/>
    <n v="5.7152000000000003"/>
    <n v="17.529581529581524"/>
    <n v="0.88587770150176881"/>
    <n v="48.08"/>
    <n v="1.2490000000000001"/>
    <n v="7.8040000000000003"/>
  </r>
  <r>
    <n v="365"/>
    <s v="SB"/>
    <s v="Upland"/>
    <x v="1"/>
    <n v="1"/>
    <x v="0"/>
    <x v="1"/>
    <n v="7.8771000000000004"/>
    <n v="26.215231493823872"/>
    <n v="7.01"/>
    <n v="5.8121"/>
    <n v="17.08844507845934"/>
    <n v="0.88054293026528274"/>
    <n v="47.64"/>
    <n v="0.69899999999999995"/>
    <n v="4.3719999999999999"/>
  </r>
  <r>
    <n v="370"/>
    <s v="SB"/>
    <s v="Upland"/>
    <x v="1"/>
    <n v="5"/>
    <x v="0"/>
    <x v="1"/>
    <n v="11.051500000000001"/>
    <n v="46.49776048500204"/>
    <n v="7.02"/>
    <n v="5.9127999999999998"/>
    <n v="15.772079772079769"/>
    <n v="0.86479090610912512"/>
    <n v="46.82"/>
    <n v="0.72699999999999998"/>
    <n v="4.5460000000000003"/>
  </r>
  <r>
    <n v="381"/>
    <s v="SB"/>
    <s v="Lowland"/>
    <x v="1"/>
    <n v="4"/>
    <x v="0"/>
    <x v="1"/>
    <n v="9.1570999999999998"/>
    <n v="35.854145963241635"/>
    <n v="7.06"/>
    <n v="5.8738999999999999"/>
    <n v="16.800283286118976"/>
    <n v="0.87707342360790808"/>
    <n v="47.22"/>
    <n v="0.73399999999999999"/>
    <n v="4.5869999999999997"/>
  </r>
  <r>
    <n v="387"/>
    <s v="SB"/>
    <s v="Lowland"/>
    <x v="1"/>
    <n v="3"/>
    <x v="0"/>
    <x v="1"/>
    <n v="7.7935999999999996"/>
    <n v="25.800656949291721"/>
    <n v="7"/>
    <n v="5.7827999999999999"/>
    <n v="17.388571428571428"/>
    <n v="0.88416933516310836"/>
    <n v="47.33"/>
    <n v="0.96399999999999997"/>
    <n v="6.0259999999999998"/>
  </r>
  <r>
    <n v="391"/>
    <s v="SB"/>
    <s v="Lowland"/>
    <x v="1"/>
    <n v="2"/>
    <x v="0"/>
    <x v="1"/>
    <n v="8.9225999999999992"/>
    <n v="35.970457041669462"/>
    <n v="7.04"/>
    <n v="5.7130999999999998"/>
    <n v="18.848011363636367"/>
    <n v="0.90199356720237689"/>
    <n v="47.59"/>
    <n v="0.83499999999999996"/>
    <n v="5.2160000000000002"/>
  </r>
  <r>
    <n v="392"/>
    <s v="SB"/>
    <s v="Upland"/>
    <x v="1"/>
    <n v="4"/>
    <x v="0"/>
    <x v="1"/>
    <n v="11.7834"/>
    <n v="49.351630259517634"/>
    <n v="7.03"/>
    <n v="5.9680999999999997"/>
    <n v="15.105263157894743"/>
    <n v="0.85690526758926833"/>
    <n v="47.83"/>
    <n v="0.72199999999999998"/>
    <n v="4.5140000000000002"/>
  </r>
  <r>
    <n v="393"/>
    <s v="SB"/>
    <s v="Lowland"/>
    <x v="1"/>
    <n v="5"/>
    <x v="0"/>
    <x v="1"/>
    <n v="11.9572"/>
    <n v="50.111230053858769"/>
    <n v="7"/>
    <n v="5.9653"/>
    <n v="14.78142857142857"/>
    <n v="0.85309798195201014"/>
    <n v="46.84"/>
    <n v="0.71599999999999997"/>
    <n v="4.4740000000000002"/>
  </r>
  <r>
    <n v="397"/>
    <s v="SB"/>
    <s v="Upland"/>
    <x v="1"/>
    <n v="4"/>
    <x v="0"/>
    <x v="1"/>
    <n v="12.7012"/>
    <n v="54.878279217711714"/>
    <n v="6.91"/>
    <n v="5.7309999999999999"/>
    <n v="17.062228654124461"/>
    <n v="0.88022678276992339"/>
    <n v="48"/>
    <n v="0.76"/>
    <n v="4.7510000000000003"/>
  </r>
  <r>
    <n v="412"/>
    <s v="SB"/>
    <s v="Upland"/>
    <x v="1"/>
    <n v="2"/>
    <x v="0"/>
    <x v="1"/>
    <n v="7.0172999999999996"/>
    <n v="17.549484844598346"/>
    <n v="7.06"/>
    <n v="5.7858000000000001"/>
    <n v="18.048158640226625"/>
    <n v="0.89218559230283923"/>
    <n v="48.38"/>
    <n v="0.69299999999999995"/>
    <n v="4.3330000000000002"/>
  </r>
  <r>
    <n v="419"/>
    <s v="SB"/>
    <s v="Upland"/>
    <x v="1"/>
    <n v="3"/>
    <x v="0"/>
    <x v="1"/>
    <n v="9.1515000000000004"/>
    <n v="38.021089438889803"/>
    <n v="6.94"/>
    <n v="5.6719999999999997"/>
    <n v="18.270893371757936"/>
    <n v="0.89490716584883223"/>
    <n v="47.37"/>
    <n v="0.80100000000000005"/>
    <n v="5.0049999999999999"/>
  </r>
  <r>
    <n v="420"/>
    <s v="SB"/>
    <s v="Lowland"/>
    <x v="1"/>
    <n v="1"/>
    <x v="0"/>
    <x v="1"/>
    <n v="11.142899999999999"/>
    <n v="48.551992748745832"/>
    <n v="6.96"/>
    <n v="5.7328000000000001"/>
    <n v="17.632183908045977"/>
    <n v="0.8871225873377212"/>
    <n v="46.84"/>
    <n v="0.86299999999999999"/>
    <n v="5.3920000000000003"/>
  </r>
  <r>
    <n v="491"/>
    <s v="BC"/>
    <s v="Upland"/>
    <x v="0"/>
    <n v="2"/>
    <x v="0"/>
    <x v="1"/>
    <n v="12.6061"/>
    <n v="45.792909781772323"/>
    <n v="6.97"/>
    <n v="5.7727000000000004"/>
    <n v="17.17790530846484"/>
    <n v="0.88162249665271109"/>
    <n v="46.91"/>
    <n v="0.81699999999999995"/>
    <n v="5.1079999999999997"/>
  </r>
  <r>
    <n v="492"/>
    <s v="BC"/>
    <s v="Lowland"/>
    <x v="0"/>
    <n v="2"/>
    <x v="0"/>
    <x v="1"/>
    <n v="13.604699999999999"/>
    <n v="40.781494630532094"/>
    <n v="7.08"/>
    <n v="5.5481999999999996"/>
    <n v="21.63559322033899"/>
    <n v="0.93694753743606285"/>
    <n v="48.37"/>
    <n v="0.93700000000000006"/>
    <n v="5.8570000000000002"/>
  </r>
  <r>
    <n v="496"/>
    <s v="BC"/>
    <s v="Lowland"/>
    <x v="0"/>
    <n v="4"/>
    <x v="0"/>
    <x v="1"/>
    <n v="10.9597"/>
    <n v="50.103561228865757"/>
    <n v="7.03"/>
    <n v="5.4912000000000001"/>
    <n v="21.889046941678522"/>
    <n v="0.9401870755110675"/>
    <n v="48.33"/>
    <n v="0.76700000000000002"/>
    <n v="4.7910000000000004"/>
  </r>
  <r>
    <n v="503"/>
    <s v="BC"/>
    <s v="Upland"/>
    <x v="0"/>
    <n v="1"/>
    <x v="0"/>
    <x v="1"/>
    <n v="9.3439999999999994"/>
    <n v="61.697345890410958"/>
    <n v="7.06"/>
    <n v="5.7649999999999997"/>
    <n v="18.342776203966004"/>
    <n v="0.89578707834407367"/>
    <n v="49.01"/>
    <n v="0.85599999999999998"/>
    <n v="5.3529999999999998"/>
  </r>
  <r>
    <n v="511"/>
    <s v="BC"/>
    <s v="Upland"/>
    <x v="0"/>
    <n v="4"/>
    <x v="0"/>
    <x v="1"/>
    <n v="11.8621"/>
    <n v="46.400721626019006"/>
    <n v="7.07"/>
    <n v="5.5041000000000002"/>
    <n v="22.14851485148515"/>
    <n v="0.94351439139778004"/>
    <n v="48.39"/>
    <n v="0.89800000000000002"/>
    <n v="5.61"/>
  </r>
  <r>
    <n v="516"/>
    <s v="BC"/>
    <s v="Lowland"/>
    <x v="0"/>
    <n v="3"/>
    <x v="0"/>
    <x v="1"/>
    <n v="12.857100000000001"/>
    <n v="42.327585536396228"/>
    <n v="6.95"/>
    <n v="5.4420999999999999"/>
    <n v="21.696402877697846"/>
    <n v="0.9377238243472138"/>
    <n v="47.73"/>
    <n v="0.94499999999999995"/>
    <n v="5.9059999999999997"/>
  </r>
  <r>
    <n v="522"/>
    <s v="BC"/>
    <s v="Upland"/>
    <x v="0"/>
    <n v="3"/>
    <x v="0"/>
    <x v="1"/>
    <n v="8.6791"/>
    <n v="67.03575255498842"/>
    <n v="7.07"/>
    <n v="5.8181000000000003"/>
    <n v="17.707213578500706"/>
    <n v="0.88803391250600316"/>
    <n v="48.4"/>
    <n v="0.98499999999999999"/>
    <n v="6.1550000000000002"/>
  </r>
  <r>
    <n v="534"/>
    <s v="BC"/>
    <s v="Upland"/>
    <x v="0"/>
    <n v="5"/>
    <x v="0"/>
    <x v="1"/>
    <n v="13.4589"/>
    <n v="42.15797724925514"/>
    <n v="7.04"/>
    <n v="5.6740000000000004"/>
    <n v="19.403409090909086"/>
    <n v="0.90886101434323663"/>
    <n v="48.68"/>
    <n v="1.0289999999999999"/>
    <n v="6.4329999999999998"/>
  </r>
  <r>
    <n v="535"/>
    <s v="BC"/>
    <s v="Lowland"/>
    <x v="0"/>
    <n v="5"/>
    <x v="0"/>
    <x v="1"/>
    <n v="11.8911"/>
    <n v="48.045176644717479"/>
    <n v="7.02"/>
    <n v="5.7130999999999998"/>
    <n v="18.616809116809112"/>
    <n v="0.89914861507014565"/>
    <n v="47.78"/>
    <n v="0.84799999999999998"/>
    <n v="5.3"/>
  </r>
  <r>
    <n v="605"/>
    <s v="BC"/>
    <s v="Lowland"/>
    <x v="1"/>
    <n v="1"/>
    <x v="0"/>
    <x v="1"/>
    <n v="9.8770000000000007"/>
    <n v="49.569707401032694"/>
    <n v="7.01"/>
    <n v="4.8959999999999999"/>
    <n v="30.156918687589158"/>
    <n v="1.0520663363964191"/>
    <n v="47.34"/>
    <n v="2.2909999999999999"/>
    <n v="14.321999999999999"/>
  </r>
  <r>
    <n v="606"/>
    <s v="BC"/>
    <s v="Lowland"/>
    <x v="1"/>
    <n v="4"/>
    <x v="0"/>
    <x v="1"/>
    <n v="8.3082999999999991"/>
    <n v="60.189208381979476"/>
    <n v="6.98"/>
    <n v="5.0007000000000001"/>
    <n v="28.356733524355306"/>
    <n v="1.0266181946992115"/>
    <n v="49.3"/>
    <n v="1.056"/>
    <n v="5.8949999999999996"/>
  </r>
  <r>
    <n v="616"/>
    <s v="BC"/>
    <s v="Lowland"/>
    <x v="1"/>
    <n v="3"/>
    <x v="0"/>
    <x v="1"/>
    <n v="13.4589"/>
    <n v="41.097712294466859"/>
    <n v="6.98"/>
    <n v="5.5312999999999999"/>
    <n v="20.755014326647572"/>
    <n v="0.9257732280529577"/>
    <n v="47.02"/>
    <n v="1.022"/>
    <n v="6.3849999999999998"/>
  </r>
  <r>
    <n v="621"/>
    <s v="BC"/>
    <s v="Upland"/>
    <x v="1"/>
    <n v="1"/>
    <x v="0"/>
    <x v="1"/>
    <n v="9.4079999999999995"/>
    <n v="60.969387755102048"/>
    <n v="7.06"/>
    <n v="5.7359999999999998"/>
    <n v="18.753541076487252"/>
    <n v="0.90083012876777668"/>
    <n v="48.43"/>
    <n v="0.84899999999999998"/>
    <n v="5.3040000000000003"/>
  </r>
  <r>
    <n v="641"/>
    <s v="BC"/>
    <s v="Upland"/>
    <x v="1"/>
    <n v="4"/>
    <x v="0"/>
    <x v="1"/>
    <n v="9.0215999999999994"/>
    <n v="54.829520262481168"/>
    <n v="7.07"/>
    <n v="4.9465000000000003"/>
    <n v="30.035360678925034"/>
    <n v="1.0503274046872866"/>
    <n v="48.4"/>
    <n v="2.508"/>
    <n v="15.675000000000001"/>
  </r>
  <r>
    <n v="642"/>
    <s v="BC"/>
    <s v="Lowland"/>
    <x v="0"/>
    <n v="1"/>
    <x v="0"/>
    <x v="1"/>
    <n v="11.807"/>
    <n v="44.185652578978569"/>
    <n v="7.09"/>
    <n v="5.2169999999999996"/>
    <n v="26.417489421720735"/>
    <n v="0.99990999706372585"/>
    <n v="48.2"/>
    <n v="2.214"/>
    <n v="13.837"/>
  </r>
  <r>
    <n v="646"/>
    <s v="BC"/>
    <s v="Upland"/>
    <x v="1"/>
    <n v="5"/>
    <x v="0"/>
    <x v="1"/>
    <n v="7.8813000000000004"/>
    <n v="62.858919213835286"/>
    <n v="6.94"/>
    <n v="4.9541000000000004"/>
    <n v="28.615273775216139"/>
    <n v="1.0302334385067009"/>
    <n v="47.89"/>
    <n v="1.3080000000000001"/>
    <n v="8.1769999999999996"/>
  </r>
  <r>
    <n v="648"/>
    <s v="BC"/>
    <s v="Upland"/>
    <x v="1"/>
    <n v="3"/>
    <x v="0"/>
    <x v="1"/>
    <n v="8.2789000000000001"/>
    <n v="66.698474435009487"/>
    <n v="7.03"/>
    <n v="5.5218999999999996"/>
    <n v="21.452347083926039"/>
    <n v="0.93461188241919224"/>
    <n v="47.91"/>
    <n v="2.1850000000000001"/>
    <n v="13.657999999999999"/>
  </r>
  <r>
    <n v="652"/>
    <s v="BC"/>
    <s v="Lowland"/>
    <x v="1"/>
    <n v="5"/>
    <x v="0"/>
    <x v="1"/>
    <n v="10.2684"/>
    <n v="56.989404386272447"/>
    <n v="7.01"/>
    <n v="5.8518999999999997"/>
    <n v="16.520684736091301"/>
    <n v="0.87371848676955355"/>
    <n v="47.72"/>
    <n v="0.92800000000000005"/>
    <n v="5.8"/>
  </r>
  <r>
    <n v="657"/>
    <s v="BC"/>
    <s v="Upland"/>
    <x v="1"/>
    <n v="2"/>
    <x v="0"/>
    <x v="1"/>
    <n v="11.879799999999999"/>
    <n v="50.182663007794744"/>
    <n v="6.95"/>
    <n v="5.9615999999999998"/>
    <n v="14.221582733812955"/>
    <n v="0.84654993871151385"/>
    <n v="47.83"/>
    <n v="0.85499999999999998"/>
    <n v="5.3440000000000003"/>
  </r>
  <r>
    <n v="660"/>
    <s v="BC"/>
    <s v="Upland"/>
    <x v="1"/>
    <n v="2"/>
    <x v="0"/>
    <x v="1"/>
    <n v="11.943199999999999"/>
    <n v="48.482818675061964"/>
    <n v="7.09"/>
    <n v="5.7904"/>
    <n v="18.330042313117065"/>
    <n v="0.8956311472766405"/>
    <n v="47.92"/>
    <n v="0.75700000000000001"/>
    <n v="4.734"/>
  </r>
  <r>
    <n v="65"/>
    <s v="HH"/>
    <s v="Lowland"/>
    <x v="0"/>
    <n v="5"/>
    <x v="1"/>
    <x v="1"/>
    <n v="7.2610000000000001"/>
    <n v="18.193086351742181"/>
    <n v="7.02"/>
    <n v="5.94"/>
    <n v="15.384615384615374"/>
    <n v="0.86020126522311136"/>
    <n v="47.49"/>
    <n v="0.95299999999999996"/>
    <n v="5.9580000000000002"/>
  </r>
  <r>
    <n v="68"/>
    <s v="HH"/>
    <s v="Lowland"/>
    <x v="0"/>
    <n v="3"/>
    <x v="1"/>
    <x v="1"/>
    <n v="8.6709999999999994"/>
    <n v="31.807173336408713"/>
    <n v="7.01"/>
    <n v="5.9130000000000003"/>
    <n v="15.649072753209694"/>
    <n v="0.86333156476775108"/>
    <n v="48.91"/>
    <n v="0.999"/>
    <n v="6.2439999999999998"/>
  </r>
  <r>
    <n v="75"/>
    <s v="HH"/>
    <s v="Upland"/>
    <x v="0"/>
    <n v="4"/>
    <x v="1"/>
    <x v="1"/>
    <n v="8.3620000000000001"/>
    <n v="28.557761301124131"/>
    <n v="6.98"/>
    <n v="5.9740000000000002"/>
    <n v="14.412607449856734"/>
    <n v="0.84877937754030841"/>
    <n v="47.77"/>
    <n v="0.876"/>
    <n v="5.4770000000000003"/>
  </r>
  <r>
    <n v="81"/>
    <s v="HH"/>
    <s v="Upland"/>
    <x v="0"/>
    <n v="5"/>
    <x v="1"/>
    <x v="1"/>
    <n v="6.9589999999999996"/>
    <n v="15.217703693059336"/>
    <n v="7.04"/>
    <n v="5.9"/>
    <n v="16.193181818181817"/>
    <n v="0.86980299981822251"/>
    <n v="47.15"/>
    <n v="0.91600000000000004"/>
    <n v="5.7229999999999999"/>
  </r>
  <r>
    <n v="84"/>
    <s v="HH"/>
    <s v="Lowland"/>
    <x v="0"/>
    <n v="1"/>
    <x v="1"/>
    <x v="1"/>
    <n v="8.0670000000000002"/>
    <n v="26.465848518656248"/>
    <n v="7.02"/>
    <n v="5.9320000000000004"/>
    <n v="15.498575498575487"/>
    <n v="0.86154897432197919"/>
    <n v="46.15"/>
    <n v="1.29"/>
    <n v="8.0630000000000006"/>
  </r>
  <r>
    <n v="103"/>
    <s v="HH"/>
    <s v="Upland"/>
    <x v="0"/>
    <n v="2"/>
    <x v="1"/>
    <x v="1"/>
    <n v="7.1449999999999996"/>
    <n v="17.746675997200839"/>
    <n v="6.97"/>
    <n v="5.8769999999999998"/>
    <n v="15.681492109038739"/>
    <n v="0.86371597770186448"/>
    <n v="47.59"/>
    <n v="0.98499999999999999"/>
    <n v="6.1550000000000002"/>
  </r>
  <r>
    <n v="106"/>
    <s v="HH"/>
    <s v="Lowland"/>
    <x v="0"/>
    <n v="2"/>
    <x v="1"/>
    <x v="1"/>
    <n v="8.2889999999999997"/>
    <n v="28.507660755217756"/>
    <n v="6.97"/>
    <n v="5.9260000000000002"/>
    <n v="14.978479196556666"/>
    <n v="0.85541295618100432"/>
    <n v="47.28"/>
    <n v="1.03"/>
    <n v="6.4349999999999996"/>
  </r>
  <r>
    <n v="110"/>
    <s v="HH"/>
    <s v="Upland"/>
    <x v="0"/>
    <n v="1"/>
    <x v="1"/>
    <x v="1"/>
    <n v="7.1340000000000003"/>
    <n v="15.419119708438469"/>
    <n v="7"/>
    <n v="6.0339999999999998"/>
    <n v="13.800000000000004"/>
    <n v="0.8416471888783893"/>
    <n v="47.97"/>
    <n v="1.0569999999999999"/>
    <n v="6.6059999999999999"/>
  </r>
  <r>
    <n v="117"/>
    <s v="HH"/>
    <s v="Lowland"/>
    <x v="0"/>
    <n v="4"/>
    <x v="1"/>
    <x v="1"/>
    <n v="6.7110000000000003"/>
    <n v="14.677395321114592"/>
    <n v="6.96"/>
    <n v="5.726"/>
    <n v="17.729885057471265"/>
    <n v="0.8883094482303503"/>
    <n v="48.07"/>
    <n v="0.88200000000000001"/>
    <n v="5.5140000000000002"/>
  </r>
  <r>
    <n v="118"/>
    <s v="HH"/>
    <s v="Upland"/>
    <x v="0"/>
    <n v="3"/>
    <x v="1"/>
    <x v="1"/>
    <n v="9.6929999999999996"/>
    <n v="38.605178995151142"/>
    <n v="7.07"/>
    <n v="5.9509999999999996"/>
    <n v="15.827439886845838"/>
    <n v="0.86544838780571187"/>
    <n v="47.9"/>
    <n v="0.98699999999999999"/>
    <n v="6.1660000000000004"/>
  </r>
  <r>
    <n v="181"/>
    <s v="HH"/>
    <s v="Lowland"/>
    <x v="1"/>
    <n v="4"/>
    <x v="1"/>
    <x v="1"/>
    <n v="8.5259999999999998"/>
    <n v="28.735632183908049"/>
    <n v="7.06"/>
    <n v="6.0759999999999996"/>
    <n v="13.937677053824363"/>
    <n v="0.84324564733156959"/>
    <n v="47.15"/>
    <n v="0.70199999999999996"/>
    <n v="4.3899999999999997"/>
  </r>
  <r>
    <n v="184"/>
    <s v="HH"/>
    <s v="Upland"/>
    <x v="1"/>
    <n v="5"/>
    <x v="1"/>
    <x v="1"/>
    <n v="7.2249999999999996"/>
    <n v="15.446366782006917"/>
    <n v="7.05"/>
    <n v="6.109"/>
    <n v="13.347517730496453"/>
    <n v="0.83641170371649265"/>
    <n v="47.87"/>
    <n v="0.88"/>
    <n v="5.4989999999999997"/>
  </r>
  <r>
    <n v="193"/>
    <s v="HH"/>
    <s v="Upland"/>
    <x v="1"/>
    <n v="4"/>
    <x v="1"/>
    <x v="1"/>
    <n v="11.888"/>
    <n v="49.570995962314939"/>
    <n v="7.01"/>
    <n v="5.9950000000000001"/>
    <n v="14.479315263908699"/>
    <n v="0.84955909312696642"/>
    <n v="48.39"/>
    <n v="0.78300000000000003"/>
    <n v="4.891"/>
  </r>
  <r>
    <n v="197"/>
    <s v="HH"/>
    <s v="Lowland"/>
    <x v="1"/>
    <n v="5"/>
    <x v="1"/>
    <x v="1"/>
    <n v="10.595000000000001"/>
    <n v="43.369513921661159"/>
    <n v="6.99"/>
    <n v="6"/>
    <n v="14.163090128755368"/>
    <n v="0.84586826757760913"/>
    <n v="48.4"/>
    <n v="0.58799999999999997"/>
    <n v="3.6779999999999999"/>
  </r>
  <r>
    <n v="201"/>
    <s v="HH"/>
    <s v="Lowland"/>
    <x v="1"/>
    <n v="3"/>
    <x v="1"/>
    <x v="1"/>
    <n v="8.7639999999999993"/>
    <n v="29.084892743039703"/>
    <n v="7.06"/>
    <n v="6.2149999999999999"/>
    <n v="11.96883852691218"/>
    <n v="0.82062650710242147"/>
    <n v="47.3"/>
    <n v="0.66"/>
    <n v="4.125"/>
  </r>
  <r>
    <n v="215"/>
    <s v="HH"/>
    <s v="Lowland"/>
    <x v="1"/>
    <n v="2"/>
    <x v="1"/>
    <x v="1"/>
    <n v="10.353999999999999"/>
    <n v="41.790612323739609"/>
    <n v="7.07"/>
    <n v="6.0270000000000001"/>
    <n v="14.752475247524755"/>
    <n v="0.85275828596751968"/>
    <n v="48.09"/>
    <n v="0.95399999999999996"/>
    <n v="5.9649999999999999"/>
  </r>
  <r>
    <n v="219"/>
    <s v="HH"/>
    <s v="Upland"/>
    <x v="1"/>
    <n v="3"/>
    <x v="1"/>
    <x v="1"/>
    <n v="8.3699999999999992"/>
    <n v="28.769414575866186"/>
    <n v="6.95"/>
    <n v="5.9619999999999997"/>
    <n v="14.215827338129502"/>
    <n v="0.84648284488076653"/>
    <n v="47.74"/>
    <n v="0.88800000000000001"/>
    <n v="5.5529999999999999"/>
  </r>
  <r>
    <n v="223"/>
    <s v="HH"/>
    <s v="Upland"/>
    <x v="1"/>
    <n v="2"/>
    <x v="1"/>
    <x v="1"/>
    <n v="8.8789999999999996"/>
    <n v="31.996846491722035"/>
    <n v="6.97"/>
    <n v="6.0380000000000003"/>
    <n v="13.371592539454799"/>
    <n v="0.8366895740477307"/>
    <n v="48.71"/>
    <n v="0.72199999999999998"/>
    <n v="4.5110000000000001"/>
  </r>
  <r>
    <n v="230"/>
    <s v="HH"/>
    <s v="Upland"/>
    <x v="1"/>
    <n v="1"/>
    <x v="1"/>
    <x v="1"/>
    <n v="10.693"/>
    <n v="43.682783129149904"/>
    <n v="7.01"/>
    <n v="6.0220000000000002"/>
    <n v="14.094151212553488"/>
    <n v="0.84506545154690182"/>
    <n v="48.02"/>
    <n v="1.3480000000000001"/>
    <n v="8.423"/>
  </r>
  <r>
    <n v="236"/>
    <s v="HH"/>
    <s v="Lowland"/>
    <x v="1"/>
    <n v="1"/>
    <x v="1"/>
    <x v="1"/>
    <n v="9054"/>
    <n v="99.932659597967756"/>
    <n v="6.98"/>
    <n v="6.0970000000000004"/>
    <n v="12.650429799426933"/>
    <n v="0.82839925040854734"/>
    <n v="48"/>
    <n v="0.80200000000000005"/>
    <n v="5.0119999999999996"/>
  </r>
  <r>
    <n v="305"/>
    <s v="SB"/>
    <s v="Upland"/>
    <x v="0"/>
    <n v="4"/>
    <x v="1"/>
    <x v="1"/>
    <n v="12.205"/>
    <n v="50.848013109381405"/>
    <n v="7.04"/>
    <n v="5.9989999999999997"/>
    <n v="14.786931818181822"/>
    <n v="0.85316256205894037"/>
    <n v="48.08"/>
    <n v="1.165"/>
    <n v="7.2830000000000004"/>
  </r>
  <r>
    <n v="311"/>
    <s v="SB"/>
    <s v="Lowland"/>
    <x v="0"/>
    <n v="5"/>
    <x v="1"/>
    <x v="1"/>
    <n v="13.576000000000001"/>
    <n v="55.693871538008253"/>
    <n v="7.02"/>
    <n v="6.0149999999999997"/>
    <n v="14.316239316239315"/>
    <n v="0.84765404917102294"/>
    <n v="47.67"/>
    <n v="1.2350000000000001"/>
    <n v="7.718"/>
  </r>
  <r>
    <n v="318"/>
    <s v="SB"/>
    <s v="Lowland"/>
    <x v="0"/>
    <n v="1"/>
    <x v="1"/>
    <x v="1"/>
    <n v="13.073"/>
    <n v="53.943241796068229"/>
    <n v="7.01"/>
    <n v="6.0209999999999999"/>
    <n v="14.10841654778887"/>
    <n v="0.84523152312413319"/>
    <n v="47.98"/>
    <n v="1.194"/>
    <n v="7.4630000000000001"/>
  </r>
  <r>
    <n v="328"/>
    <s v="SB"/>
    <s v="Upland"/>
    <x v="0"/>
    <n v="5"/>
    <x v="1"/>
    <x v="1"/>
    <n v="10.896000000000001"/>
    <n v="44.548458149779741"/>
    <n v="7"/>
    <n v="6.0419999999999998"/>
    <n v="13.685714285714287"/>
    <n v="0.84032224665077837"/>
    <n v="48.08"/>
    <n v="1.1339999999999999"/>
    <n v="7.0880000000000001"/>
  </r>
  <r>
    <n v="331"/>
    <s v="SB"/>
    <s v="Lowland"/>
    <x v="0"/>
    <n v="4"/>
    <x v="1"/>
    <x v="1"/>
    <n v="22.95"/>
    <n v="75.420479302832234"/>
    <n v="7.1"/>
    <n v="5.641"/>
    <n v="20.549295774647884"/>
    <n v="0.92318060984937589"/>
    <n v="47.91"/>
    <n v="1.0840000000000001"/>
    <n v="6.7720000000000002"/>
  </r>
  <r>
    <n v="332"/>
    <s v="SB"/>
    <s v="Upland"/>
    <x v="0"/>
    <n v="1"/>
    <x v="1"/>
    <x v="1"/>
    <n v="11.117000000000001"/>
    <n v="46.640280651254834"/>
    <n v="6.99"/>
    <n v="5.9320000000000004"/>
    <n v="15.135908440629468"/>
    <n v="0.85726631252997842"/>
    <n v="47.89"/>
    <n v="1.1519999999999999"/>
    <n v="7.1970000000000001"/>
  </r>
  <r>
    <n v="333"/>
    <s v="SB"/>
    <s v="Upland"/>
    <x v="0"/>
    <n v="2"/>
    <x v="1"/>
    <x v="1"/>
    <n v="7.65"/>
    <n v="23.699346405228766"/>
    <n v="6.95"/>
    <n v="5.8369999999999997"/>
    <n v="16.014388489208638"/>
    <n v="0.86767187391499223"/>
    <n v="47.98"/>
    <n v="1.083"/>
    <n v="6.7720000000000002"/>
  </r>
  <r>
    <n v="336"/>
    <s v="SB"/>
    <s v="Lowland"/>
    <x v="0"/>
    <n v="3"/>
    <x v="1"/>
    <x v="1"/>
    <n v="10.087999999999999"/>
    <n v="39.512291831879452"/>
    <n v="7.04"/>
    <n v="6.1020000000000003"/>
    <n v="13.323863636363633"/>
    <n v="0.83613876443541835"/>
    <n v="47.33"/>
    <n v="0.83599999999999997"/>
    <n v="5.2249999999999996"/>
  </r>
  <r>
    <n v="338"/>
    <s v="SB"/>
    <s v="Lowland"/>
    <x v="0"/>
    <n v="2"/>
    <x v="1"/>
    <x v="1"/>
    <n v="10.733000000000001"/>
    <n v="44.759154010994131"/>
    <n v="6.99"/>
    <n v="5.9290000000000003"/>
    <n v="15.178826895565093"/>
    <n v="0.85777217208043355"/>
    <n v="48.52"/>
    <n v="0.83699999999999997"/>
    <n v="5.2329999999999997"/>
  </r>
  <r>
    <n v="347"/>
    <s v="SB"/>
    <s v="Upland"/>
    <x v="0"/>
    <n v="3"/>
    <x v="1"/>
    <x v="1"/>
    <n v="8.5749999999999993"/>
    <n v="29.795918367346935"/>
    <n v="7.03"/>
    <n v="6.02"/>
    <n v="14.366998577524903"/>
    <n v="0.84824662706178933"/>
    <n v="45.53"/>
    <n v="0.88400000000000001"/>
    <n v="5.5229999999999997"/>
  </r>
  <r>
    <n v="424"/>
    <s v="SB"/>
    <s v="Lowland"/>
    <x v="1"/>
    <n v="3"/>
    <x v="1"/>
    <x v="1"/>
    <n v="13.27"/>
    <n v="55.764883195177084"/>
    <n v="7.06"/>
    <n v="5.87"/>
    <n v="16.855524079320109"/>
    <n v="0.8777375982250909"/>
    <n v="47.78"/>
    <n v="0.83299999999999996"/>
    <n v="5.2039999999999997"/>
  </r>
  <r>
    <n v="438"/>
    <s v="SB"/>
    <s v="Upland"/>
    <x v="1"/>
    <n v="1"/>
    <x v="1"/>
    <x v="1"/>
    <n v="13.949"/>
    <n v="56.075704351566422"/>
    <n v="7.06"/>
    <n v="6.1269999999999998"/>
    <n v="13.215297450424929"/>
    <n v="0.83488699832157842"/>
    <n v="47.41"/>
    <n v="0.81399999999999995"/>
    <n v="5.09"/>
  </r>
  <r>
    <n v="441"/>
    <s v="SB"/>
    <s v="Lowland"/>
    <x v="1"/>
    <n v="2"/>
    <x v="1"/>
    <x v="1"/>
    <n v="10.811999999999999"/>
    <n v="45.763965963743985"/>
    <n v="6.93"/>
    <n v="5.8639999999999999"/>
    <n v="15.38239538239538"/>
    <n v="0.86017502917740674"/>
    <n v="46.82"/>
    <n v="0.77300000000000002"/>
    <n v="4.8319999999999999"/>
  </r>
  <r>
    <n v="444"/>
    <s v="SB"/>
    <s v="Upland"/>
    <x v="1"/>
    <n v="5"/>
    <x v="1"/>
    <x v="1"/>
    <n v="11.935"/>
    <n v="48.043569333891924"/>
    <n v="6.99"/>
    <n v="6.2009999999999996"/>
    <n v="11.287553648068679"/>
    <n v="0.81291716743792342"/>
    <n v="47.66"/>
    <n v="0.66600000000000004"/>
    <n v="4.1630000000000003"/>
  </r>
  <r>
    <n v="445"/>
    <s v="SB"/>
    <s v="Upland"/>
    <x v="1"/>
    <n v="4"/>
    <x v="1"/>
    <x v="1"/>
    <n v="10.113"/>
    <n v="39.454167902699488"/>
    <n v="7.03"/>
    <n v="6.1230000000000002"/>
    <n v="12.901849217638691"/>
    <n v="0.83128171388670147"/>
    <n v="47.63"/>
    <n v="0.82199999999999995"/>
    <n v="5.1390000000000002"/>
  </r>
  <r>
    <n v="453"/>
    <s v="SB"/>
    <s v="Lowland"/>
    <x v="1"/>
    <n v="4"/>
    <x v="1"/>
    <x v="1"/>
    <n v="12.708"/>
    <n v="52.203336480956878"/>
    <n v="7.03"/>
    <n v="6.0739999999999998"/>
    <n v="13.598862019914657"/>
    <n v="0.83931651975896193"/>
    <n v="47.93"/>
    <n v="0.878"/>
    <n v="5.4859999999999998"/>
  </r>
  <r>
    <n v="460"/>
    <s v="SB"/>
    <s v="Lowland"/>
    <x v="1"/>
    <n v="5"/>
    <x v="1"/>
    <x v="1"/>
    <n v="14.095000000000001"/>
    <n v="57.729691379921952"/>
    <n v="6.99"/>
    <n v="5.9580000000000002"/>
    <n v="14.763948497854077"/>
    <n v="0.85289288251457362"/>
    <n v="47.57"/>
    <n v="0.85099999999999998"/>
    <n v="5.3209999999999997"/>
  </r>
  <r>
    <n v="469"/>
    <s v="SB"/>
    <s v="Upland"/>
    <x v="1"/>
    <n v="2"/>
    <x v="1"/>
    <x v="1"/>
    <n v="9.36"/>
    <n v="36.089743589743584"/>
    <n v="6.95"/>
    <n v="5.9820000000000002"/>
    <n v="13.928057553956833"/>
    <n v="0.84313387992888977"/>
    <n v="49"/>
    <n v="0.82"/>
    <n v="5.1269999999999998"/>
  </r>
  <r>
    <n v="471"/>
    <s v="SB"/>
    <s v="Lowland"/>
    <x v="1"/>
    <n v="1"/>
    <x v="1"/>
    <x v="1"/>
    <n v="13.363"/>
    <n v="54.935269026416222"/>
    <n v="6.95"/>
    <n v="6.0220000000000002"/>
    <n v="13.352517985611509"/>
    <n v="0.83646941007710396"/>
    <n v="48.2"/>
    <n v="0.76"/>
    <n v="4.7519999999999998"/>
  </r>
  <r>
    <n v="480"/>
    <s v="SB"/>
    <s v="Upland"/>
    <x v="1"/>
    <n v="3"/>
    <x v="1"/>
    <x v="1"/>
    <n v="9.6769999999999996"/>
    <n v="37.532293066032857"/>
    <n v="6.92"/>
    <n v="6.0449999999999999"/>
    <n v="12.644508670520233"/>
    <n v="0.82833146612276742"/>
    <n v="46.73"/>
    <n v="0.73899999999999999"/>
    <n v="4.6159999999999997"/>
  </r>
  <r>
    <n v="542"/>
    <s v="BC"/>
    <s v="Lowland"/>
    <x v="0"/>
    <n v="4"/>
    <x v="1"/>
    <x v="1"/>
    <n v="13.427"/>
    <n v="45.289342369851795"/>
    <n v="7.02"/>
    <n v="6.0810000000000004"/>
    <n v="13.376068376068364"/>
    <n v="0.83674124245969217"/>
    <n v="48.13"/>
    <n v="0.95899999999999996"/>
    <n v="5.9930000000000003"/>
  </r>
  <r>
    <n v="548"/>
    <s v="BC"/>
    <s v="Lowland"/>
    <x v="0"/>
    <n v="5"/>
    <x v="1"/>
    <x v="1"/>
    <n v="12.294"/>
    <n v="47.315763787213271"/>
    <n v="7.04"/>
    <n v="5.8170000000000002"/>
    <n v="17.37215909090909"/>
    <n v="0.88397068580127192"/>
    <n v="27.36"/>
    <n v="0.94099999999999995"/>
    <n v="5.8789999999999996"/>
  </r>
  <r>
    <n v="551"/>
    <s v="BC"/>
    <s v="Lowland"/>
    <x v="0"/>
    <n v="2"/>
    <x v="1"/>
    <x v="1"/>
    <n v="11.292999999999999"/>
    <n v="52.687505534401843"/>
    <n v="7.04"/>
    <n v="5.95"/>
    <n v="15.482954545454545"/>
    <n v="0.86136413117235788"/>
    <n v="48.52"/>
    <n v="0.95299999999999996"/>
    <n v="5.9589999999999996"/>
  </r>
  <r>
    <n v="556"/>
    <s v="BC"/>
    <s v="Upland"/>
    <x v="0"/>
    <n v="3"/>
    <x v="1"/>
    <x v="1"/>
    <n v="12.138999999999999"/>
    <n v="49.872312381580038"/>
    <n v="6.94"/>
    <n v="6.0540000000000003"/>
    <n v="12.766570605187322"/>
    <n v="0.82972974447913161"/>
    <n v="47.9"/>
    <n v="0.94"/>
    <n v="5.8719999999999999"/>
  </r>
  <r>
    <n v="561"/>
    <s v="BC"/>
    <s v="Upland"/>
    <x v="0"/>
    <n v="2"/>
    <x v="1"/>
    <x v="1"/>
    <n v="10.032"/>
    <n v="61.752392344497608"/>
    <n v="7.03"/>
    <n v="6.1950000000000003"/>
    <n v="11.877667140825036"/>
    <n v="0.81959137130141302"/>
    <n v="47.98"/>
    <n v="0.998"/>
    <n v="6.2359999999999998"/>
  </r>
  <r>
    <n v="566"/>
    <s v="BC"/>
    <s v="Upland"/>
    <x v="0"/>
    <n v="4"/>
    <x v="1"/>
    <x v="1"/>
    <n v="12.401"/>
    <n v="48.552536085799531"/>
    <n v="6.98"/>
    <n v="6.0209999999999999"/>
    <n v="13.739255014326654"/>
    <n v="0.84094273885191573"/>
    <n v="48.02"/>
    <n v="0.99399999999999999"/>
    <n v="6.2149999999999999"/>
  </r>
  <r>
    <n v="578"/>
    <s v="BC"/>
    <s v="Upland"/>
    <x v="0"/>
    <n v="5"/>
    <x v="1"/>
    <x v="1"/>
    <n v="11.574"/>
    <n v="53.067219630205642"/>
    <n v="7.02"/>
    <n v="6.1420000000000003"/>
    <n v="12.507122507122498"/>
    <n v="0.82675997657903422"/>
    <n v="48.12"/>
    <n v="1.0009999999999999"/>
    <n v="6.2590000000000003"/>
  </r>
  <r>
    <n v="585"/>
    <s v="BC"/>
    <s v="Lowland"/>
    <x v="0"/>
    <n v="3"/>
    <x v="1"/>
    <x v="1"/>
    <n v="13.132999999999999"/>
    <n v="44.856468438285241"/>
    <n v="6.96"/>
    <n v="5.891"/>
    <n v="15.35919540229885"/>
    <n v="0.85990089236672329"/>
    <n v="48.19"/>
    <n v="0.92"/>
    <n v="5.7480000000000002"/>
  </r>
  <r>
    <n v="587"/>
    <s v="BC"/>
    <s v="Upland"/>
    <x v="0"/>
    <n v="1"/>
    <x v="1"/>
    <x v="1"/>
    <n v="8.9969999999999999"/>
    <n v="66.03312215182838"/>
    <n v="7"/>
    <n v="5.9409999999999998"/>
    <n v="15.12857142857143"/>
    <n v="0.85717986024165427"/>
    <n v="48.18"/>
    <n v="1.1220000000000001"/>
    <n v="7.0110000000000001"/>
  </r>
  <r>
    <n v="592"/>
    <s v="BC"/>
    <s v="Lowland"/>
    <x v="0"/>
    <n v="1"/>
    <x v="1"/>
    <x v="1"/>
    <n v="14.63"/>
    <n v="40.266575529733423"/>
    <n v="6.92"/>
    <n v="5.891"/>
    <n v="14.86994219653179"/>
    <n v="0.85413718764997326"/>
    <n v="47.52"/>
    <n v="0.98299999999999998"/>
    <n v="6.1440000000000001"/>
  </r>
  <r>
    <n v="665"/>
    <s v="BC"/>
    <s v="Lowland"/>
    <x v="1"/>
    <n v="3"/>
    <x v="1"/>
    <x v="1"/>
    <n v="13.23"/>
    <n v="45.253212396069536"/>
    <n v="7.09"/>
    <n v="5.9870000000000001"/>
    <n v="15.55712270803949"/>
    <n v="0.86224206916076629"/>
    <n v="47.76"/>
    <n v="1.079"/>
    <n v="6.7430000000000003"/>
  </r>
  <r>
    <n v="675"/>
    <s v="BC"/>
    <s v="Upland"/>
    <x v="1"/>
    <n v="5"/>
    <x v="1"/>
    <x v="1"/>
    <n v="11.863"/>
    <n v="50.661721318384892"/>
    <n v="6.91"/>
    <n v="6.01"/>
    <n v="13.024602026049209"/>
    <n v="0.83269206979240762"/>
    <n v="46.63"/>
    <n v="0.73899999999999999"/>
    <n v="4.6180000000000003"/>
  </r>
  <r>
    <n v="676"/>
    <s v="BC"/>
    <s v="Lowland"/>
    <x v="1"/>
    <n v="1"/>
    <x v="1"/>
    <x v="1"/>
    <n v="12.689"/>
    <n v="48.278036094254865"/>
    <n v="7.06"/>
    <n v="6.1260000000000003"/>
    <n v="13.229461756373928"/>
    <n v="0.83505022365451242"/>
    <n v="47.31"/>
    <n v="0.876"/>
    <n v="5.4779999999999998"/>
  </r>
  <r>
    <n v="681"/>
    <s v="BC"/>
    <s v="Lowland"/>
    <x v="1"/>
    <n v="5"/>
    <x v="1"/>
    <x v="1"/>
    <n v="11.087"/>
    <n v="53.801749797059614"/>
    <n v="6.98"/>
    <n v="5.9649999999999999"/>
    <n v="14.541547277936969"/>
    <n v="0.85028704178434711"/>
    <n v="47.84"/>
    <n v="1.179"/>
    <n v="7.3710000000000004"/>
  </r>
  <r>
    <n v="682"/>
    <s v="BC"/>
    <s v="Upland"/>
    <x v="1"/>
    <n v="4"/>
    <x v="1"/>
    <x v="1"/>
    <n v="11.641"/>
    <n v="51.945709131517901"/>
    <n v="6.95"/>
    <n v="6.0469999999999997"/>
    <n v="12.99280575539569"/>
    <n v="0.83232655884557027"/>
    <n v="47.35"/>
    <n v="0.80800000000000005"/>
    <n v="5.0469999999999997"/>
  </r>
  <r>
    <n v="696"/>
    <s v="BC"/>
    <s v="Upland"/>
    <x v="1"/>
    <n v="2"/>
    <x v="1"/>
    <x v="1"/>
    <n v="10.648"/>
    <n v="58.574380165289263"/>
    <n v="7.05"/>
    <n v="6.2370000000000001"/>
    <n v="11.531914893617017"/>
    <n v="0.81567549984013699"/>
    <n v="47.49"/>
    <n v="0.61399999999999999"/>
    <n v="3.84"/>
  </r>
  <r>
    <n v="707"/>
    <s v="BC"/>
    <s v="Lowland"/>
    <x v="1"/>
    <n v="4"/>
    <x v="1"/>
    <x v="1"/>
    <n v="13.554"/>
    <n v="44.156706507304115"/>
    <n v="7.05"/>
    <n v="5.9850000000000003"/>
    <n v="15.106382978723399"/>
    <n v="0.85691845837418601"/>
    <n v="47.64"/>
    <n v="0.89500000000000002"/>
    <n v="5.5940000000000003"/>
  </r>
  <r>
    <n v="712"/>
    <s v="BC"/>
    <s v="Upland"/>
    <x v="1"/>
    <n v="1"/>
    <x v="1"/>
    <x v="1"/>
    <n v="12.119"/>
    <n v="45.639079131941578"/>
    <n v="7.09"/>
    <n v="5.5309999999999997"/>
    <n v="21.988716502115661"/>
    <n v="0.94146389009144049"/>
    <n v="47.28"/>
    <n v="0.746"/>
    <n v="4.6630000000000003"/>
  </r>
  <r>
    <n v="713"/>
    <s v="BC"/>
    <s v="Upland"/>
    <x v="1"/>
    <n v="3"/>
    <x v="1"/>
    <x v="1"/>
    <n v="13.896000000000001"/>
    <n v="42.465457685664937"/>
    <n v="7.07"/>
    <n v="5.9009999999999998"/>
    <n v="16.53465346534654"/>
    <n v="0.87388583239339501"/>
    <n v="46.51"/>
    <n v="0.873"/>
    <n v="5.4580000000000002"/>
  </r>
  <r>
    <n v="720"/>
    <s v="BC"/>
    <s v="Lowland"/>
    <x v="1"/>
    <n v="2"/>
    <x v="1"/>
    <x v="1"/>
    <n v="11.816000000000001"/>
    <n v="50.397765741367643"/>
    <n v="6.97"/>
    <n v="5.9550000000000001"/>
    <n v="14.562410329985648"/>
    <n v="0.85053120252511438"/>
    <n v="48.27"/>
    <n v="0.74199999999999999"/>
    <n v="4.6349999999999998"/>
  </r>
  <r>
    <n v="16"/>
    <s v="HH"/>
    <s v="Upland"/>
    <x v="0"/>
    <n v="3"/>
    <x v="0"/>
    <x v="2"/>
    <n v="6.6128999999999998"/>
    <n v="14.216153276172333"/>
    <n v="7.07"/>
    <n v="5.6727999999999996"/>
    <n v="19.762376237623773"/>
    <n v="1.3187899455689411"/>
    <m/>
    <m/>
    <m/>
  </r>
  <r>
    <n v="20"/>
    <s v="HH"/>
    <s v="Lowland"/>
    <x v="0"/>
    <n v="3"/>
    <x v="0"/>
    <x v="2"/>
    <n v="6.7380000000000004"/>
    <n v="15.273078064707635"/>
    <n v="7.07"/>
    <n v="5.7088999999999999"/>
    <n v="19.251768033946256"/>
    <n v="1.3124464079503668"/>
    <m/>
    <m/>
    <m/>
  </r>
  <r>
    <n v="23"/>
    <s v="HH"/>
    <s v="Upland"/>
    <x v="0"/>
    <n v="2"/>
    <x v="0"/>
    <x v="2"/>
    <n v="6.8620000000000001"/>
    <n v="22.002331681725448"/>
    <n v="6.99"/>
    <n v="5.3521999999999998"/>
    <n v="23.430615164520749"/>
    <n v="1.3655851535783399"/>
    <m/>
    <m/>
    <m/>
  </r>
  <r>
    <n v="25"/>
    <s v="HH"/>
    <s v="Lowland"/>
    <x v="0"/>
    <n v="1"/>
    <x v="0"/>
    <x v="2"/>
    <n v="7.8643999999999998"/>
    <n v="29.660241086414736"/>
    <n v="6.9799999999999995"/>
    <n v="5.5317999999999996"/>
    <n v="20.747851002865332"/>
    <n v="1.3311479455833743"/>
    <m/>
    <m/>
    <m/>
  </r>
  <r>
    <n v="35"/>
    <s v="HH"/>
    <s v="Lowland"/>
    <x v="0"/>
    <n v="5"/>
    <x v="0"/>
    <x v="2"/>
    <n v="6.0628000000000002"/>
    <n v="11.420465791383521"/>
    <n v="6.94"/>
    <n v="5.3704000000000001"/>
    <n v="22.616714697406344"/>
    <n v="1.3550116695444181"/>
    <m/>
    <m/>
    <m/>
  </r>
  <r>
    <n v="39"/>
    <s v="HH"/>
    <s v="Upland"/>
    <x v="0"/>
    <n v="1"/>
    <x v="0"/>
    <x v="2"/>
    <n v="6.9782000000000002"/>
    <n v="19.016365251784126"/>
    <n v="7.0100000000000007"/>
    <n v="5.6512000000000002"/>
    <n v="19.383737517831673"/>
    <n v="1.3140820777271593"/>
    <m/>
    <m/>
    <m/>
  </r>
  <r>
    <n v="40"/>
    <s v="HH"/>
    <s v="Lowland"/>
    <x v="0"/>
    <n v="4"/>
    <x v="0"/>
    <x v="2"/>
    <n v="14.254300000000001"/>
    <n v="64.244473597440773"/>
    <n v="6.98"/>
    <n v="5.0967000000000002"/>
    <n v="26.981375358166193"/>
    <n v="1.4130679339685492"/>
    <m/>
    <m/>
    <m/>
  </r>
  <r>
    <n v="42"/>
    <s v="HH"/>
    <s v="Upland"/>
    <x v="0"/>
    <n v="4"/>
    <x v="0"/>
    <x v="2"/>
    <n v="7.0585000000000004"/>
    <n v="21.545654175816395"/>
    <n v="6.96"/>
    <n v="5.5377000000000001"/>
    <n v="20.435344827586206"/>
    <n v="1.327212510913911"/>
    <m/>
    <m/>
    <m/>
  </r>
  <r>
    <n v="47"/>
    <s v="HH"/>
    <s v="Upland"/>
    <x v="0"/>
    <n v="5"/>
    <x v="0"/>
    <x v="2"/>
    <n v="6.0750999999999999"/>
    <n v="9.6047801682276823"/>
    <n v="6.97"/>
    <n v="5.4916"/>
    <n v="21.210903873744616"/>
    <n v="1.3370078613992293"/>
    <m/>
    <m/>
    <m/>
  </r>
  <r>
    <n v="48"/>
    <s v="HH"/>
    <s v="Lowland"/>
    <x v="0"/>
    <n v="3"/>
    <x v="0"/>
    <x v="2"/>
    <n v="6.33"/>
    <n v="13.652448657188"/>
    <n v="6.99"/>
    <n v="5.4657999999999998"/>
    <n v="21.805436337625185"/>
    <n v="1.3445823479054042"/>
    <m/>
    <m/>
    <m/>
  </r>
  <r>
    <n v="126"/>
    <s v="HH"/>
    <s v="Lowland"/>
    <x v="1"/>
    <n v="5"/>
    <x v="0"/>
    <x v="2"/>
    <n v="6.4332000000000003"/>
    <n v="11.476403656034332"/>
    <n v="7.03"/>
    <n v="5.6948999999999996"/>
    <n v="18.991465149359897"/>
    <n v="1.3092279570082146"/>
    <m/>
    <m/>
    <m/>
  </r>
  <r>
    <n v="129"/>
    <s v="HH"/>
    <s v="Upland"/>
    <x v="1"/>
    <n v="5"/>
    <x v="0"/>
    <x v="2"/>
    <n v="6.2610999999999999"/>
    <n v="15.522831451342412"/>
    <n v="7.02"/>
    <n v="5.2892000000000001"/>
    <n v="24.655270655270652"/>
    <n v="1.3817085010052987"/>
    <m/>
    <m/>
    <m/>
  </r>
  <r>
    <n v="139"/>
    <s v="HH"/>
    <s v="Lowland"/>
    <x v="1"/>
    <n v="4"/>
    <x v="0"/>
    <x v="2"/>
    <n v="12.1386"/>
    <n v="54.625739376863891"/>
    <n v="7.05"/>
    <n v="5.5077999999999996"/>
    <n v="21.875177304964545"/>
    <n v="1.3454746361057568"/>
    <m/>
    <m/>
    <m/>
  </r>
  <r>
    <n v="140"/>
    <s v="HH"/>
    <s v="Upland"/>
    <x v="1"/>
    <n v="4"/>
    <x v="0"/>
    <x v="2"/>
    <n v="7.4005999999999998"/>
    <n v="21.573926438396882"/>
    <n v="7.09"/>
    <n v="5.8040000000000003"/>
    <n v="18.13822284908321"/>
    <n v="1.2987502941902043"/>
    <m/>
    <m/>
    <m/>
  </r>
  <r>
    <n v="148"/>
    <s v="HH"/>
    <s v="Lowland"/>
    <x v="1"/>
    <n v="3"/>
    <x v="0"/>
    <x v="2"/>
    <n v="6.7416"/>
    <n v="17.538863177880625"/>
    <n v="7.05"/>
    <n v="5.5591999999999997"/>
    <n v="21.146099290780143"/>
    <n v="1.3361856924743065"/>
    <m/>
    <m/>
    <m/>
  </r>
  <r>
    <n v="157"/>
    <s v="HH"/>
    <s v="Upland"/>
    <x v="1"/>
    <n v="3"/>
    <x v="0"/>
    <x v="2"/>
    <n v="6.4819000000000004"/>
    <n v="14.019037627856038"/>
    <n v="6.99"/>
    <n v="5.5731999999999999"/>
    <n v="20.268955650929904"/>
    <n v="1.325123449656529"/>
    <m/>
    <m/>
    <m/>
  </r>
  <r>
    <n v="159"/>
    <s v="HH"/>
    <s v="Upland"/>
    <x v="1"/>
    <n v="2"/>
    <x v="0"/>
    <x v="2"/>
    <n v="6.7679"/>
    <n v="16.356624654619605"/>
    <n v="7.08"/>
    <n v="5.6608999999999998"/>
    <n v="20.043785310734467"/>
    <n v="1.3223033061987852"/>
    <m/>
    <m/>
    <m/>
  </r>
  <r>
    <n v="162"/>
    <s v="HH"/>
    <s v="Lowland"/>
    <x v="1"/>
    <n v="1"/>
    <x v="0"/>
    <x v="2"/>
    <n v="7.6631999999999998"/>
    <n v="24.720743292619275"/>
    <n v="7.1"/>
    <n v="5.7687999999999997"/>
    <n v="18.749295774647887"/>
    <n v="1.3062429860949667"/>
    <m/>
    <m/>
    <m/>
  </r>
  <r>
    <n v="163"/>
    <s v="HH"/>
    <s v="Upland"/>
    <x v="1"/>
    <n v="1"/>
    <x v="0"/>
    <x v="2"/>
    <n v="7.0014000000000003"/>
    <n v="16.62381809352415"/>
    <n v="7.07"/>
    <n v="5.8375000000000004"/>
    <n v="17.432814710042432"/>
    <n v="1.2901701455815753"/>
    <m/>
    <m/>
    <m/>
  </r>
  <r>
    <n v="178"/>
    <s v="HH"/>
    <s v="Lowland"/>
    <x v="1"/>
    <n v="2"/>
    <x v="0"/>
    <x v="2"/>
    <n v="6.9683000000000002"/>
    <n v="19.996268817358605"/>
    <n v="7.07"/>
    <n v="5.5749000000000004"/>
    <n v="21.147100424328144"/>
    <n v="1.3361983886110134"/>
    <m/>
    <m/>
    <m/>
  </r>
  <r>
    <n v="244"/>
    <s v="SB"/>
    <s v="Lowland"/>
    <x v="0"/>
    <n v="5"/>
    <x v="0"/>
    <x v="2"/>
    <n v="20.490100000000002"/>
    <n v="73.447176929346369"/>
    <n v="6.98"/>
    <n v="5.4406999999999996"/>
    <n v="22.053008595988548"/>
    <n v="1.3477534763820584"/>
    <m/>
    <m/>
    <m/>
  </r>
  <r>
    <n v="259"/>
    <s v="SB"/>
    <s v="Upland"/>
    <x v="0"/>
    <n v="5"/>
    <x v="0"/>
    <x v="2"/>
    <n v="19.716699999999999"/>
    <n v="72.405625687868664"/>
    <n v="7.02"/>
    <n v="5.4406999999999996"/>
    <n v="22.497150997150996"/>
    <n v="1.3534677776454969"/>
    <m/>
    <m/>
    <m/>
  </r>
  <r>
    <n v="260"/>
    <s v="SB"/>
    <s v="Lowland"/>
    <x v="0"/>
    <n v="1"/>
    <x v="0"/>
    <x v="2"/>
    <n v="17.674600000000002"/>
    <n v="68.732531429282702"/>
    <n v="7.05"/>
    <n v="5.5263999999999998"/>
    <n v="21.611347517730497"/>
    <n v="1.3421032965220645"/>
    <m/>
    <m/>
    <m/>
  </r>
  <r>
    <n v="266"/>
    <s v="SB"/>
    <s v="Lowland"/>
    <x v="0"/>
    <n v="2"/>
    <x v="0"/>
    <x v="2"/>
    <n v="16.7014"/>
    <n v="66.575855916270484"/>
    <n v="7.02"/>
    <n v="5.5823"/>
    <n v="20.480056980056975"/>
    <n v="1.3277746288581513"/>
    <m/>
    <m/>
    <m/>
  </r>
  <r>
    <n v="269"/>
    <s v="SB"/>
    <s v="Upland"/>
    <x v="0"/>
    <n v="3"/>
    <x v="0"/>
    <x v="2"/>
    <n v="9.9959000000000007"/>
    <n v="43.555857901739714"/>
    <n v="6.9999999999999991"/>
    <n v="5.6421000000000001"/>
    <n v="19.398571428571419"/>
    <n v="1.3142661010894177"/>
    <m/>
    <m/>
    <m/>
  </r>
  <r>
    <n v="278"/>
    <s v="SB"/>
    <s v="Lowland"/>
    <x v="0"/>
    <n v="3"/>
    <x v="0"/>
    <x v="2"/>
    <n v="9.0296000000000003"/>
    <n v="37.063657304864009"/>
    <n v="7.06"/>
    <n v="5.6829000000000001"/>
    <n v="19.505665722379597"/>
    <n v="1.3155956743530546"/>
    <m/>
    <m/>
    <m/>
  </r>
  <r>
    <n v="281"/>
    <s v="SB"/>
    <s v="Upland"/>
    <x v="0"/>
    <n v="2"/>
    <x v="0"/>
    <x v="2"/>
    <n v="15.992900000000001"/>
    <n v="65.258333385439798"/>
    <n v="7.04"/>
    <n v="5.5561999999999996"/>
    <n v="21.076704545454554"/>
    <n v="1.3353060374736139"/>
    <m/>
    <m/>
    <m/>
  </r>
  <r>
    <n v="287"/>
    <s v="SB"/>
    <s v="Upland"/>
    <x v="0"/>
    <n v="1"/>
    <x v="0"/>
    <x v="2"/>
    <n v="12.0032"/>
    <n v="51.682884564116236"/>
    <n v="7.0100000000000007"/>
    <n v="5.7995999999999999"/>
    <n v="17.266761768901578"/>
    <n v="1.288161040057707"/>
    <m/>
    <m/>
    <m/>
  </r>
  <r>
    <n v="290"/>
    <s v="SB"/>
    <s v="Lowland"/>
    <x v="0"/>
    <n v="4"/>
    <x v="0"/>
    <x v="2"/>
    <n v="6.9192999999999998"/>
    <n v="17.868859566719173"/>
    <n v="6.92"/>
    <n v="5.6829000000000001"/>
    <n v="17.877167630057802"/>
    <n v="1.2955663924774821"/>
    <m/>
    <m/>
    <m/>
  </r>
  <r>
    <n v="299"/>
    <s v="SB"/>
    <s v="Upland"/>
    <x v="0"/>
    <n v="4"/>
    <x v="0"/>
    <x v="2"/>
    <n v="20.890999999999998"/>
    <n v="73.560863529749653"/>
    <n v="6.9099999999999993"/>
    <n v="5.5233999999999996"/>
    <n v="20.066570188133138"/>
    <n v="1.3225883137441334"/>
    <m/>
    <m/>
    <m/>
  </r>
  <r>
    <n v="372"/>
    <s v="SB"/>
    <s v="Lowland"/>
    <x v="1"/>
    <n v="1"/>
    <x v="0"/>
    <x v="2"/>
    <n v="19.230499999999999"/>
    <n v="71.03299446192247"/>
    <n v="6.97"/>
    <n v="5.5705"/>
    <n v="20.078909612625534"/>
    <n v="1.322742696923308"/>
    <m/>
    <m/>
    <m/>
  </r>
  <r>
    <n v="374"/>
    <s v="SB"/>
    <s v="Upland"/>
    <x v="1"/>
    <n v="3"/>
    <x v="0"/>
    <x v="2"/>
    <n v="10.6341"/>
    <n v="48.103741736489219"/>
    <n v="6.99"/>
    <n v="5.5186999999999999"/>
    <n v="21.048640915593708"/>
    <n v="1.3349505196073879"/>
    <m/>
    <m/>
    <m/>
  </r>
  <r>
    <n v="385"/>
    <s v="SB"/>
    <s v="Upland"/>
    <x v="1"/>
    <n v="2"/>
    <x v="0"/>
    <x v="2"/>
    <n v="13.993"/>
    <n v="58.767955406274574"/>
    <n v="7.01"/>
    <n v="5.7695999999999996"/>
    <n v="17.694721825962915"/>
    <n v="1.2933472356877473"/>
    <m/>
    <m/>
    <m/>
  </r>
  <r>
    <n v="386"/>
    <s v="SB"/>
    <s v="Lowland"/>
    <x v="1"/>
    <n v="2"/>
    <x v="0"/>
    <x v="2"/>
    <n v="13.8095"/>
    <n v="59.716861580795836"/>
    <n v="6.91"/>
    <n v="5.5629"/>
    <n v="19.494934876989873"/>
    <n v="1.3154623714283782"/>
    <m/>
    <m/>
    <m/>
  </r>
  <r>
    <n v="394"/>
    <s v="SB"/>
    <s v="Lowland"/>
    <x v="1"/>
    <n v="3"/>
    <x v="0"/>
    <x v="2"/>
    <n v="11.0466"/>
    <n v="50.829214418916223"/>
    <n v="6.94"/>
    <n v="5.4317000000000002"/>
    <n v="21.733429394812681"/>
    <n v="1.343661902732443"/>
    <m/>
    <m/>
    <m/>
  </r>
  <r>
    <n v="398"/>
    <s v="SB"/>
    <s v="Lowland"/>
    <x v="1"/>
    <n v="4"/>
    <x v="0"/>
    <x v="2"/>
    <n v="9.3363999999999994"/>
    <n v="37.119232252259962"/>
    <n v="7.06"/>
    <n v="5.8708"/>
    <n v="16.844192634560901"/>
    <n v="1.2830664294183538"/>
    <m/>
    <m/>
    <m/>
  </r>
  <r>
    <n v="413"/>
    <s v="SB"/>
    <s v="Upland"/>
    <x v="1"/>
    <n v="1"/>
    <x v="0"/>
    <x v="2"/>
    <n v="10.5387"/>
    <n v="47.674760644102214"/>
    <n v="6.93"/>
    <n v="5.5144000000000002"/>
    <n v="20.427128427128423"/>
    <n v="1.3271092492806165"/>
    <m/>
    <m/>
    <m/>
  </r>
  <r>
    <n v="414"/>
    <s v="SB"/>
    <s v="Upland"/>
    <x v="1"/>
    <n v="5"/>
    <x v="0"/>
    <x v="2"/>
    <n v="18.811"/>
    <n v="69.945776407421178"/>
    <n v="7.07"/>
    <n v="5.6535000000000002"/>
    <n v="20.035360678925034"/>
    <n v="1.3221979461834283"/>
    <m/>
    <m/>
    <m/>
  </r>
  <r>
    <n v="417"/>
    <s v="SB"/>
    <s v="Lowland"/>
    <x v="1"/>
    <n v="5"/>
    <x v="0"/>
    <x v="2"/>
    <n v="17.663"/>
    <n v="68.28511577874653"/>
    <n v="7.02"/>
    <n v="5.6017999999999999"/>
    <n v="20.2022792022792"/>
    <n v="1.3242875320403935"/>
    <m/>
    <m/>
    <m/>
  </r>
  <r>
    <n v="418"/>
    <s v="SB"/>
    <s v="Upland"/>
    <x v="1"/>
    <n v="4"/>
    <x v="0"/>
    <x v="2"/>
    <n v="21.006799999999998"/>
    <n v="73.22962088466592"/>
    <n v="6.91"/>
    <n v="5.6235999999999997"/>
    <n v="18.616497829233001"/>
    <n v="1.304609898224073"/>
    <m/>
    <m/>
    <m/>
  </r>
  <r>
    <n v="488"/>
    <s v="BC"/>
    <s v="Lowland"/>
    <x v="0"/>
    <n v="4"/>
    <x v="0"/>
    <x v="2"/>
    <n v="21.667999999999999"/>
    <n v="25.838102270629506"/>
    <n v="7.08"/>
    <n v="5.5986000000000002"/>
    <n v="20.923728813559318"/>
    <n v="1.3333696298878439"/>
    <m/>
    <m/>
    <m/>
  </r>
  <r>
    <n v="500"/>
    <s v="BC"/>
    <s v="Upland"/>
    <x v="0"/>
    <n v="4"/>
    <x v="0"/>
    <x v="2"/>
    <n v="19.6919"/>
    <n v="27.523499509950796"/>
    <n v="7.04"/>
    <n v="5.4199000000000002"/>
    <n v="23.01278409090909"/>
    <n v="1.3601430937412144"/>
    <m/>
    <m/>
    <m/>
  </r>
  <r>
    <n v="501"/>
    <s v="BC"/>
    <s v="Upland"/>
    <x v="0"/>
    <n v="4"/>
    <x v="0"/>
    <x v="2"/>
    <n v="22.454699999999999"/>
    <n v="23.881859922421587"/>
    <n v="6.94"/>
    <n v="5.3625999999999996"/>
    <n v="22.729106628242086"/>
    <n v="1.3564651310879119"/>
    <m/>
    <m/>
    <m/>
  </r>
  <r>
    <n v="502"/>
    <s v="BC"/>
    <s v="Upland"/>
    <x v="0"/>
    <n v="2"/>
    <x v="0"/>
    <x v="2"/>
    <n v="22.043099999999999"/>
    <n v="25.399784966724283"/>
    <n v="7"/>
    <n v="5.5989000000000004"/>
    <n v="20.015714285714278"/>
    <n v="1.3219522878483665"/>
    <m/>
    <m/>
    <m/>
  </r>
  <r>
    <n v="506"/>
    <s v="BC"/>
    <s v="Upland"/>
    <x v="0"/>
    <n v="1"/>
    <x v="0"/>
    <x v="2"/>
    <n v="21.81"/>
    <n v="23.883539660706099"/>
    <n v="6.94"/>
    <n v="5.2089999999999996"/>
    <n v="24.942363112391941"/>
    <n v="1.3855261644237684"/>
    <m/>
    <m/>
    <m/>
  </r>
  <r>
    <n v="513"/>
    <s v="BC"/>
    <s v="Lowland"/>
    <x v="0"/>
    <n v="3"/>
    <x v="0"/>
    <x v="2"/>
    <n v="25.606999999999999"/>
    <n v="22.234935759753192"/>
    <n v="7.02"/>
    <n v="5.6936999999999998"/>
    <n v="18.893162393162392"/>
    <n v="1.3080152062769828"/>
    <m/>
    <m/>
    <m/>
  </r>
  <r>
    <n v="518"/>
    <s v="BC"/>
    <s v="Lowland"/>
    <x v="0"/>
    <n v="5"/>
    <x v="0"/>
    <x v="2"/>
    <n v="23.661300000000001"/>
    <n v="23.173705586759812"/>
    <n v="6.97"/>
    <n v="5.4832000000000001"/>
    <n v="21.331420373027253"/>
    <n v="1.3385386413023348"/>
    <m/>
    <m/>
    <m/>
  </r>
  <r>
    <n v="521"/>
    <s v="BC"/>
    <s v="Lowland"/>
    <x v="0"/>
    <n v="2"/>
    <x v="0"/>
    <x v="2"/>
    <n v="17.267299999999999"/>
    <n v="32.4202394120679"/>
    <n v="7.08"/>
    <n v="5.5980999999999996"/>
    <n v="20.930790960451983"/>
    <n v="1.3334589419173406"/>
    <m/>
    <m/>
    <m/>
  </r>
  <r>
    <n v="530"/>
    <s v="BC"/>
    <s v="Upland"/>
    <x v="0"/>
    <n v="3"/>
    <x v="0"/>
    <x v="2"/>
    <n v="24.96"/>
    <n v="21.867387820512821"/>
    <n v="6.91"/>
    <n v="5.4581"/>
    <n v="21.011577424023155"/>
    <n v="1.3344811825998111"/>
    <m/>
    <m/>
    <m/>
  </r>
  <r>
    <n v="536"/>
    <s v="BC"/>
    <s v="Upland"/>
    <x v="0"/>
    <n v="5"/>
    <x v="0"/>
    <x v="2"/>
    <n v="16.0059"/>
    <n v="34.623482590794644"/>
    <n v="6.94"/>
    <n v="5.5418000000000003"/>
    <n v="20.146974063400577"/>
    <n v="1.3235947054520796"/>
    <m/>
    <m/>
    <m/>
  </r>
  <r>
    <n v="609"/>
    <s v="BC"/>
    <s v="Lowland"/>
    <x v="1"/>
    <n v="4"/>
    <x v="0"/>
    <x v="2"/>
    <n v="16.0059"/>
    <n v="29.819004242185692"/>
    <n v="7"/>
    <n v="4.7728000000000002"/>
    <n v="31.817142857142855"/>
    <n v="1.481589302945076"/>
    <m/>
    <m/>
    <m/>
  </r>
  <r>
    <n v="611"/>
    <s v="BC"/>
    <s v="Lowland"/>
    <x v="0"/>
    <n v="1"/>
    <x v="0"/>
    <x v="2"/>
    <n v="16.385999999999999"/>
    <n v="29.055291102160385"/>
    <n v="6.99"/>
    <n v="4.7610000000000001"/>
    <n v="31.888412017167383"/>
    <n v="1.4826351147014467"/>
    <m/>
    <m/>
    <m/>
  </r>
  <r>
    <n v="619"/>
    <s v="BC"/>
    <s v="Upland"/>
    <x v="1"/>
    <n v="3"/>
    <x v="0"/>
    <x v="2"/>
    <n v="20.043800000000001"/>
    <n v="26.969436933116476"/>
    <n v="7.09"/>
    <n v="5.4057000000000004"/>
    <n v="23.755994358251051"/>
    <n v="1.3698436767934046"/>
    <m/>
    <m/>
    <m/>
  </r>
  <r>
    <n v="623"/>
    <s v="BC"/>
    <s v="Lowland"/>
    <x v="1"/>
    <n v="1"/>
    <x v="0"/>
    <x v="2"/>
    <n v="23.178999999999998"/>
    <n v="22.990638077570214"/>
    <n v="6.97"/>
    <n v="5.3289999999999997"/>
    <n v="23.543758967001434"/>
    <n v="1.367063910125897"/>
    <m/>
    <m/>
    <m/>
  </r>
  <r>
    <n v="625"/>
    <s v="BC"/>
    <s v="Lowland"/>
    <x v="1"/>
    <n v="3"/>
    <x v="0"/>
    <x v="2"/>
    <n v="24.944099999999999"/>
    <n v="21.463993489442394"/>
    <n v="7.04"/>
    <n v="5.3540000000000001"/>
    <n v="23.948863636363633"/>
    <n v="1.3723765137399"/>
    <m/>
    <m/>
    <m/>
  </r>
  <r>
    <n v="627"/>
    <s v="BC"/>
    <s v="Upland"/>
    <x v="1"/>
    <n v="1"/>
    <x v="0"/>
    <x v="2"/>
    <n v="18.384"/>
    <n v="29.074194952132288"/>
    <n v="6.94"/>
    <n v="5.3449999999999998"/>
    <n v="22.982708933717589"/>
    <n v="1.3597525187098143"/>
    <m/>
    <m/>
    <m/>
  </r>
  <r>
    <n v="628"/>
    <s v="BC"/>
    <s v="Upland"/>
    <x v="1"/>
    <n v="5"/>
    <x v="0"/>
    <x v="2"/>
    <n v="13.2371"/>
    <n v="40.828429187661946"/>
    <n v="6.94"/>
    <n v="5.4044999999999996"/>
    <n v="22.12536023054756"/>
    <n v="1.3486821233127024"/>
    <m/>
    <m/>
    <m/>
  </r>
  <r>
    <n v="630"/>
    <s v="BC"/>
    <s v="Lowland"/>
    <x v="1"/>
    <n v="5"/>
    <x v="0"/>
    <x v="2"/>
    <n v="18.229700000000001"/>
    <n v="27.190244491132599"/>
    <n v="6.94"/>
    <n v="4.9566999999999997"/>
    <n v="28.577809798270902"/>
    <n v="1.4351738664559184"/>
    <m/>
    <m/>
    <m/>
  </r>
  <r>
    <n v="649"/>
    <s v="BC"/>
    <s v="Lowland"/>
    <x v="1"/>
    <n v="2"/>
    <x v="0"/>
    <x v="2"/>
    <n v="18.371500000000001"/>
    <n v="27.772909125547717"/>
    <n v="7"/>
    <n v="5.1022999999999996"/>
    <n v="27.110000000000007"/>
    <n v="1.4148310192620794"/>
    <m/>
    <m/>
    <m/>
  </r>
  <r>
    <n v="651"/>
    <s v="BC"/>
    <s v="Upland"/>
    <x v="1"/>
    <n v="2"/>
    <x v="0"/>
    <x v="2"/>
    <n v="15.3287"/>
    <n v="33.40857346024125"/>
    <n v="6.97"/>
    <n v="5.1211000000000002"/>
    <n v="26.526542324246766"/>
    <n v="1.4068582537147392"/>
    <m/>
    <m/>
    <m/>
  </r>
  <r>
    <n v="61"/>
    <s v="HH"/>
    <s v="Upland"/>
    <x v="0"/>
    <n v="3"/>
    <x v="1"/>
    <x v="2"/>
    <n v="6.0030000000000001"/>
    <n v="9.5785440613026847"/>
    <n v="7.05"/>
    <n v="5.4279999999999999"/>
    <n v="23.007092198581557"/>
    <n v="1.3600691635196642"/>
    <m/>
    <m/>
    <m/>
  </r>
  <r>
    <n v="62"/>
    <s v="HH"/>
    <s v="Lowland"/>
    <x v="0"/>
    <n v="5"/>
    <x v="1"/>
    <x v="2"/>
    <n v="6.66"/>
    <n v="15.195195195195202"/>
    <n v="6.97"/>
    <n v="5.6479999999999997"/>
    <n v="18.967001434720231"/>
    <n v="1.3089260132496014"/>
    <m/>
    <m/>
    <m/>
  </r>
  <r>
    <n v="64"/>
    <s v="HH"/>
    <s v="Upland"/>
    <x v="0"/>
    <n v="5"/>
    <x v="1"/>
    <x v="2"/>
    <n v="6.2590000000000003"/>
    <n v="10.816424348937536"/>
    <n v="7.02"/>
    <n v="5.5819999999999999"/>
    <n v="20.484330484330481"/>
    <n v="1.327828371591699"/>
    <m/>
    <m/>
    <m/>
  </r>
  <r>
    <n v="76"/>
    <s v="HH"/>
    <s v="Upland"/>
    <x v="0"/>
    <n v="4"/>
    <x v="1"/>
    <x v="2"/>
    <n v="6.625"/>
    <n v="9.9773584905660311"/>
    <n v="7"/>
    <n v="5.9640000000000004"/>
    <n v="14.799999999999994"/>
    <n v="1.258781040820931"/>
    <m/>
    <m/>
    <m/>
  </r>
  <r>
    <n v="85"/>
    <s v="HH"/>
    <s v="Lowland"/>
    <x v="0"/>
    <n v="2"/>
    <x v="1"/>
    <x v="2"/>
    <n v="6.5529999999999999"/>
    <n v="13.200061040744702"/>
    <n v="7.04"/>
    <n v="5.6879999999999997"/>
    <n v="19.20454545454546"/>
    <n v="1.311861766337121"/>
    <m/>
    <m/>
    <m/>
  </r>
  <r>
    <n v="88"/>
    <s v="HH"/>
    <s v="Upland"/>
    <x v="0"/>
    <n v="1"/>
    <x v="1"/>
    <x v="2"/>
    <n v="6.2990000000000004"/>
    <n v="6.3184632481346332"/>
    <n v="7.05"/>
    <n v="5.9009999999999998"/>
    <n v="16.297872340425531"/>
    <n v="1.2765180774172553"/>
    <m/>
    <m/>
    <m/>
  </r>
  <r>
    <n v="93"/>
    <s v="HH"/>
    <s v="Upland"/>
    <x v="0"/>
    <n v="3"/>
    <x v="1"/>
    <x v="2"/>
    <n v="6.0209999999999999"/>
    <n v="9.3339976748048539"/>
    <n v="7.02"/>
    <n v="5.4589999999999996"/>
    <n v="22.236467236467234"/>
    <n v="1.3501098839062089"/>
    <m/>
    <m/>
    <m/>
  </r>
  <r>
    <n v="100"/>
    <s v="HH"/>
    <s v="Lowland"/>
    <x v="0"/>
    <n v="1"/>
    <x v="1"/>
    <x v="2"/>
    <n v="6.4420000000000002"/>
    <n v="11.45606954362"/>
    <n v="7.06"/>
    <n v="5.7039999999999997"/>
    <n v="19.206798866855522"/>
    <n v="1.3118896570612657"/>
    <m/>
    <m/>
    <m/>
  </r>
  <r>
    <n v="101"/>
    <s v="HH"/>
    <s v="Lowland"/>
    <x v="0"/>
    <n v="4"/>
    <x v="1"/>
    <x v="2"/>
    <n v="18.414000000000001"/>
    <n v="70.956880634300006"/>
    <n v="6.95"/>
    <n v="5.3479999999999999"/>
    <n v="23.050359712230222"/>
    <n v="1.3606312890051138"/>
    <m/>
    <m/>
    <m/>
  </r>
  <r>
    <n v="115"/>
    <s v="HH"/>
    <s v="Lowland"/>
    <x v="0"/>
    <n v="3"/>
    <x v="1"/>
    <x v="2"/>
    <n v="6.2069999999999999"/>
    <n v="9.2154019655227994"/>
    <n v="7.05"/>
    <n v="5.6349999999999998"/>
    <n v="20.070921985815605"/>
    <n v="1.3226427580005473"/>
    <m/>
    <m/>
    <m/>
  </r>
  <r>
    <n v="185"/>
    <s v="HH"/>
    <s v="Lowland"/>
    <x v="1"/>
    <m/>
    <x v="1"/>
    <x v="2"/>
    <n v="6.6289999999999996"/>
    <n v="14.210288127922755"/>
    <n v="6.98"/>
    <n v="5.6870000000000003"/>
    <n v="18.5243553008596"/>
    <n v="1.3034783371177281"/>
    <m/>
    <m/>
    <m/>
  </r>
  <r>
    <n v="191"/>
    <s v="HH"/>
    <s v="Upland"/>
    <x v="1"/>
    <m/>
    <x v="1"/>
    <x v="2"/>
    <n v="7.3209999999999997"/>
    <n v="20.980740336019664"/>
    <n v="7.06"/>
    <n v="5.7850000000000001"/>
    <n v="18.059490084985828"/>
    <n v="1.2977889795276205"/>
    <m/>
    <m/>
    <m/>
  </r>
  <r>
    <n v="207"/>
    <s v="HH"/>
    <s v="Upland"/>
    <x v="1"/>
    <m/>
    <x v="1"/>
    <x v="2"/>
    <n v="6.4749999999999996"/>
    <n v="10.918918918918918"/>
    <n v="6.98"/>
    <n v="5.7679999999999998"/>
    <n v="17.363896848137543"/>
    <n v="1.2893358054597428"/>
    <m/>
    <m/>
    <m/>
  </r>
  <r>
    <n v="208"/>
    <s v="HH"/>
    <s v="Lowland"/>
    <x v="1"/>
    <m/>
    <x v="1"/>
    <x v="2"/>
    <n v="19.946000000000002"/>
    <n v="72.019452521808887"/>
    <n v="7.02"/>
    <n v="5.5810000000000004"/>
    <n v="20.498575498575487"/>
    <n v="1.3280075348995328"/>
    <m/>
    <m/>
    <m/>
  </r>
  <r>
    <n v="213"/>
    <s v="HH"/>
    <s v="Lowland"/>
    <x v="1"/>
    <m/>
    <x v="1"/>
    <x v="2"/>
    <n v="7.4980000000000002"/>
    <n v="21.859162443318219"/>
    <n v="7.04"/>
    <n v="5.859"/>
    <n v="16.775568181818183"/>
    <n v="1.2822415182754092"/>
    <m/>
    <m/>
    <m/>
  </r>
  <r>
    <n v="217"/>
    <s v="HH"/>
    <s v="Upland"/>
    <x v="1"/>
    <m/>
    <x v="1"/>
    <x v="2"/>
    <n v="6.0810000000000004"/>
    <n v="4.6045058378556192"/>
    <n v="6.99"/>
    <n v="5.8010000000000002"/>
    <n v="17.010014306151646"/>
    <n v="1.2850625284299013"/>
    <m/>
    <m/>
    <m/>
  </r>
  <r>
    <n v="220"/>
    <s v="HH"/>
    <s v="Lowland"/>
    <x v="1"/>
    <m/>
    <x v="1"/>
    <x v="2"/>
    <n v="8.1890000000000001"/>
    <n v="33.215288802051532"/>
    <n v="6.97"/>
    <n v="5.4690000000000003"/>
    <n v="21.535150645624096"/>
    <n v="1.3411317290759066"/>
    <m/>
    <m/>
    <m/>
  </r>
  <r>
    <n v="225"/>
    <s v="HH"/>
    <s v="Upland"/>
    <x v="1"/>
    <m/>
    <x v="1"/>
    <x v="2"/>
    <n v="6.6029999999999998"/>
    <n v="15.311222171740122"/>
    <n v="6.97"/>
    <n v="5.5919999999999996"/>
    <n v="19.770444763271165"/>
    <n v="1.3188905085090332"/>
    <m/>
    <m/>
    <m/>
  </r>
  <r>
    <n v="235"/>
    <s v="HH"/>
    <s v="Lowland"/>
    <x v="1"/>
    <m/>
    <x v="1"/>
    <x v="2"/>
    <n v="6.5620000000000003"/>
    <n v="13.212435233160621"/>
    <n v="7.04"/>
    <n v="5.6950000000000003"/>
    <n v="19.105113636363633"/>
    <n v="1.3106318619389152"/>
    <m/>
    <m/>
    <m/>
  </r>
  <r>
    <n v="240"/>
    <s v="HH"/>
    <s v="Upland"/>
    <x v="1"/>
    <m/>
    <x v="1"/>
    <x v="2"/>
    <n v="6.97"/>
    <n v="14.505021520803446"/>
    <n v="7.02"/>
    <n v="5.9589999999999996"/>
    <n v="15.113960113960115"/>
    <n v="1.2624728249409876"/>
    <m/>
    <m/>
    <m/>
  </r>
  <r>
    <n v="304"/>
    <s v="SB"/>
    <s v="Lowland"/>
    <x v="0"/>
    <n v="4"/>
    <x v="1"/>
    <x v="2"/>
    <n v="14.79"/>
    <n v="60.689655172413794"/>
    <n v="7.05"/>
    <n v="5.8140000000000001"/>
    <n v="17.531914893617017"/>
    <n v="1.2913711033556028"/>
    <m/>
    <m/>
    <m/>
  </r>
  <r>
    <n v="320"/>
    <s v="SB"/>
    <s v="Upland"/>
    <x v="0"/>
    <n v="5"/>
    <x v="1"/>
    <x v="2"/>
    <n v="14.298999999999999"/>
    <n v="58.773340793062459"/>
    <n v="7.05"/>
    <n v="5.8949999999999996"/>
    <n v="16.382978723404261"/>
    <n v="1.2775353715029529"/>
    <m/>
    <m/>
    <m/>
  </r>
  <r>
    <n v="323"/>
    <s v="SB"/>
    <s v="Lowland"/>
    <x v="0"/>
    <n v="1"/>
    <x v="1"/>
    <x v="2"/>
    <n v="32.539000000000001"/>
    <n v="82.657733796367438"/>
    <n v="6.97"/>
    <n v="5.6429999999999998"/>
    <n v="19.038737446197992"/>
    <n v="1.3098116744535393"/>
    <m/>
    <m/>
    <m/>
  </r>
  <r>
    <n v="324"/>
    <s v="SB"/>
    <s v="Upland"/>
    <x v="0"/>
    <n v="4"/>
    <x v="1"/>
    <x v="2"/>
    <n v="24.056999999999999"/>
    <n v="76.214823128403367"/>
    <n v="6.98"/>
    <n v="5.7220000000000004"/>
    <n v="18.02292263610315"/>
    <n v="1.2973428108144722"/>
    <m/>
    <m/>
    <m/>
  </r>
  <r>
    <n v="327"/>
    <s v="SB"/>
    <s v="Upland"/>
    <x v="0"/>
    <n v="2"/>
    <x v="1"/>
    <x v="2"/>
    <n v="7.694"/>
    <n v="24.499610085781125"/>
    <n v="7.01"/>
    <n v="5.8090000000000002"/>
    <n v="17.132667617689009"/>
    <n v="1.2865415507042128"/>
    <m/>
    <m/>
    <m/>
  </r>
  <r>
    <n v="335"/>
    <s v="SB"/>
    <s v="Lowland"/>
    <x v="0"/>
    <n v="3"/>
    <x v="1"/>
    <x v="2"/>
    <n v="6.1849999999999996"/>
    <n v="8.957154405820523"/>
    <n v="7.07"/>
    <n v="5.6310000000000002"/>
    <n v="20.353606789250353"/>
    <n v="1.3261857223041098"/>
    <m/>
    <m/>
    <m/>
  </r>
  <r>
    <n v="337"/>
    <s v="SB"/>
    <s v="Upland"/>
    <x v="0"/>
    <n v="5"/>
    <x v="1"/>
    <x v="2"/>
    <n v="24.556000000000001"/>
    <n v="77.378237497963838"/>
    <n v="7.07"/>
    <n v="5.5549999999999997"/>
    <n v="21.428571428571434"/>
    <n v="1.339774345484998"/>
    <m/>
    <m/>
    <m/>
  </r>
  <r>
    <n v="339"/>
    <s v="SB"/>
    <s v="Lowland"/>
    <x v="0"/>
    <n v="2"/>
    <x v="1"/>
    <x v="2"/>
    <n v="10.145"/>
    <n v="43.331690487925087"/>
    <n v="7.07"/>
    <n v="5.7489999999999997"/>
    <n v="18.684582743988692"/>
    <n v="1.3054468419354375"/>
    <m/>
    <m/>
    <m/>
  </r>
  <r>
    <n v="354"/>
    <s v="SB"/>
    <s v="Lowland"/>
    <x v="0"/>
    <n v="5"/>
    <x v="1"/>
    <x v="2"/>
    <n v="23.456"/>
    <n v="76.990961800818553"/>
    <n v="6.97"/>
    <n v="5.3970000000000002"/>
    <n v="22.568149210903869"/>
    <n v="1.3543842698040365"/>
    <m/>
    <m/>
    <m/>
  </r>
  <r>
    <n v="356"/>
    <s v="SB"/>
    <s v="Upland"/>
    <x v="0"/>
    <n v="3"/>
    <x v="1"/>
    <x v="2"/>
    <n v="10.58"/>
    <n v="49.281663516068058"/>
    <n v="6.94"/>
    <n v="5.3659999999999997"/>
    <n v="22.680115273775225"/>
    <n v="1.3558313111833906"/>
    <m/>
    <m/>
    <m/>
  </r>
  <r>
    <n v="422"/>
    <s v="SB"/>
    <s v="Lowland"/>
    <x v="1"/>
    <n v="1"/>
    <x v="1"/>
    <x v="2"/>
    <n v="28.768000000000001"/>
    <n v="80.488737486095658"/>
    <n v="6.91"/>
    <n v="5.6130000000000004"/>
    <n v="18.769898697539794"/>
    <n v="1.3064965904876258"/>
    <m/>
    <m/>
    <m/>
  </r>
  <r>
    <n v="425"/>
    <s v="SB"/>
    <s v="Upland"/>
    <x v="1"/>
    <n v="3"/>
    <x v="1"/>
    <x v="2"/>
    <n v="9.5530000000000008"/>
    <n v="39.495446456610487"/>
    <n v="6.92"/>
    <n v="5.78"/>
    <n v="16.473988439306353"/>
    <n v="1.2786243756134017"/>
    <m/>
    <m/>
    <m/>
  </r>
  <r>
    <n v="430"/>
    <s v="SB"/>
    <s v="Lowland"/>
    <x v="1"/>
    <n v="4"/>
    <x v="1"/>
    <x v="2"/>
    <n v="14.614000000000001"/>
    <n v="60.544683180511839"/>
    <n v="6.92"/>
    <n v="5.766"/>
    <n v="16.676300578034681"/>
    <n v="1.2810494590814776"/>
    <m/>
    <m/>
    <m/>
  </r>
  <r>
    <n v="434"/>
    <s v="SB"/>
    <s v="Upland"/>
    <x v="1"/>
    <n v="1"/>
    <x v="1"/>
    <x v="2"/>
    <n v="12.641999999999999"/>
    <n v="52.68153773137162"/>
    <n v="6.92"/>
    <n v="5.9820000000000002"/>
    <n v="13.554913294797686"/>
    <n v="1.2442730980899317"/>
    <m/>
    <m/>
    <m/>
  </r>
  <r>
    <n v="439"/>
    <s v="SB"/>
    <s v="Lowland"/>
    <x v="1"/>
    <n v="5"/>
    <x v="1"/>
    <x v="2"/>
    <n v="21.949000000000002"/>
    <n v="74.969246890518932"/>
    <n v="7.01"/>
    <n v="5.4939999999999998"/>
    <n v="21.626248216833098"/>
    <n v="1.3422934020415263"/>
    <m/>
    <m/>
    <m/>
  </r>
  <r>
    <n v="442"/>
    <s v="SB"/>
    <s v="Upland"/>
    <x v="1"/>
    <n v="4"/>
    <x v="1"/>
    <x v="2"/>
    <n v="21.015000000000001"/>
    <n v="72.610040447299554"/>
    <n v="6.96"/>
    <n v="5.7560000000000002"/>
    <n v="17.298850574712642"/>
    <n v="1.2885489739893166"/>
    <m/>
    <m/>
    <m/>
  </r>
  <r>
    <n v="443"/>
    <s v="SB"/>
    <s v="Upland"/>
    <x v="1"/>
    <n v="5"/>
    <x v="1"/>
    <x v="2"/>
    <n v="21.815999999999999"/>
    <n v="72.960212687935453"/>
    <n v="7.03"/>
    <n v="5.899"/>
    <n v="16.088193456614512"/>
    <n v="1.2740161494697451"/>
    <m/>
    <m/>
    <m/>
  </r>
  <r>
    <n v="450"/>
    <s v="SB"/>
    <s v="Lowland"/>
    <x v="1"/>
    <n v="2"/>
    <x v="1"/>
    <x v="2"/>
    <n v="10.218999999999999"/>
    <n v="43.252764458361867"/>
    <n v="7.02"/>
    <n v="5.7990000000000004"/>
    <n v="17.393162393162385"/>
    <n v="1.2896900178115258"/>
    <m/>
    <m/>
    <m/>
  </r>
  <r>
    <n v="455"/>
    <s v="SB"/>
    <s v="Lowland"/>
    <x v="1"/>
    <n v="3"/>
    <x v="1"/>
    <x v="2"/>
    <n v="11.856"/>
    <n v="52.682186234817806"/>
    <n v="6.93"/>
    <n v="5.61"/>
    <n v="19.04761904761904"/>
    <n v="1.3099213823353164"/>
    <m/>
    <m/>
    <m/>
  </r>
  <r>
    <n v="467"/>
    <s v="SB"/>
    <s v="Upland"/>
    <x v="1"/>
    <n v="2"/>
    <x v="1"/>
    <x v="2"/>
    <n v="11.865"/>
    <n v="51.698272229245681"/>
    <n v="7.07"/>
    <n v="5.7309999999999999"/>
    <n v="18.939179632248944"/>
    <n v="1.3085827330069908"/>
    <m/>
    <m/>
    <m/>
  </r>
  <r>
    <n v="544"/>
    <s v="BC"/>
    <s v="Lowland"/>
    <x v="0"/>
    <n v="5"/>
    <x v="1"/>
    <x v="2"/>
    <n v="17.367000000000001"/>
    <n v="34.490700754304136"/>
    <n v="7.08"/>
    <n v="5.99"/>
    <n v="15.395480225988697"/>
    <n v="1.2657947842463801"/>
    <m/>
    <m/>
    <m/>
  </r>
  <r>
    <n v="545"/>
    <s v="BC"/>
    <s v="Upland"/>
    <x v="0"/>
    <n v="3"/>
    <x v="1"/>
    <x v="2"/>
    <n v="16.036000000000001"/>
    <n v="36.885757046645047"/>
    <n v="7.04"/>
    <n v="5.915"/>
    <n v="15.980113636363635"/>
    <n v="1.2727289614077106"/>
    <m/>
    <m/>
    <m/>
  </r>
  <r>
    <n v="553"/>
    <s v="BC"/>
    <s v="Upland"/>
    <x v="0"/>
    <n v="1"/>
    <x v="1"/>
    <x v="2"/>
    <n v="15.532999999999999"/>
    <n v="36.444988089873171"/>
    <n v="7.09"/>
    <n v="5.6609999999999996"/>
    <n v="20.155148095909738"/>
    <n v="1.3236970741576231"/>
    <m/>
    <m/>
    <m/>
  </r>
  <r>
    <n v="557"/>
    <s v="BC"/>
    <s v="Upland"/>
    <x v="0"/>
    <n v="4"/>
    <x v="1"/>
    <x v="2"/>
    <n v="18.681999999999999"/>
    <n v="32.164650465688908"/>
    <n v="7.02"/>
    <n v="6.0090000000000003"/>
    <n v="14.401709401709391"/>
    <n v="1.2541171613540385"/>
    <m/>
    <m/>
    <m/>
  </r>
  <r>
    <n v="564"/>
    <s v="BC"/>
    <s v="Lowland"/>
    <x v="0"/>
    <n v="4"/>
    <x v="1"/>
    <x v="2"/>
    <n v="20.623999999999999"/>
    <n v="28.835337470907685"/>
    <n v="6.95"/>
    <n v="5.9470000000000001"/>
    <n v="14.431654676258995"/>
    <n v="1.2544670575203538"/>
    <m/>
    <m/>
    <m/>
  </r>
  <r>
    <n v="581"/>
    <s v="BC"/>
    <s v="Lowland"/>
    <x v="0"/>
    <n v="3"/>
    <x v="1"/>
    <x v="2"/>
    <n v="17.747"/>
    <n v="33.814165774497098"/>
    <n v="7.1"/>
    <n v="6.0010000000000003"/>
    <n v="15.478873239436611"/>
    <n v="1.2667809507080035"/>
    <m/>
    <m/>
    <m/>
  </r>
  <r>
    <n v="588"/>
    <s v="BC"/>
    <s v="Lowland"/>
    <x v="0"/>
    <n v="2"/>
    <x v="1"/>
    <x v="2"/>
    <n v="22.143000000000001"/>
    <n v="26.961116379894325"/>
    <n v="7"/>
    <n v="5.97"/>
    <n v="14.714285714285719"/>
    <n v="1.2577755103189121"/>
    <m/>
    <m/>
    <m/>
  </r>
  <r>
    <n v="589"/>
    <s v="BC"/>
    <s v="Upland"/>
    <x v="0"/>
    <n v="5"/>
    <x v="1"/>
    <x v="2"/>
    <n v="15.615"/>
    <n v="40.531540185718853"/>
    <n v="6.93"/>
    <n v="6.3289999999999997"/>
    <n v="8.6724386724386733"/>
    <n v="1.1893298560767531"/>
    <m/>
    <m/>
    <m/>
  </r>
  <r>
    <n v="594"/>
    <s v="BC"/>
    <s v="Upland"/>
    <x v="0"/>
    <n v="2"/>
    <x v="1"/>
    <x v="2"/>
    <n v="17.707999999999998"/>
    <n v="34.0185227016038"/>
    <n v="6.92"/>
    <n v="6.024"/>
    <n v="12.947976878612716"/>
    <n v="1.2372765678000954"/>
    <m/>
    <m/>
    <m/>
  </r>
  <r>
    <n v="599"/>
    <s v="BC"/>
    <s v="Lowland"/>
    <x v="0"/>
    <n v="1"/>
    <x v="1"/>
    <x v="2"/>
    <n v="23.652000000000001"/>
    <n v="23.647048875359378"/>
    <n v="7.02"/>
    <n v="5.593"/>
    <n v="20.327635327635324"/>
    <n v="1.3258596908663782"/>
    <m/>
    <m/>
    <m/>
  </r>
  <r>
    <n v="662"/>
    <s v="BC"/>
    <s v="Upland"/>
    <x v="1"/>
    <n v="5"/>
    <x v="1"/>
    <x v="2"/>
    <n v="13.036"/>
    <n v="45.819269714636391"/>
    <n v="7.01"/>
    <n v="5.9729999999999999"/>
    <n v="14.793152639087017"/>
    <n v="1.2587006759644395"/>
    <m/>
    <m/>
    <m/>
  </r>
  <r>
    <n v="670"/>
    <s v="BC"/>
    <s v="Lowland"/>
    <x v="1"/>
    <n v="3"/>
    <x v="1"/>
    <x v="2"/>
    <n v="17.707999999999998"/>
    <n v="33.312627061215274"/>
    <n v="7"/>
    <n v="5.899"/>
    <n v="15.728571428571428"/>
    <n v="1.2697395927024846"/>
    <m/>
    <m/>
    <m/>
  </r>
  <r>
    <n v="674"/>
    <s v="BC"/>
    <s v="Upland"/>
    <x v="1"/>
    <n v="1"/>
    <x v="1"/>
    <x v="2"/>
    <n v="14.382999999999999"/>
    <n v="40.15156782312453"/>
    <n v="6.92"/>
    <n v="5.7750000000000004"/>
    <n v="16.546242774566469"/>
    <n v="1.2794898018898306"/>
    <m/>
    <m/>
    <m/>
  </r>
  <r>
    <n v="680"/>
    <s v="BC"/>
    <s v="Lowland"/>
    <x v="1"/>
    <n v="2"/>
    <x v="1"/>
    <x v="2"/>
    <n v="19.251000000000001"/>
    <n v="31.016570567762713"/>
    <n v="6.98"/>
    <n v="5.9710000000000001"/>
    <n v="14.455587392550148"/>
    <n v="1.2547467878775354"/>
    <m/>
    <m/>
    <m/>
  </r>
  <r>
    <n v="683"/>
    <s v="BC"/>
    <s v="Lowland"/>
    <x v="1"/>
    <n v="4"/>
    <x v="1"/>
    <x v="2"/>
    <n v="13.725"/>
    <n v="44.495446265938071"/>
    <n v="7.09"/>
    <n v="6.1070000000000002"/>
    <n v="13.864598025387863"/>
    <n v="1.2478619749711481"/>
    <m/>
    <m/>
    <m/>
  </r>
  <r>
    <n v="687"/>
    <s v="BC"/>
    <s v="Upland"/>
    <x v="1"/>
    <n v="3"/>
    <x v="1"/>
    <x v="2"/>
    <n v="14.164"/>
    <n v="43.024569330697545"/>
    <n v="6.99"/>
    <n v="6.0940000000000003"/>
    <n v="12.818311874105865"/>
    <n v="1.2357881643503112"/>
    <m/>
    <m/>
    <m/>
  </r>
  <r>
    <n v="697"/>
    <s v="BC"/>
    <s v="Lowland"/>
    <x v="1"/>
    <n v="1"/>
    <x v="1"/>
    <x v="2"/>
    <n v="22.155000000000001"/>
    <n v="25.488603024148048"/>
    <n v="7.02"/>
    <n v="5.6470000000000002"/>
    <n v="19.55840455840455"/>
    <n v="1.3162510760151296"/>
    <m/>
    <m/>
    <m/>
  </r>
  <r>
    <n v="698"/>
    <s v="BC"/>
    <s v="Upland"/>
    <x v="1"/>
    <n v="2"/>
    <x v="1"/>
    <x v="2"/>
    <n v="18.623999999999999"/>
    <n v="32.893041237113408"/>
    <n v="7.05"/>
    <n v="6.1260000000000003"/>
    <n v="13.106382978723396"/>
    <n v="1.2390978970817035"/>
    <m/>
    <m/>
    <m/>
  </r>
  <r>
    <n v="700"/>
    <s v="BC"/>
    <s v="Upland"/>
    <x v="1"/>
    <n v="4"/>
    <x v="1"/>
    <x v="2"/>
    <n v="17.462"/>
    <n v="33.123353567747102"/>
    <n v="6.96"/>
    <n v="5.7839999999999998"/>
    <n v="16.896551724137936"/>
    <n v="1.2836962781579744"/>
    <m/>
    <m/>
    <m/>
  </r>
  <r>
    <n v="705"/>
    <s v="BC"/>
    <s v="Lowland"/>
    <x v="1"/>
    <n v="5"/>
    <x v="1"/>
    <x v="2"/>
    <n v="19.576000000000001"/>
    <n v="28.417449938700447"/>
    <n v="6.92"/>
    <n v="5.5629999999999997"/>
    <n v="19.609826589595379"/>
    <n v="1.3168905272045317"/>
    <m/>
    <m/>
    <m/>
  </r>
  <r>
    <n v="9"/>
    <s v="HH"/>
    <s v="Upland"/>
    <x v="0"/>
    <n v="3"/>
    <x v="0"/>
    <x v="3"/>
    <n v="6.3006000000000002"/>
    <n v="13.041615084277685"/>
    <n v="6.93"/>
    <n v="5.4789000000000003"/>
    <n v="20.939393939393934"/>
    <n v="2.0267149315458979"/>
    <n v="48"/>
    <n v="1.175"/>
    <n v="7.3460000000000001"/>
  </r>
  <r>
    <n v="12"/>
    <s v="HH"/>
    <s v="Lowland"/>
    <x v="0"/>
    <n v="2"/>
    <x v="0"/>
    <x v="3"/>
    <n v="6.5397999999999996"/>
    <n v="18.355301385363457"/>
    <n v="6.99"/>
    <n v="5.3394000000000004"/>
    <n v="23.613733905579394"/>
    <n v="2.0611267383650396"/>
    <n v="47.49"/>
    <n v="0.91"/>
    <n v="5.6870000000000003"/>
  </r>
  <r>
    <n v="21"/>
    <s v="HH"/>
    <s v="Upland"/>
    <x v="0"/>
    <n v="2"/>
    <x v="0"/>
    <x v="3"/>
    <n v="5.8028000000000004"/>
    <n v="12.690425311918393"/>
    <n v="6.9499999999999993"/>
    <n v="5.0663999999999998"/>
    <n v="27.102158273381288"/>
    <n v="2.1078706225846724"/>
    <n v="47.51"/>
    <n v="1.246"/>
    <n v="7.7850000000000001"/>
  </r>
  <r>
    <n v="27"/>
    <s v="HH"/>
    <s v="Lowland"/>
    <x v="0"/>
    <n v="1"/>
    <x v="0"/>
    <x v="3"/>
    <n v="5.8532000000000002"/>
    <n v="11.716667805644782"/>
    <n v="7.05"/>
    <n v="5.1673999999999998"/>
    <n v="26.703546099290783"/>
    <n v="2.102417425383158"/>
    <n v="48.11"/>
    <n v="1.3069999999999999"/>
    <n v="8.1660000000000004"/>
  </r>
  <r>
    <n v="44"/>
    <s v="HH"/>
    <s v="Lowland"/>
    <x v="0"/>
    <n v="5"/>
    <x v="0"/>
    <x v="3"/>
    <n v="6.0739999999999998"/>
    <n v="18.14784326638129"/>
    <n v="7.06"/>
    <n v="4.9717000000000002"/>
    <n v="29.579320113314438"/>
    <n v="2.1424426867973412"/>
    <n v="47.8"/>
    <n v="1.121"/>
    <n v="7.0039999999999996"/>
  </r>
  <r>
    <n v="46"/>
    <s v="HH"/>
    <s v="Lowland"/>
    <x v="0"/>
    <n v="4"/>
    <x v="0"/>
    <x v="3"/>
    <n v="8.0637000000000008"/>
    <n v="34.908292719223191"/>
    <n v="6.98"/>
    <n v="5.2488000000000001"/>
    <n v="24.802292263610319"/>
    <n v="2.0768089069538056"/>
    <n v="44.99"/>
    <n v="1.1200000000000001"/>
    <n v="7"/>
  </r>
  <r>
    <n v="49"/>
    <s v="HH"/>
    <s v="Upland"/>
    <x v="0"/>
    <n v="1"/>
    <x v="0"/>
    <x v="3"/>
    <n v="6.0578000000000003"/>
    <n v="13.277097296048076"/>
    <n v="6.9300000000000006"/>
    <n v="5.2534999999999998"/>
    <n v="24.191919191919201"/>
    <n v="2.0687247612831738"/>
    <n v="48.21"/>
    <n v="1.0609999999999999"/>
    <n v="6.63"/>
  </r>
  <r>
    <n v="52"/>
    <s v="HH"/>
    <s v="Upland"/>
    <x v="0"/>
    <n v="4"/>
    <x v="0"/>
    <x v="3"/>
    <n v="5.8727"/>
    <n v="14.894341614589537"/>
    <n v="6.9500000000000011"/>
    <n v="4.9980000000000002"/>
    <n v="28.086330935251809"/>
    <n v="2.1214632963919953"/>
    <n v="47.25"/>
    <n v="1.2070000000000001"/>
    <n v="7.5419999999999998"/>
  </r>
  <r>
    <n v="58"/>
    <s v="HH"/>
    <s v="Upland"/>
    <x v="0"/>
    <n v="5"/>
    <x v="0"/>
    <x v="3"/>
    <n v="6.1505999999999998"/>
    <n v="14.335186811042815"/>
    <n v="7.0200000000000005"/>
    <n v="5.2689000000000004"/>
    <n v="24.944444444444443"/>
    <n v="2.0787010751521122"/>
    <n v="47.3"/>
    <n v="1.034"/>
    <n v="6.4619999999999997"/>
  </r>
  <r>
    <n v="122"/>
    <s v="HH"/>
    <s v="Lowland"/>
    <x v="1"/>
    <n v="5"/>
    <x v="0"/>
    <x v="3"/>
    <n v="7.1124000000000001"/>
    <n v="24.275912490861039"/>
    <n v="7.08"/>
    <n v="5.3857999999999997"/>
    <n v="23.92937853107345"/>
    <n v="2.0652675165423124"/>
    <n v="48.4"/>
    <n v="1.0169999999999999"/>
    <n v="6.3540000000000001"/>
  </r>
  <r>
    <n v="128"/>
    <s v="HH"/>
    <s v="Lowland"/>
    <x v="1"/>
    <n v="4"/>
    <x v="0"/>
    <x v="3"/>
    <n v="9.2081"/>
    <n v="36.574320435268945"/>
    <n v="7.06"/>
    <n v="5.8403"/>
    <n v="17.27620396600566"/>
    <n v="1.9814223553494426"/>
    <n v="39.340000000000003"/>
    <n v="1.1910000000000001"/>
    <n v="7.4420000000000002"/>
  </r>
  <r>
    <n v="147"/>
    <s v="HH"/>
    <s v="Upland"/>
    <x v="1"/>
    <n v="3"/>
    <x v="0"/>
    <x v="3"/>
    <n v="6.2760999999999996"/>
    <n v="15.315243542964579"/>
    <n v="6.99"/>
    <n v="5.3148999999999997"/>
    <n v="23.964234620886987"/>
    <n v="2.0657258285323077"/>
    <n v="47.06"/>
    <n v="0.97499999999999998"/>
    <n v="6.0949999999999998"/>
  </r>
  <r>
    <n v="149"/>
    <s v="HH"/>
    <s v="Upland"/>
    <x v="1"/>
    <n v="5"/>
    <x v="0"/>
    <x v="3"/>
    <n v="6.0053000000000001"/>
    <n v="14.971774932143269"/>
    <n v="7.01"/>
    <n v="5.1062000000000003"/>
    <n v="27.15834522111269"/>
    <n v="2.1086416826179835"/>
    <n v="47.25"/>
    <n v="1.008"/>
    <n v="6.298"/>
  </r>
  <r>
    <n v="150"/>
    <s v="HH"/>
    <s v="Lowland"/>
    <x v="1"/>
    <n v="3"/>
    <x v="0"/>
    <x v="3"/>
    <n v="6.4962"/>
    <n v="15.387457282719128"/>
    <n v="7.04"/>
    <n v="5.4965999999999999"/>
    <n v="21.923295454545453"/>
    <n v="2.0392379201309252"/>
    <n v="47.23"/>
    <n v="0.84"/>
    <n v="5.2510000000000003"/>
  </r>
  <r>
    <n v="152"/>
    <s v="HH"/>
    <s v="Upland"/>
    <x v="1"/>
    <n v="2"/>
    <x v="0"/>
    <x v="3"/>
    <n v="6.1037999999999997"/>
    <n v="13.927389495068637"/>
    <n v="7.02"/>
    <n v="5.2537000000000003"/>
    <n v="25.160968660968653"/>
    <n v="2.0815900969855305"/>
    <n v="47.15"/>
    <n v="1.044"/>
    <n v="6.5220000000000002"/>
  </r>
  <r>
    <n v="154"/>
    <s v="HH"/>
    <s v="Upland"/>
    <x v="1"/>
    <n v="4"/>
    <x v="0"/>
    <x v="3"/>
    <n v="6.4123999999999999"/>
    <n v="13.307030129124819"/>
    <n v="7.07"/>
    <n v="5.5590999999999999"/>
    <n v="21.370579915134375"/>
    <n v="2.0321837244800864"/>
    <n v="48.31"/>
    <n v="0.70499999999999996"/>
    <n v="4.4039999999999999"/>
  </r>
  <r>
    <n v="161"/>
    <s v="HH"/>
    <s v="Lowland"/>
    <x v="1"/>
    <n v="1"/>
    <x v="0"/>
    <x v="3"/>
    <n v="6.9043999999999999"/>
    <n v="20.052430334279592"/>
    <n v="7.07"/>
    <n v="5.5198999999999998"/>
    <n v="21.925035360678933"/>
    <n v="2.0392602049536572"/>
    <n v="47.27"/>
    <n v="0.68300000000000005"/>
    <n v="4.2670000000000003"/>
  </r>
  <r>
    <n v="167"/>
    <s v="HH"/>
    <s v="Upland"/>
    <x v="1"/>
    <n v="1"/>
    <x v="0"/>
    <x v="3"/>
    <n v="6.0449000000000002"/>
    <n v="12.215255835497699"/>
    <n v="6.99"/>
    <n v="5.3064999999999998"/>
    <n v="24.084406294706728"/>
    <n v="2.0673075412540336"/>
    <n v="48.23"/>
    <n v="0.89200000000000002"/>
    <n v="5.5720000000000001"/>
  </r>
  <r>
    <n v="180"/>
    <s v="HH"/>
    <s v="Lowland"/>
    <x v="1"/>
    <n v="2"/>
    <x v="0"/>
    <x v="3"/>
    <n v="6.9192"/>
    <n v="21.035668863452418"/>
    <n v="7.06"/>
    <n v="5.4637000000000002"/>
    <n v="22.610481586402258"/>
    <n v="2.048078304803667"/>
    <n v="47.38"/>
    <n v="0.94"/>
    <n v="5.8730000000000002"/>
  </r>
  <r>
    <n v="245"/>
    <s v="SB"/>
    <s v="Lowland"/>
    <x v="0"/>
    <n v="5"/>
    <x v="0"/>
    <x v="3"/>
    <n v="6.7293000000000003"/>
    <n v="21.257783127516984"/>
    <n v="6.9699999999999989"/>
    <n v="5.2988"/>
    <n v="23.977044476327105"/>
    <n v="2.0658943141725179"/>
    <n v="47.2"/>
    <n v="1.4750000000000001"/>
    <n v="9.2189999999999994"/>
  </r>
  <r>
    <n v="248"/>
    <s v="SB"/>
    <s v="Upland"/>
    <x v="0"/>
    <n v="4"/>
    <x v="0"/>
    <x v="3"/>
    <n v="6.7751000000000001"/>
    <n v="18.683119068353239"/>
    <n v="7.0799999999999992"/>
    <n v="5.5092999999999996"/>
    <n v="22.185028248587564"/>
    <n v="2.0425958035816327"/>
    <n v="48.17"/>
    <n v="1.4770000000000001"/>
    <n v="9.2289999999999992"/>
  </r>
  <r>
    <n v="255"/>
    <s v="SB"/>
    <s v="Upland"/>
    <x v="0"/>
    <n v="5"/>
    <x v="0"/>
    <x v="3"/>
    <n v="6.7332000000000001"/>
    <n v="22.335590803778288"/>
    <n v="6.9499999999999993"/>
    <n v="5.2293000000000003"/>
    <n v="24.758273381294952"/>
    <n v="2.0762237028979631"/>
    <n v="46.96"/>
    <n v="1.5629999999999999"/>
    <n v="9.7680000000000007"/>
  </r>
  <r>
    <n v="261"/>
    <s v="SB"/>
    <s v="Upland"/>
    <x v="0"/>
    <n v="3"/>
    <x v="0"/>
    <x v="3"/>
    <n v="6.5052000000000003"/>
    <n v="20.535878989116409"/>
    <n v="6.97"/>
    <n v="5.1692999999999998"/>
    <n v="25.835007173601149"/>
    <n v="2.0906374111654609"/>
    <n v="47.28"/>
    <n v="1.5629999999999999"/>
    <n v="9.7680000000000007"/>
  </r>
  <r>
    <n v="262"/>
    <s v="SB"/>
    <s v="Lowland"/>
    <x v="0"/>
    <n v="4"/>
    <x v="0"/>
    <x v="3"/>
    <n v="8.5045000000000002"/>
    <n v="36.85578223293551"/>
    <n v="7.0299999999999994"/>
    <n v="5.3700999999999999"/>
    <n v="23.611664295874817"/>
    <n v="2.0610996447293126"/>
    <n v="48.68"/>
    <n v="1.5309999999999999"/>
    <n v="9.5679999999999996"/>
  </r>
  <r>
    <n v="279"/>
    <s v="SB"/>
    <s v="Lowland"/>
    <x v="0"/>
    <n v="3"/>
    <x v="0"/>
    <x v="3"/>
    <n v="6.7671999999999999"/>
    <n v="22.906076368365049"/>
    <n v="6.9399999999999995"/>
    <n v="5.2171000000000003"/>
    <n v="24.825648414985583"/>
    <n v="2.0771195517859433"/>
    <n v="48.64"/>
    <n v="1.36"/>
    <n v="8.5009999999999994"/>
  </r>
  <r>
    <n v="284"/>
    <s v="SB"/>
    <s v="Upland"/>
    <x v="0"/>
    <n v="2"/>
    <x v="0"/>
    <x v="3"/>
    <n v="6.3775000000000004"/>
    <n v="19.390043120344963"/>
    <n v="6.99"/>
    <n v="5.1409000000000002"/>
    <n v="26.453505007153073"/>
    <n v="2.0990118640581743"/>
    <n v="47.98"/>
    <n v="1.304"/>
    <n v="8.1530000000000005"/>
  </r>
  <r>
    <n v="286"/>
    <s v="SB"/>
    <s v="Lowland"/>
    <x v="0"/>
    <n v="2"/>
    <x v="0"/>
    <x v="3"/>
    <n v="6.2054"/>
    <n v="17.55245431398459"/>
    <n v="7.0100000000000007"/>
    <n v="5.1162000000000001"/>
    <n v="27.015691868758925"/>
    <n v="2.1066851942806317"/>
    <n v="47.63"/>
    <n v="1.3859999999999999"/>
    <n v="8.6639999999999997"/>
  </r>
  <r>
    <n v="291"/>
    <s v="SB"/>
    <s v="Lowland"/>
    <x v="0"/>
    <n v="1"/>
    <x v="0"/>
    <x v="3"/>
    <n v="8.3793000000000006"/>
    <n v="48.794052009117713"/>
    <n v="7.0200000000000005"/>
    <n v="4.2907000000000002"/>
    <n v="38.878917378917386"/>
    <n v="2.284072797473482"/>
    <n v="44.9"/>
    <n v="1.621"/>
    <n v="10.132999999999999"/>
  </r>
  <r>
    <n v="293"/>
    <s v="SB"/>
    <s v="Upland"/>
    <x v="0"/>
    <n v="1"/>
    <x v="0"/>
    <x v="3"/>
    <n v="8.8411000000000008"/>
    <n v="41.329698793136608"/>
    <n v="6.96"/>
    <n v="5.1871"/>
    <n v="25.472701149425287"/>
    <n v="2.0857641694243094"/>
    <n v="47.43"/>
    <n v="1.4710000000000001"/>
    <n v="9.1940000000000008"/>
  </r>
  <r>
    <n v="367"/>
    <s v="SB"/>
    <s v="Lowland"/>
    <x v="1"/>
    <n v="5"/>
    <x v="0"/>
    <x v="3"/>
    <n v="6.5681000000000003"/>
    <n v="20.622402216775029"/>
    <n v="7"/>
    <n v="5.2135999999999996"/>
    <n v="25.520000000000003"/>
    <n v="2.0863990222473348"/>
    <n v="46.47"/>
    <n v="1.236"/>
    <n v="7.7240000000000002"/>
  </r>
  <r>
    <n v="379"/>
    <s v="SB"/>
    <s v="Upland"/>
    <x v="1"/>
    <n v="2"/>
    <x v="0"/>
    <x v="3"/>
    <n v="6.7603"/>
    <n v="21.130719050929688"/>
    <n v="7"/>
    <n v="5.3318000000000003"/>
    <n v="23.831428571428567"/>
    <n v="2.0639807260477445"/>
    <n v="47.26"/>
    <n v="0.83399999999999996"/>
    <n v="5.2119999999999997"/>
  </r>
  <r>
    <n v="382"/>
    <s v="SB"/>
    <s v="Upland"/>
    <x v="1"/>
    <n v="4"/>
    <x v="0"/>
    <x v="3"/>
    <n v="6.6277999999999997"/>
    <n v="22.287938682519083"/>
    <n v="6.93"/>
    <n v="5.1505999999999998"/>
    <n v="25.676767676767675"/>
    <n v="2.0885060696860167"/>
    <n v="47.49"/>
    <n v="1.306"/>
    <n v="8.1609999999999996"/>
  </r>
  <r>
    <n v="383"/>
    <s v="SB"/>
    <s v="Lowland"/>
    <x v="1"/>
    <n v="3"/>
    <x v="0"/>
    <x v="3"/>
    <n v="7.0574000000000003"/>
    <n v="23.297531668886563"/>
    <n v="6.94"/>
    <n v="5.4131999999999998"/>
    <n v="22.000000000000007"/>
    <n v="2.0402208285265546"/>
    <n v="45.82"/>
    <n v="1.0640000000000001"/>
    <n v="6.6470000000000002"/>
  </r>
  <r>
    <n v="389"/>
    <s v="SB"/>
    <s v="Upland"/>
    <x v="1"/>
    <n v="1"/>
    <x v="0"/>
    <x v="3"/>
    <n v="6.8273999999999999"/>
    <n v="20.466063215865475"/>
    <n v="7"/>
    <n v="5.4301000000000004"/>
    <n v="22.427142857142851"/>
    <n v="2.0457120683008392"/>
    <n v="47.92"/>
    <n v="0.93400000000000005"/>
    <n v="5.8360000000000003"/>
  </r>
  <r>
    <n v="399"/>
    <s v="SB"/>
    <s v="Lowland"/>
    <x v="1"/>
    <n v="2"/>
    <x v="0"/>
    <x v="3"/>
    <n v="6.5617000000000001"/>
    <n v="17.664629592940862"/>
    <n v="7.05"/>
    <n v="5.4025999999999996"/>
    <n v="23.367375886524826"/>
    <n v="2.0579067668755378"/>
    <n v="47.3"/>
    <n v="1.0149999999999999"/>
    <n v="6.3419999999999996"/>
  </r>
  <r>
    <n v="401"/>
    <s v="SB"/>
    <s v="Lowland"/>
    <x v="1"/>
    <n v="4"/>
    <x v="0"/>
    <x v="3"/>
    <n v="7.242"/>
    <n v="25.258215962441316"/>
    <n v="6.99"/>
    <n v="5.4127999999999998"/>
    <n v="22.563662374821178"/>
    <n v="2.0474735064294669"/>
    <n v="48.38"/>
    <n v="1.1120000000000001"/>
    <n v="6.9480000000000004"/>
  </r>
  <r>
    <n v="402"/>
    <s v="SB"/>
    <s v="Upland"/>
    <x v="1"/>
    <n v="5"/>
    <x v="0"/>
    <x v="3"/>
    <n v="6.5936000000000003"/>
    <n v="18.056903664159197"/>
    <n v="6.99"/>
    <n v="5.4029999999999996"/>
    <n v="22.703862660944214"/>
    <n v="2.0492856706118454"/>
    <n v="45.71"/>
    <n v="0.89700000000000002"/>
    <n v="5.6070000000000002"/>
  </r>
  <r>
    <n v="407"/>
    <s v="SB"/>
    <s v="Upland"/>
    <x v="1"/>
    <n v="3"/>
    <x v="0"/>
    <x v="3"/>
    <n v="6.8452999999999999"/>
    <n v="27.046294537858088"/>
    <n v="6.99"/>
    <n v="4.9939"/>
    <n v="28.556509298998574"/>
    <n v="2.1280228578455103"/>
    <n v="47.48"/>
    <n v="1.04"/>
    <n v="6.5"/>
  </r>
  <r>
    <n v="416"/>
    <s v="SB"/>
    <s v="Lowland"/>
    <x v="1"/>
    <n v="1"/>
    <x v="0"/>
    <x v="3"/>
    <n v="8.6503999999999994"/>
    <n v="40.839729954684167"/>
    <n v="6.94"/>
    <n v="5.1176000000000004"/>
    <n v="26.259365994236312"/>
    <n v="2.0963756645929772"/>
    <n v="37.229999999999997"/>
    <n v="1.123"/>
    <n v="7.0190000000000001"/>
  </r>
  <r>
    <n v="481"/>
    <s v="BC"/>
    <s v="Upland"/>
    <x v="0"/>
    <n v="4"/>
    <x v="0"/>
    <x v="3"/>
    <n v="6.5849000000000002"/>
    <n v="79.020182538838853"/>
    <n v="7.08"/>
    <n v="5.2034000000000002"/>
    <n v="26.505649717514125"/>
    <n v="2.0997211188567215"/>
    <n v="47.87"/>
    <n v="1.1870000000000001"/>
    <n v="7.4219999999999997"/>
  </r>
  <r>
    <n v="486"/>
    <s v="BC"/>
    <s v="Upland"/>
    <x v="0"/>
    <n v="2"/>
    <x v="0"/>
    <x v="3"/>
    <n v="6.7054999999999998"/>
    <n v="78.616061442099777"/>
    <n v="6.93"/>
    <n v="5.2716000000000003"/>
    <n v="23.930735930735924"/>
    <n v="2.0652853606422696"/>
    <n v="47.76"/>
    <n v="1.0269999999999999"/>
    <n v="6.42"/>
  </r>
  <r>
    <n v="499"/>
    <s v="BC"/>
    <s v="Lowland"/>
    <x v="0"/>
    <n v="2"/>
    <x v="0"/>
    <x v="3"/>
    <n v="7.0556000000000001"/>
    <n v="73.808039004478715"/>
    <n v="7.03"/>
    <n v="5.2076000000000002"/>
    <n v="25.923186344238974"/>
    <n v="2.0918270780095236"/>
    <n v="46.83"/>
    <n v="1.218"/>
    <n v="7.6120000000000001"/>
  </r>
  <r>
    <n v="505"/>
    <s v="BC"/>
    <s v="Upland"/>
    <x v="0"/>
    <n v="1"/>
    <x v="0"/>
    <x v="3"/>
    <n v="6.3943000000000003"/>
    <n v="79.245578092989049"/>
    <n v="6.94"/>
    <n v="5.0671999999999997"/>
    <n v="26.98559077809799"/>
    <n v="2.1062728469445298"/>
    <n v="48.29"/>
    <n v="1.012"/>
    <n v="6.3250000000000002"/>
  </r>
  <r>
    <n v="515"/>
    <s v="BC"/>
    <s v="Upland"/>
    <x v="0"/>
    <n v="4"/>
    <x v="0"/>
    <x v="3"/>
    <n v="6.8550000000000004"/>
    <n v="76.920495988329691"/>
    <n v="7.06"/>
    <n v="5.2728999999999999"/>
    <n v="25.313031161473088"/>
    <n v="2.0836240249010189"/>
    <n v="48.62"/>
    <n v="0.89700000000000002"/>
    <n v="5.6079999999999997"/>
  </r>
  <r>
    <n v="525"/>
    <s v="BC"/>
    <s v="Lowland"/>
    <x v="0"/>
    <n v="3"/>
    <x v="0"/>
    <x v="3"/>
    <n v="6.7930000000000001"/>
    <n v="78.499926394818189"/>
    <n v="6.99"/>
    <n v="5.3324999999999996"/>
    <n v="23.712446351931337"/>
    <n v="2.0624198541104053"/>
    <n v="47.33"/>
    <n v="0.93899999999999995"/>
    <n v="5.8710000000000004"/>
  </r>
  <r>
    <n v="527"/>
    <s v="BC"/>
    <s v="Upland"/>
    <x v="0"/>
    <n v="3"/>
    <x v="0"/>
    <x v="3"/>
    <n v="6.6094999999999997"/>
    <n v="81.863983659883516"/>
    <n v="7.03"/>
    <n v="5.4108000000000001"/>
    <n v="23.032716927453773"/>
    <n v="2.0535492188177269"/>
    <n v="48.28"/>
    <n v="1.044"/>
    <n v="6.5250000000000004"/>
  </r>
  <r>
    <n v="537"/>
    <s v="BC"/>
    <s v="Lowland"/>
    <x v="0"/>
    <n v="5"/>
    <x v="0"/>
    <x v="3"/>
    <n v="7.1326999999999998"/>
    <n v="76.639982054481465"/>
    <n v="6.98"/>
    <n v="5.4664999999999999"/>
    <n v="21.683381088825222"/>
    <n v="2.0361698281099336"/>
    <n v="48.69"/>
    <n v="1.0189999999999999"/>
    <n v="6.3710000000000004"/>
  </r>
  <r>
    <n v="540"/>
    <s v="BC"/>
    <s v="Upland"/>
    <x v="0"/>
    <n v="5"/>
    <x v="0"/>
    <x v="3"/>
    <n v="6.5110000000000001"/>
    <n v="82.689295039164492"/>
    <n v="6.96"/>
    <n v="5.3838999999999997"/>
    <n v="22.645114942528739"/>
    <n v="2.04852592495571"/>
    <n v="47.5"/>
    <n v="1.216"/>
    <n v="7.601"/>
  </r>
  <r>
    <n v="610"/>
    <s v="BC"/>
    <s v="Lowland"/>
    <x v="1"/>
    <n v="1"/>
    <x v="0"/>
    <x v="3"/>
    <n v="5.9260000000000002"/>
    <n v="66.753290583867695"/>
    <n v="7.06"/>
    <n v="3.9558"/>
    <n v="43.96883852691218"/>
    <n v="2.3710216643680337"/>
    <n v="49.47"/>
    <n v="2.6160000000000001"/>
    <n v="16.352"/>
  </r>
  <r>
    <n v="612"/>
    <s v="BC"/>
    <s v="Lowland"/>
    <x v="1"/>
    <n v="1"/>
    <x v="0"/>
    <x v="3"/>
    <n v="6.8170999999999999"/>
    <n v="75.094981737102287"/>
    <n v="7.04"/>
    <n v="5.1193"/>
    <n v="27.282670454545453"/>
    <n v="2.1103499284434499"/>
    <n v="48.18"/>
    <n v="1.2370000000000001"/>
    <n v="7.7329999999999997"/>
  </r>
  <r>
    <n v="617"/>
    <s v="BC"/>
    <s v="Upland"/>
    <x v="1"/>
    <n v="1"/>
    <x v="0"/>
    <x v="3"/>
    <n v="6.1618000000000004"/>
    <n v="81.008796131000679"/>
    <n v="7.08"/>
    <n v="4.9916"/>
    <n v="29.497175141242938"/>
    <n v="2.1412768772821211"/>
    <n v="47.14"/>
    <n v="1.0960000000000001"/>
    <n v="6.8529999999999998"/>
  </r>
  <r>
    <n v="632"/>
    <s v="BC"/>
    <s v="Lowland"/>
    <x v="1"/>
    <n v="5"/>
    <x v="0"/>
    <x v="3"/>
    <n v="5.9766000000000004"/>
    <n v="80.982498410467485"/>
    <n v="6.94"/>
    <n v="4.84"/>
    <n v="30.259365994236315"/>
    <n v="2.152146523018228"/>
    <n v="47.8"/>
    <n v="1.3149999999999999"/>
    <n v="8.2159999999999993"/>
  </r>
  <r>
    <n v="636"/>
    <s v="BC"/>
    <s v="Upland"/>
    <x v="1"/>
    <n v="5"/>
    <x v="0"/>
    <x v="3"/>
    <n v="6.1247999999999996"/>
    <n v="80.832027168234063"/>
    <n v="6.94"/>
    <n v="4.9508000000000001"/>
    <n v="28.662824207492797"/>
    <n v="2.1295120640630381"/>
    <n v="47.51"/>
    <n v="1.498"/>
    <n v="9.3640000000000008"/>
  </r>
  <r>
    <n v="638"/>
    <s v="BC"/>
    <s v="Upland"/>
    <x v="1"/>
    <n v="3"/>
    <x v="0"/>
    <x v="3"/>
    <n v="6.2432999999999996"/>
    <n v="76.650168981147786"/>
    <n v="6.99"/>
    <n v="4.7854999999999999"/>
    <n v="31.537911301859804"/>
    <n v="2.1706495128199497"/>
    <n v="46.95"/>
    <n v="1.764"/>
    <n v="11.026"/>
  </r>
  <r>
    <n v="640"/>
    <s v="BC"/>
    <s v="Lowland"/>
    <x v="1"/>
    <n v="3"/>
    <x v="0"/>
    <x v="3"/>
    <n v="6.6172000000000004"/>
    <n v="68.575832678474271"/>
    <n v="6.92"/>
    <n v="4.5377999999999998"/>
    <n v="34.424855491329481"/>
    <n v="2.2137329257497314"/>
    <n v="46.9"/>
    <n v="1.9910000000000001"/>
    <n v="12.444000000000001"/>
  </r>
  <r>
    <n v="653"/>
    <s v="BC"/>
    <s v="Upland"/>
    <x v="1"/>
    <n v="2"/>
    <x v="0"/>
    <x v="3"/>
    <n v="6.3874000000000004"/>
    <n v="80.3707298744403"/>
    <n v="6.96"/>
    <n v="5.1336000000000004"/>
    <n v="26.241379310344819"/>
    <n v="2.096131776120215"/>
    <n v="47.73"/>
    <n v="0.96799999999999997"/>
    <n v="6.0529999999999999"/>
  </r>
  <r>
    <n v="656"/>
    <s v="BC"/>
    <s v="Lowland"/>
    <x v="1"/>
    <n v="2"/>
    <x v="0"/>
    <x v="3"/>
    <n v="6.9672000000000001"/>
    <n v="80.524457457802271"/>
    <n v="7.09"/>
    <n v="5.6102999999999996"/>
    <n v="20.870239774330045"/>
    <n v="2.0258406157314441"/>
    <n v="43.66"/>
    <n v="0.83899999999999997"/>
    <n v="5.242"/>
  </r>
  <r>
    <n v="658"/>
    <s v="BC"/>
    <s v="Lowland"/>
    <x v="1"/>
    <n v="4"/>
    <x v="0"/>
    <x v="3"/>
    <n v="6.2596999999999996"/>
    <n v="79.816924133744422"/>
    <n v="6.94"/>
    <n v="4.9962999999999997"/>
    <n v="28.007204610951014"/>
    <n v="2.1203636052478174"/>
    <n v="47.63"/>
    <n v="1.0369999999999999"/>
    <n v="6.4779999999999998"/>
  </r>
  <r>
    <s v="?"/>
    <s v="HH"/>
    <s v="Lowland"/>
    <x v="0"/>
    <n v="3"/>
    <x v="0"/>
    <x v="3"/>
    <n v="6.7169999999999996"/>
    <n v="19.977668602054489"/>
    <n v="7"/>
    <n v="5.3750999999999998"/>
    <n v="23.212857142857146"/>
    <n v="2.0558924397915437"/>
    <n v="46.37"/>
    <n v="1.169"/>
    <n v="7.3040000000000003"/>
  </r>
  <r>
    <n v="67"/>
    <s v="HH"/>
    <s v="Upland"/>
    <x v="0"/>
    <n v="3"/>
    <x v="1"/>
    <x v="3"/>
    <n v="6.0289999999999999"/>
    <n v="10.150937137170345"/>
    <n v="6.96"/>
    <n v="5.4169999999999998"/>
    <n v="22.169540229885058"/>
    <n v="2.0423967868986215"/>
    <n v="47.86"/>
    <n v="1.17"/>
    <n v="6.6360000000000001"/>
  </r>
  <r>
    <n v="71"/>
    <s v="HH"/>
    <s v="Upland"/>
    <x v="0"/>
    <n v="5"/>
    <x v="1"/>
    <x v="3"/>
    <n v="6.1760000000000002"/>
    <n v="11.884715025906734"/>
    <n v="7.03"/>
    <n v="5.4420000000000002"/>
    <n v="22.588904694167852"/>
    <n v="2.0477995346895739"/>
    <n v="47.42"/>
    <n v="1.1100000000000001"/>
    <n v="6.9359999999999999"/>
  </r>
  <r>
    <n v="72"/>
    <s v="HH"/>
    <s v="Lowland"/>
    <x v="0"/>
    <n v="4"/>
    <x v="1"/>
    <x v="3"/>
    <n v="13.884"/>
    <n v="29.847306251800632"/>
    <n v="6.99"/>
    <n v="5.74"/>
    <n v="17.882689556509298"/>
    <n v="1.988780815142299"/>
    <n v="33.53"/>
    <n v="1.02"/>
    <n v="6.3739999999999997"/>
  </r>
  <r>
    <n v="82"/>
    <s v="HH"/>
    <s v="Upland"/>
    <x v="0"/>
    <n v="1"/>
    <x v="1"/>
    <x v="3"/>
    <n v="6.0090000000000003"/>
    <n v="9.7187552005325433"/>
    <n v="6.99"/>
    <n v="5.4249999999999998"/>
    <n v="22.389127324749648"/>
    <n v="2.0452221260472507"/>
    <n v="34.14"/>
    <n v="1.171"/>
    <n v="7.32"/>
  </r>
  <r>
    <n v="91"/>
    <s v="HH"/>
    <s v="Lowland"/>
    <x v="0"/>
    <n v="2"/>
    <x v="1"/>
    <x v="3"/>
    <n v="5.9340000000000002"/>
    <n v="10.768452982810924"/>
    <n v="7.05"/>
    <n v="5.2949999999999999"/>
    <n v="24.893617021276597"/>
    <n v="2.0780241069988623"/>
    <n v="46.06"/>
    <n v="1.06"/>
    <n v="6.6280000000000001"/>
  </r>
  <r>
    <n v="104"/>
    <s v="HH"/>
    <s v="Lowland"/>
    <x v="0"/>
    <n v="5"/>
    <x v="1"/>
    <x v="3"/>
    <n v="6.3220000000000001"/>
    <n v="17.0515659601392"/>
    <n v="6.95"/>
    <n v="5.2439999999999998"/>
    <n v="24.546762589928061"/>
    <n v="2.0734165629033026"/>
    <n v="47.99"/>
    <n v="1.214"/>
    <n v="7.5860000000000003"/>
  </r>
  <r>
    <n v="112"/>
    <s v="HH"/>
    <s v="Lowland"/>
    <x v="0"/>
    <n v="3"/>
    <x v="1"/>
    <x v="3"/>
    <n v="6.1449999999999996"/>
    <n v="10.301057770545158"/>
    <n v="7.03"/>
    <n v="5.5119999999999996"/>
    <n v="21.593172119487917"/>
    <n v="2.035018641339271"/>
    <n v="48.09"/>
    <n v="1.105"/>
    <n v="6.9059999999999997"/>
  </r>
  <r>
    <n v="114"/>
    <s v="HH"/>
    <s v="Lowland"/>
    <x v="0"/>
    <n v="1"/>
    <x v="1"/>
    <x v="3"/>
    <n v="6.2329999999999997"/>
    <n v="15.16123856890742"/>
    <n v="6.63"/>
    <n v="5.2880000000000003"/>
    <n v="20.241327300150825"/>
    <n v="2.0179241708764408"/>
    <n v="44.73"/>
    <n v="1.3149999999999999"/>
    <n v="8.2210000000000001"/>
  </r>
  <r>
    <n v="116"/>
    <s v="HH"/>
    <s v="Upland"/>
    <x v="0"/>
    <n v="4"/>
    <x v="1"/>
    <x v="3"/>
    <n v="6.2009999999999996"/>
    <n v="13.675213675213675"/>
    <n v="6.97"/>
    <n v="5.3529999999999998"/>
    <n v="23.199426111908178"/>
    <n v="2.0557175425892433"/>
    <n v="48.59"/>
    <n v="1.0940000000000001"/>
    <n v="6.835"/>
  </r>
  <r>
    <n v="188"/>
    <s v="HH"/>
    <s v="Upland"/>
    <x v="1"/>
    <n v="4"/>
    <x v="1"/>
    <x v="3"/>
    <n v="6.351"/>
    <n v="12.139820500708549"/>
    <n v="7.08"/>
    <n v="5.58"/>
    <n v="21.1864406779661"/>
    <n v="2.0298446005404638"/>
    <n v="46.56"/>
    <n v="0.84399999999999997"/>
    <n v="5.2729999999999997"/>
  </r>
  <r>
    <n v="195"/>
    <s v="HH"/>
    <s v="Upland"/>
    <x v="1"/>
    <n v="5"/>
    <x v="1"/>
    <x v="3"/>
    <n v="6.4690000000000003"/>
    <n v="13.526047302519709"/>
    <n v="7.01"/>
    <n v="5.5940000000000003"/>
    <n v="20.199714693295288"/>
    <n v="2.0174025754947857"/>
    <n v="47.82"/>
    <n v="0.77100000000000002"/>
    <n v="4.8209999999999997"/>
  </r>
  <r>
    <n v="199"/>
    <s v="HH"/>
    <s v="Lowland"/>
    <x v="1"/>
    <n v="5"/>
    <x v="1"/>
    <x v="3"/>
    <n v="6.6609999999999996"/>
    <n v="17.399789821348143"/>
    <n v="7.05"/>
    <n v="5.5019999999999998"/>
    <n v="21.957446808510639"/>
    <n v="2.0396754235498493"/>
    <n v="47.23"/>
    <n v="0.82199999999999995"/>
    <n v="5.1390000000000002"/>
  </r>
  <r>
    <n v="202"/>
    <s v="HH"/>
    <s v="Lowland"/>
    <x v="1"/>
    <n v="3"/>
    <x v="1"/>
    <x v="3"/>
    <n v="6.56"/>
    <n v="14.23780487804877"/>
    <n v="6.95"/>
    <n v="5.6260000000000003"/>
    <n v="19.050359712230215"/>
    <n v="2.0031024187370905"/>
    <n v="47.23"/>
    <n v="0.85799999999999998"/>
    <n v="5.3609999999999998"/>
  </r>
  <r>
    <n v="214"/>
    <s v="HH"/>
    <s v="Lowland"/>
    <x v="1"/>
    <n v="4"/>
    <x v="1"/>
    <x v="3"/>
    <n v="6.3360000000000003"/>
    <n v="17.171717171717169"/>
    <n v="6.98"/>
    <n v="5.2480000000000002"/>
    <n v="24.813753581661892"/>
    <n v="2.0769613343605484"/>
    <n v="46.24"/>
    <n v="1.1659999999999999"/>
    <n v="7.2850000000000001"/>
  </r>
  <r>
    <n v="224"/>
    <s v="HH"/>
    <s v="Upland"/>
    <x v="1"/>
    <n v="3"/>
    <x v="1"/>
    <x v="3"/>
    <n v="6.0540000000000003"/>
    <n v="11.215725140403043"/>
    <n v="7.05"/>
    <n v="5.375"/>
    <n v="23.75886524822695"/>
    <n v="2.0630285120385055"/>
    <n v="41.28"/>
    <n v="1.278"/>
    <n v="7.9850000000000003"/>
  </r>
  <r>
    <n v="226"/>
    <s v="HH"/>
    <s v="Upland"/>
    <x v="1"/>
    <m/>
    <x v="1"/>
    <x v="3"/>
    <n v="6.34"/>
    <n v="10.630914826498415"/>
    <n v="7.06"/>
    <n v="5.6660000000000004"/>
    <n v="19.74504249291784"/>
    <n v="2.0117211193248807"/>
    <n v="46.72"/>
    <n v="1.0740000000000001"/>
    <n v="6.7149999999999999"/>
  </r>
  <r>
    <n v="228"/>
    <s v="HH"/>
    <s v="Upland"/>
    <x v="1"/>
    <n v="2"/>
    <x v="1"/>
    <x v="3"/>
    <n v="6.4420000000000002"/>
    <n v="11.47159267308289"/>
    <n v="7.05"/>
    <n v="5.7030000000000003"/>
    <n v="19.106382978723399"/>
    <n v="2.0037947338778306"/>
    <n v="47.09"/>
    <n v="0.97499999999999998"/>
    <n v="6.093"/>
  </r>
  <r>
    <n v="229"/>
    <s v="HH"/>
    <s v="Lowland"/>
    <x v="1"/>
    <n v="1"/>
    <x v="1"/>
    <x v="3"/>
    <n v="6.7350000000000003"/>
    <n v="16.674090571640683"/>
    <n v="7.04"/>
    <n v="5.6120000000000001"/>
    <n v="20.284090909090907"/>
    <n v="2.0184604771577916"/>
    <n v="46.08"/>
    <n v="1.036"/>
    <n v="6.4720000000000004"/>
  </r>
  <r>
    <n v="233"/>
    <s v="HH"/>
    <s v="Lowland"/>
    <x v="1"/>
    <n v="2"/>
    <x v="1"/>
    <x v="3"/>
    <n v="6.4550000000000001"/>
    <n v="12.718822618125481"/>
    <n v="7.01"/>
    <n v="5.6340000000000003"/>
    <n v="19.629101283880164"/>
    <n v="2.010277500820373"/>
    <n v="46.64"/>
    <n v="1.089"/>
    <n v="6.8090000000000002"/>
  </r>
  <r>
    <n v="239"/>
    <s v="HH"/>
    <s v="Upland"/>
    <x v="1"/>
    <n v="2"/>
    <x v="1"/>
    <x v="3"/>
    <n v="6.11"/>
    <n v="10.458265139116206"/>
    <n v="7.08"/>
    <n v="5.4710000000000001"/>
    <n v="22.725988700564972"/>
    <n v="2.0495719618519943"/>
    <n v="47.17"/>
    <n v="0.91"/>
    <n v="5.6870000000000003"/>
  </r>
  <r>
    <n v="301"/>
    <s v="SB"/>
    <s v="Lowland"/>
    <x v="0"/>
    <n v="1"/>
    <x v="1"/>
    <x v="3"/>
    <n v="27.158000000000001"/>
    <n v="80.885926798733337"/>
    <n v="7"/>
    <n v="5.1909999999999998"/>
    <n v="25.842857142857145"/>
    <n v="2.0907432614382762"/>
    <n v="47.61"/>
    <n v="1.6830000000000001"/>
    <n v="10.52"/>
  </r>
  <r>
    <n v="310"/>
    <s v="SB"/>
    <s v="Lowland"/>
    <x v="0"/>
    <n v="5"/>
    <x v="1"/>
    <x v="3"/>
    <n v="6.7270000000000003"/>
    <n v="22.699568901441953"/>
    <n v="7.07"/>
    <n v="5.2"/>
    <n v="26.449787835926454"/>
    <n v="2.0989613235491547"/>
    <n v="47.44"/>
    <n v="1.3220000000000001"/>
    <n v="8.2629999999999999"/>
  </r>
  <r>
    <n v="313"/>
    <s v="SB"/>
    <s v="Upland"/>
    <x v="0"/>
    <n v="2"/>
    <x v="1"/>
    <x v="3"/>
    <n v="6.2850000000000001"/>
    <n v="11.503579952267302"/>
    <n v="7.05"/>
    <n v="5.5620000000000003"/>
    <n v="21.106382978723399"/>
    <n v="2.028829330240459"/>
    <n v="48.2"/>
    <n v="1.2050000000000001"/>
    <n v="7.5279999999999996"/>
  </r>
  <r>
    <n v="315"/>
    <s v="SB"/>
    <s v="Lowland"/>
    <x v="0"/>
    <n v="4"/>
    <x v="1"/>
    <x v="3"/>
    <n v="6.234"/>
    <n v="13.410330445941614"/>
    <n v="6.97"/>
    <n v="5.3979999999999997"/>
    <n v="22.553802008608322"/>
    <n v="2.0473461794046748"/>
    <n v="47.52"/>
    <n v="1.234"/>
    <n v="7.7110000000000003"/>
  </r>
  <r>
    <n v="317"/>
    <s v="SB"/>
    <s v="Upland"/>
    <x v="0"/>
    <n v="1"/>
    <x v="1"/>
    <x v="3"/>
    <n v="6.7130000000000001"/>
    <n v="16.520184716222257"/>
    <n v="7.02"/>
    <n v="5.6040000000000001"/>
    <n v="20.170940170940167"/>
    <n v="2.0170420587910143"/>
    <n v="48"/>
    <n v="1.357"/>
    <n v="8.48"/>
  </r>
  <r>
    <n v="329"/>
    <s v="SB"/>
    <s v="Upland"/>
    <x v="0"/>
    <n v="4"/>
    <x v="1"/>
    <x v="3"/>
    <n v="6.2160000000000002"/>
    <n v="17.487129987129997"/>
    <n v="7.02"/>
    <n v="5.1289999999999996"/>
    <n v="26.93732193732194"/>
    <n v="2.1056119788586432"/>
    <n v="47.13"/>
    <n v="1.508"/>
    <n v="9.4269999999999996"/>
  </r>
  <r>
    <n v="341"/>
    <s v="SB"/>
    <s v="Upland"/>
    <x v="0"/>
    <n v="3"/>
    <x v="1"/>
    <x v="3"/>
    <n v="6.2560000000000002"/>
    <n v="17.455242966751928"/>
    <n v="7.01"/>
    <n v="5.1639999999999997"/>
    <n v="26.33380884450785"/>
    <n v="2.0973856972901577"/>
    <n v="46.25"/>
    <n v="1.2150000000000001"/>
    <n v="7.593"/>
  </r>
  <r>
    <n v="350"/>
    <s v="SB"/>
    <s v="Lowland"/>
    <x v="0"/>
    <n v="3"/>
    <x v="1"/>
    <x v="3"/>
    <n v="6.3360000000000003"/>
    <n v="16.493055555555554"/>
    <n v="6.98"/>
    <n v="5.2910000000000004"/>
    <n v="24.197707736389685"/>
    <n v="2.0688011220803415"/>
    <n v="47.09"/>
    <n v="1.0369999999999999"/>
    <n v="6.4790000000000001"/>
  </r>
  <r>
    <n v="351"/>
    <s v="SB"/>
    <s v="Lowland"/>
    <x v="0"/>
    <n v="2"/>
    <x v="1"/>
    <x v="3"/>
    <n v="6.2949999999999999"/>
    <n v="15.663224781572675"/>
    <n v="7.07"/>
    <n v="5.3090000000000002"/>
    <n v="24.908062234794908"/>
    <n v="2.078216455535002"/>
    <n v="46.75"/>
    <n v="1.1539999999999999"/>
    <n v="7.2119999999999997"/>
  </r>
  <r>
    <n v="355"/>
    <s v="SB"/>
    <s v="Upland"/>
    <x v="0"/>
    <n v="5"/>
    <x v="1"/>
    <x v="3"/>
    <n v="5.94"/>
    <n v="17.289562289562291"/>
    <n v="6.93"/>
    <n v="4.9130000000000003"/>
    <n v="29.105339105339102"/>
    <n v="2.1357345292433556"/>
    <n v="47.03"/>
    <n v="1.038"/>
    <n v="6.49"/>
  </r>
  <r>
    <n v="426"/>
    <s v="SB"/>
    <s v="Lowland"/>
    <x v="1"/>
    <n v="5"/>
    <x v="1"/>
    <x v="3"/>
    <n v="6.617"/>
    <n v="19.329001057881214"/>
    <n v="7.01"/>
    <n v="5.3380000000000001"/>
    <n v="23.851640513552063"/>
    <n v="2.0642461192922212"/>
    <n v="37.67"/>
    <n v="0.85499999999999998"/>
    <n v="5.343"/>
  </r>
  <r>
    <n v="431"/>
    <s v="SB"/>
    <s v="Upland"/>
    <x v="1"/>
    <n v="1"/>
    <x v="1"/>
    <x v="3"/>
    <n v="6.9660000000000002"/>
    <n v="17.499282227964404"/>
    <n v="6.97"/>
    <n v="5.7469999999999999"/>
    <n v="17.546628407460542"/>
    <n v="1.9846967144748831"/>
    <n v="48.12"/>
    <n v="0.72"/>
    <n v="4.4989999999999997"/>
  </r>
  <r>
    <n v="433"/>
    <s v="SB"/>
    <s v="Lowland"/>
    <x v="1"/>
    <n v="3"/>
    <x v="1"/>
    <x v="3"/>
    <n v="6.6479999999999997"/>
    <n v="16.847172081829122"/>
    <n v="6.97"/>
    <n v="5.5279999999999996"/>
    <n v="20.688665710186516"/>
    <n v="2.023548607535119"/>
    <n v="48.5"/>
    <n v="0.85399999999999998"/>
    <n v="5.335"/>
  </r>
  <r>
    <n v="454"/>
    <s v="SB"/>
    <s v="Upland"/>
    <x v="1"/>
    <n v="5"/>
    <x v="1"/>
    <x v="3"/>
    <n v="6.5449999999999999"/>
    <n v="17.876241405653172"/>
    <n v="6.95"/>
    <n v="5.375"/>
    <n v="22.661870503597122"/>
    <n v="2.0487425547910294"/>
    <n v="47.08"/>
    <n v="1"/>
    <n v="6.2489999999999997"/>
  </r>
  <r>
    <n v="456"/>
    <s v="SB"/>
    <s v="Lowland"/>
    <x v="1"/>
    <n v="1"/>
    <x v="1"/>
    <x v="3"/>
    <n v="17.437999999999999"/>
    <n v="70.661773139121465"/>
    <n v="6.94"/>
    <n v="5.1159999999999997"/>
    <n v="26.282420749279549"/>
    <n v="2.0966883600301718"/>
    <n v="44.78"/>
    <n v="1.083"/>
    <n v="6.7690000000000001"/>
  </r>
  <r>
    <n v="457"/>
    <s v="SB"/>
    <s v="Upland"/>
    <x v="1"/>
    <n v="4"/>
    <x v="1"/>
    <x v="3"/>
    <n v="6.5979999999999999"/>
    <n v="22.643225219763565"/>
    <n v="6.98"/>
    <n v="5.1040000000000001"/>
    <n v="26.876790830945563"/>
    <n v="2.1047838399598473"/>
    <n v="46.3"/>
    <n v="1.2"/>
    <n v="7.5"/>
  </r>
  <r>
    <n v="462"/>
    <s v="SB"/>
    <s v="Upland"/>
    <x v="1"/>
    <n v="2"/>
    <x v="1"/>
    <x v="3"/>
    <n v="6.3220000000000001"/>
    <n v="14.267636823789942"/>
    <n v="6.98"/>
    <n v="5.42"/>
    <n v="22.349570200573073"/>
    <n v="2.0447125705507814"/>
    <n v="46.39"/>
    <n v="0.96099999999999997"/>
    <n v="6.0060000000000002"/>
  </r>
  <r>
    <n v="466"/>
    <s v="SB"/>
    <s v="Lowland"/>
    <x v="1"/>
    <n v="2"/>
    <x v="1"/>
    <x v="3"/>
    <n v="7.4349999999999996"/>
    <n v="28.271687962340273"/>
    <n v="6.99"/>
    <n v="5.3330000000000002"/>
    <n v="23.705293276108726"/>
    <n v="2.0623260938553085"/>
    <n v="47.21"/>
    <n v="0.95899999999999996"/>
    <n v="5.9909999999999997"/>
  </r>
  <r>
    <n v="476"/>
    <s v="SB"/>
    <s v="Upland"/>
    <x v="1"/>
    <n v="3"/>
    <x v="1"/>
    <x v="3"/>
    <n v="6.827"/>
    <n v="20.623992969093312"/>
    <n v="7.02"/>
    <n v="5.4189999999999996"/>
    <n v="22.806267806267808"/>
    <n v="2.0506113906817975"/>
    <n v="47.05"/>
    <n v="0.9"/>
    <n v="5.6239999999999997"/>
  </r>
  <r>
    <n v="478"/>
    <s v="SB"/>
    <s v="Lowland"/>
    <x v="1"/>
    <n v="4"/>
    <x v="1"/>
    <x v="3"/>
    <n v="6.556"/>
    <n v="12.355094569859665"/>
    <n v="7.09"/>
    <n v="5.7460000000000004"/>
    <n v="18.956276445698158"/>
    <n v="2.0019408492149933"/>
    <n v="47.99"/>
    <n v="1.26"/>
    <n v="7.8739999999999997"/>
  </r>
  <r>
    <n v="541"/>
    <s v="BC"/>
    <s v="Upland"/>
    <x v="0"/>
    <n v="4"/>
    <x v="1"/>
    <x v="3"/>
    <n v="6.7469999999999999"/>
    <n v="77.975396472506304"/>
    <n v="6.9"/>
    <n v="5.2610000000000001"/>
    <n v="23.753623188405797"/>
    <n v="2.0629597580825987"/>
    <n v="47.74"/>
    <n v="1.0580000000000001"/>
    <n v="6.6109999999999998"/>
  </r>
  <r>
    <n v="546"/>
    <s v="BC"/>
    <s v="Lowland"/>
    <x v="0"/>
    <n v="3"/>
    <x v="1"/>
    <x v="3"/>
    <n v="6.9240000000000004"/>
    <n v="82.047949162333907"/>
    <n v="7.07"/>
    <n v="5.681"/>
    <n v="19.64639321074965"/>
    <n v="2.0104926755615464"/>
    <n v="47.5"/>
    <n v="1.0149999999999999"/>
    <n v="6.3449999999999998"/>
  </r>
  <r>
    <n v="554"/>
    <s v="BC"/>
    <s v="Upland"/>
    <x v="0"/>
    <n v="5"/>
    <x v="1"/>
    <x v="3"/>
    <n v="6.3739999999999997"/>
    <n v="83.903357389394415"/>
    <n v="7.04"/>
    <n v="5.3479999999999999"/>
    <n v="24.03409090909091"/>
    <n v="2.0666449801583093"/>
    <n v="48.41"/>
    <n v="1.161"/>
    <n v="7.2590000000000003"/>
  </r>
  <r>
    <n v="562"/>
    <s v="BC"/>
    <s v="Lowland"/>
    <x v="0"/>
    <n v="2"/>
    <x v="1"/>
    <x v="3"/>
    <n v="6.9279999999999999"/>
    <n v="75.274249422632792"/>
    <n v="6.92"/>
    <n v="5.2149999999999999"/>
    <n v="24.638728323699425"/>
    <n v="2.0746361504048974"/>
    <n v="46.99"/>
    <n v="1.0589999999999999"/>
    <n v="6.6210000000000004"/>
  </r>
  <r>
    <n v="572"/>
    <s v="BC"/>
    <s v="Lowland"/>
    <x v="0"/>
    <n v="4"/>
    <x v="1"/>
    <x v="3"/>
    <n v="6.8959999999999999"/>
    <n v="81.511020881670532"/>
    <n v="6.99"/>
    <n v="5.6210000000000004"/>
    <n v="19.585121602288979"/>
    <n v="2.0097304414538359"/>
    <n v="46.38"/>
    <n v="0.98399999999999999"/>
    <n v="6.1520000000000001"/>
  </r>
  <r>
    <n v="574"/>
    <s v="BC"/>
    <s v="Upland"/>
    <x v="0"/>
    <n v="2"/>
    <x v="1"/>
    <x v="3"/>
    <n v="6.6760000000000002"/>
    <n v="83.253445176752535"/>
    <n v="6.9"/>
    <n v="5.5579999999999998"/>
    <n v="19.449275362318847"/>
    <n v="2.0080425495109568"/>
    <n v="46.79"/>
    <n v="1.0509999999999999"/>
    <n v="6.5679999999999996"/>
  </r>
  <r>
    <n v="576"/>
    <s v="BC"/>
    <s v="Lowland"/>
    <x v="0"/>
    <n v="5"/>
    <x v="1"/>
    <x v="3"/>
    <n v="6.5750000000000002"/>
    <n v="82.022813688212921"/>
    <n v="6.97"/>
    <n v="5.3929999999999998"/>
    <n v="22.625538020086083"/>
    <n v="2.0482728776453976"/>
    <n v="47.76"/>
    <n v="1.02"/>
    <n v="6.3769999999999998"/>
  </r>
  <r>
    <n v="580"/>
    <s v="BC"/>
    <s v="Lowland"/>
    <x v="0"/>
    <n v="1"/>
    <x v="1"/>
    <x v="3"/>
    <n v="7.5049999999999999"/>
    <n v="75.869420386409061"/>
    <n v="6.99"/>
    <n v="5.694"/>
    <n v="18.540772532188846"/>
    <n v="1.9968270366179282"/>
    <n v="47.51"/>
    <n v="1.3360000000000001"/>
    <n v="8.3480000000000008"/>
  </r>
  <r>
    <n v="584"/>
    <s v="BC"/>
    <s v="Upland"/>
    <x v="0"/>
    <n v="1"/>
    <x v="1"/>
    <x v="3"/>
    <n v="6.782"/>
    <n v="81.92273665585374"/>
    <n v="6.97"/>
    <n v="5.556"/>
    <n v="20.286944045911042"/>
    <n v="2.0184962691083901"/>
    <n v="47.32"/>
    <n v="1.0720000000000001"/>
    <n v="6.7009999999999996"/>
  </r>
  <r>
    <n v="593"/>
    <s v="BC"/>
    <s v="Upland"/>
    <x v="0"/>
    <n v="3"/>
    <x v="1"/>
    <x v="3"/>
    <n v="6.7539999999999996"/>
    <n v="83.506070476754516"/>
    <n v="7.04"/>
    <n v="5.64"/>
    <n v="19.88636363636364"/>
    <n v="2.0134835738880388"/>
    <n v="47.83"/>
    <n v="1.095"/>
    <n v="6.8419999999999996"/>
  </r>
  <r>
    <n v="666"/>
    <s v="BC"/>
    <s v="Lowland"/>
    <x v="1"/>
    <n v="1"/>
    <x v="1"/>
    <x v="3"/>
    <n v="6.6189999999999998"/>
    <n v="81.809941078712797"/>
    <n v="6.97"/>
    <n v="5.415"/>
    <n v="22.309899569583926"/>
    <n v="2.0442018135475335"/>
    <n v="47.9"/>
    <n v="0.81499999999999995"/>
    <n v="5.0919999999999996"/>
  </r>
  <r>
    <n v="685"/>
    <s v="BC"/>
    <s v="Upland"/>
    <x v="1"/>
    <n v="4"/>
    <x v="1"/>
    <x v="3"/>
    <n v="6.54"/>
    <n v="82.798165137614674"/>
    <n v="7"/>
    <n v="5.415"/>
    <n v="22.642857142857142"/>
    <n v="2.0484967378304146"/>
    <n v="47.43"/>
    <n v="0.93300000000000005"/>
    <n v="5.8330000000000002"/>
  </r>
  <r>
    <n v="688"/>
    <s v="BC"/>
    <s v="Lowland"/>
    <x v="1"/>
    <n v="2"/>
    <x v="1"/>
    <x v="3"/>
    <n v="7.0019999999999998"/>
    <n v="77.749214510139964"/>
    <n v="7.05"/>
    <n v="5.444"/>
    <n v="22.780141843971631"/>
    <n v="2.0502730012630126"/>
    <n v="47.9"/>
    <n v="0.875"/>
    <n v="5.4710000000000001"/>
  </r>
  <r>
    <n v="703"/>
    <s v="BC"/>
    <s v="Upland"/>
    <x v="1"/>
    <n v="4"/>
    <x v="1"/>
    <x v="3"/>
    <n v="6.1260000000000003"/>
    <n v="83.512895853738158"/>
    <n v="6.9"/>
    <n v="5.1159999999999997"/>
    <n v="25.855072463768124"/>
    <n v="2.0909079971146727"/>
    <n v="47.2"/>
    <n v="0.98299999999999998"/>
    <n v="6.1459999999999999"/>
  </r>
  <r>
    <n v="706"/>
    <s v="BC"/>
    <s v="Upland"/>
    <x v="1"/>
    <n v="2"/>
    <x v="1"/>
    <x v="3"/>
    <n v="6.4740000000000002"/>
    <n v="79.548965091133766"/>
    <n v="6.91"/>
    <n v="5.15"/>
    <n v="25.470332850940665"/>
    <n v="2.0857323923319888"/>
    <n v="47.71"/>
    <n v="0.82799999999999996"/>
    <n v="5.1760000000000002"/>
  </r>
  <r>
    <n v="708"/>
    <s v="BC"/>
    <s v="Lowland"/>
    <x v="1"/>
    <n v="3"/>
    <x v="1"/>
    <x v="3"/>
    <n v="6.88"/>
    <n v="77.093023255813961"/>
    <n v="6.93"/>
    <n v="5.3040000000000003"/>
    <n v="23.463203463203456"/>
    <n v="2.0591580295463054"/>
    <n v="45.98"/>
    <n v="1.329"/>
    <n v="8.3059999999999992"/>
  </r>
  <r>
    <n v="709"/>
    <s v="BC"/>
    <s v="Lowland"/>
    <x v="1"/>
    <n v="4"/>
    <x v="1"/>
    <x v="3"/>
    <n v="6.2910000000000004"/>
    <n v="82.625973613098083"/>
    <n v="6.94"/>
    <n v="5.1980000000000004"/>
    <n v="25.100864553314118"/>
    <n v="2.0807873075274697"/>
    <n v="45.98"/>
    <n v="1.236"/>
    <n v="7.7279999999999998"/>
  </r>
  <r>
    <n v="716"/>
    <s v="BC"/>
    <s v="Lowland"/>
    <x v="1"/>
    <n v="5"/>
    <x v="1"/>
    <x v="3"/>
    <n v="7.2210000000000001"/>
    <n v="69.588699626090573"/>
    <n v="6.96"/>
    <n v="5.0250000000000004"/>
    <n v="27.801724137931028"/>
    <n v="2.1175134896292436"/>
    <n v="44.89"/>
    <n v="1.01"/>
    <n v="6.31"/>
  </r>
  <r>
    <n v="718"/>
    <s v="BC"/>
    <s v="Upland"/>
    <x v="1"/>
    <n v="1"/>
    <x v="1"/>
    <x v="3"/>
    <n v="6.1909999999999998"/>
    <n v="82.942981747698269"/>
    <n v="6.9"/>
    <n v="5.1349999999999998"/>
    <n v="25.579710144927542"/>
    <n v="2.0872010374507473"/>
    <n v="47.9"/>
    <n v="1.0489999999999999"/>
    <n v="6.5540000000000003"/>
  </r>
  <r>
    <n v="719"/>
    <s v="BC"/>
    <s v="Upland"/>
    <x v="1"/>
    <n v="3"/>
    <x v="1"/>
    <x v="3"/>
    <n v="6.6550000000000002"/>
    <n v="84.688204357625835"/>
    <n v="7.03"/>
    <n v="5.6360000000000001"/>
    <n v="19.829302987197725"/>
    <n v="2.0127715810141948"/>
    <n v="47.13"/>
    <n v="1.071"/>
    <n v="6.6950000000000003"/>
  </r>
  <r>
    <n v="11"/>
    <s v="HH"/>
    <s v="Upland"/>
    <x v="0"/>
    <n v="3"/>
    <x v="0"/>
    <x v="4"/>
    <n v="13.567399999999999"/>
    <n v="73.615431106918066"/>
    <n v="7.07"/>
    <n v="3.5796999999999999"/>
    <n v="49.367751060820368"/>
    <n v="3.1654881316778769"/>
    <n v="47.02"/>
    <n v="1.548"/>
    <n v="9.6739999999999995"/>
  </r>
  <r>
    <n v="18"/>
    <s v="HH"/>
    <s v="Lowland"/>
    <x v="0"/>
    <n v="2"/>
    <x v="0"/>
    <x v="4"/>
    <n v="19.3688"/>
    <n v="80.183594234025861"/>
    <n v="7"/>
    <n v="3.8382000000000001"/>
    <n v="45.168571428571433"/>
    <n v="3.0858132921413035"/>
    <n v="47.66"/>
    <n v="1.655"/>
    <n v="10.342000000000001"/>
  </r>
  <r>
    <n v="24"/>
    <s v="HH"/>
    <s v="Lowland"/>
    <x v="0"/>
    <n v="1"/>
    <x v="0"/>
    <x v="4"/>
    <n v="15.951599999999999"/>
    <n v="83.501341558213596"/>
    <n v="7.0499999999999989"/>
    <n v="2.6318000000000001"/>
    <n v="62.669503546099278"/>
    <n v="3.4702662438782741"/>
    <n v="44.89"/>
    <n v="1.484"/>
    <n v="9.2750000000000004"/>
  </r>
  <r>
    <n v="29"/>
    <s v="HH"/>
    <s v="Upland"/>
    <x v="0"/>
    <n v="2"/>
    <x v="0"/>
    <x v="4"/>
    <n v="13.091100000000001"/>
    <n v="73.932671815202696"/>
    <n v="6.84"/>
    <n v="3.4125000000000001"/>
    <n v="50.109649122807021"/>
    <n v="3.1802492209113811"/>
    <n v="46.53"/>
    <n v="1.6339999999999999"/>
    <n v="10.211"/>
  </r>
  <r>
    <n v="31"/>
    <s v="HH"/>
    <s v="Upland"/>
    <x v="0"/>
    <n v="4"/>
    <x v="0"/>
    <x v="4"/>
    <n v="17.513200000000001"/>
    <n v="80.88755909828015"/>
    <n v="7.05"/>
    <n v="3.3472"/>
    <n v="52.521985815602832"/>
    <n v="3.2298100911637655"/>
    <n v="46.32"/>
    <n v="1.7509999999999999"/>
    <n v="10.941000000000001"/>
  </r>
  <r>
    <n v="45"/>
    <s v="HH"/>
    <s v="Lowland"/>
    <x v="0"/>
    <n v="5"/>
    <x v="0"/>
    <x v="4"/>
    <n v="23.743300000000001"/>
    <n v="93.67484722005787"/>
    <n v="7.12"/>
    <n v="1.5018"/>
    <n v="78.907303370786522"/>
    <n v="4.0411499865282385"/>
    <n v="36.51"/>
    <n v="1.5880000000000001"/>
    <n v="9.9280000000000008"/>
  </r>
  <r>
    <n v="59"/>
    <s v="HH"/>
    <s v="Upland"/>
    <x v="0"/>
    <n v="5"/>
    <x v="0"/>
    <x v="4"/>
    <n v="17.6935"/>
    <n v="87.108825274818443"/>
    <n v="6.97"/>
    <n v="2.2808999999999999"/>
    <n v="67.275466284074597"/>
    <n v="3.6019517726400694"/>
    <n v="46.75"/>
    <n v="1.694"/>
    <n v="10.586"/>
  </r>
  <r>
    <n v="60"/>
    <s v="HH"/>
    <s v="Upland"/>
    <x v="0"/>
    <n v="1"/>
    <x v="0"/>
    <x v="4"/>
    <n v="19.230599999999999"/>
    <n v="81.745759362682392"/>
    <n v="6.97"/>
    <n v="3.5104000000000002"/>
    <n v="49.63558106169296"/>
    <n v="3.1707918834616589"/>
    <n v="46.1"/>
    <n v="1.5329999999999999"/>
    <n v="9.5809999999999995"/>
  </r>
  <r>
    <n v="123"/>
    <s v="HH"/>
    <s v="Lowland"/>
    <x v="1"/>
    <n v="4"/>
    <x v="0"/>
    <x v="4"/>
    <n v="16.367599999999999"/>
    <n v="78.688384369119476"/>
    <n v="7.08"/>
    <n v="3.4882"/>
    <n v="50.731638418079093"/>
    <n v="3.1927947136411978"/>
    <n v="46.41"/>
    <n v="1.514"/>
    <n v="9.4619999999999997"/>
  </r>
  <r>
    <n v="124"/>
    <s v="HH"/>
    <s v="Upland"/>
    <x v="1"/>
    <n v="4"/>
    <x v="0"/>
    <x v="4"/>
    <n v="16.9072"/>
    <n v="78.184442131163053"/>
    <n v="7.01"/>
    <n v="3.6884000000000001"/>
    <n v="47.383737517831662"/>
    <n v="3.1270515911516497"/>
    <n v="49"/>
    <n v="1.395"/>
    <n v="8.7210000000000001"/>
  </r>
  <r>
    <n v="130"/>
    <s v="HH"/>
    <s v="Lowland"/>
    <x v="1"/>
    <n v="5"/>
    <x v="0"/>
    <x v="4"/>
    <n v="9.8849"/>
    <n v="87.366589444506275"/>
    <n v="7.01"/>
    <n v="1.2487999999999999"/>
    <n v="82.185449358059913"/>
    <n v="4.2100612606154142"/>
    <n v="40.81"/>
    <n v="1.774"/>
    <n v="11.087"/>
  </r>
  <r>
    <n v="133"/>
    <s v="HH"/>
    <s v="Upland"/>
    <x v="1"/>
    <n v="5"/>
    <x v="0"/>
    <x v="4"/>
    <n v="22.1922"/>
    <n v="83.492398230008746"/>
    <n v="7.06"/>
    <n v="3.6634000000000002"/>
    <n v="48.110481586402258"/>
    <n v="3.1409600233491717"/>
    <n v="48.78"/>
    <n v="0.86799999999999999"/>
    <n v="5.4279999999999999"/>
  </r>
  <r>
    <n v="143"/>
    <s v="HH"/>
    <s v="Lowland"/>
    <x v="1"/>
    <n v="3"/>
    <x v="0"/>
    <x v="4"/>
    <n v="16.150500000000001"/>
    <n v="79.104671681991263"/>
    <n v="6.98"/>
    <n v="3.3746999999999998"/>
    <n v="51.651862464183381"/>
    <n v="3.2116491350775287"/>
    <n v="44.68"/>
    <n v="1.548"/>
    <n v="9.6750000000000007"/>
  </r>
  <r>
    <n v="153"/>
    <s v="HH"/>
    <s v="Upland"/>
    <x v="1"/>
    <n v="2"/>
    <x v="0"/>
    <x v="4"/>
    <n v="18.575199999999999"/>
    <n v="80.040591756750928"/>
    <n v="6.98"/>
    <n v="3.7075"/>
    <n v="46.883954154727796"/>
    <n v="3.1175977715323313"/>
    <n v="45.72"/>
    <n v="1.6060000000000001"/>
    <n v="10.038"/>
  </r>
  <r>
    <n v="166"/>
    <s v="HH"/>
    <s v="Upland"/>
    <x v="1"/>
    <n v="1"/>
    <x v="0"/>
    <x v="4"/>
    <n v="17.677900000000001"/>
    <n v="79.429117711945423"/>
    <n v="6.97"/>
    <n v="3.6364999999999998"/>
    <n v="47.826398852223818"/>
    <n v="3.1355001939479745"/>
    <n v="44.39"/>
    <n v="1.3879999999999999"/>
    <n v="8.673"/>
  </r>
  <r>
    <n v="168"/>
    <s v="HH"/>
    <s v="Lowland"/>
    <x v="1"/>
    <n v="1"/>
    <x v="0"/>
    <x v="4"/>
    <n v="17.553999999999998"/>
    <n v="83.165090577646112"/>
    <n v="7"/>
    <n v="2.9552"/>
    <n v="57.782857142857146"/>
    <n v="3.3472504683804751"/>
    <n v="45.85"/>
    <n v="1.288"/>
    <n v="8.048"/>
  </r>
  <r>
    <n v="176"/>
    <s v="HH"/>
    <s v="Upland"/>
    <x v="1"/>
    <n v="3"/>
    <x v="0"/>
    <x v="4"/>
    <n v="12.4863"/>
    <n v="69.01484026493037"/>
    <n v="6.94"/>
    <n v="3.8689"/>
    <n v="44.252161383285305"/>
    <n v="3.0692381953943197"/>
    <n v="45.45"/>
    <n v="1.5489999999999999"/>
    <n v="9.6790000000000003"/>
  </r>
  <r>
    <n v="177"/>
    <s v="HH"/>
    <s v="Lowland"/>
    <x v="1"/>
    <n v="2"/>
    <x v="0"/>
    <x v="4"/>
    <n v="19.336400000000001"/>
    <n v="80.381560166318451"/>
    <n v="6.97"/>
    <n v="3.7934999999999999"/>
    <n v="45.573888091822099"/>
    <n v="3.0932327987644403"/>
    <n v="45.5"/>
    <n v="2.032"/>
    <n v="12.7"/>
  </r>
  <r>
    <n v="247"/>
    <s v="SB"/>
    <s v="Upland"/>
    <x v="0"/>
    <n v="3"/>
    <x v="0"/>
    <x v="4"/>
    <n v="26.378599999999999"/>
    <n v="85.593246040350891"/>
    <n v="7.120000000000001"/>
    <n v="3.8003"/>
    <n v="46.625000000000007"/>
    <n v="3.1127343642273031"/>
    <n v="47.75"/>
    <n v="1.7330000000000001"/>
    <n v="10.834"/>
  </r>
  <r>
    <n v="250"/>
    <s v="SB"/>
    <s v="Lowland"/>
    <x v="0"/>
    <n v="5"/>
    <x v="0"/>
    <x v="4"/>
    <n v="27.3367"/>
    <n v="86.229135191884907"/>
    <n v="6.9600000000000009"/>
    <n v="3.7645"/>
    <n v="45.912356321839084"/>
    <n v="3.0994710738262889"/>
    <n v="45.75"/>
    <n v="1.7549999999999999"/>
    <n v="10.965999999999999"/>
  </r>
  <r>
    <n v="253"/>
    <s v="SB"/>
    <s v="Upland"/>
    <x v="0"/>
    <n v="5"/>
    <x v="0"/>
    <x v="4"/>
    <n v="19.825800000000001"/>
    <n v="84.537320057702587"/>
    <n v="6.9799999999999995"/>
    <n v="3.0655999999999999"/>
    <n v="56.080229226361034"/>
    <n v="3.3077122577678768"/>
    <n v="46.98"/>
    <n v="1.7689999999999999"/>
    <n v="11.058999999999999"/>
  </r>
  <r>
    <n v="257"/>
    <s v="SB"/>
    <s v="Upland"/>
    <x v="0"/>
    <n v="4"/>
    <x v="0"/>
    <x v="4"/>
    <n v="24.6676"/>
    <n v="88.442329209165067"/>
    <n v="7.0000000000000009"/>
    <n v="2.851"/>
    <n v="59.271428571428572"/>
    <n v="3.3831469889127788"/>
    <n v="47.25"/>
    <n v="1.907"/>
    <n v="11.92"/>
  </r>
  <r>
    <n v="273"/>
    <s v="SB"/>
    <s v="Lowland"/>
    <x v="0"/>
    <n v="3"/>
    <x v="0"/>
    <x v="4"/>
    <n v="17.583100000000002"/>
    <n v="83.496084308227793"/>
    <n v="7.0600000000000005"/>
    <n v="2.9018999999999999"/>
    <n v="58.896600566572246"/>
    <n v="3.3739860064186771"/>
    <n v="46.06"/>
    <n v="1.093"/>
    <n v="6.8319999999999999"/>
  </r>
  <r>
    <n v="274"/>
    <s v="SB"/>
    <s v="Lowland"/>
    <x v="0"/>
    <n v="4"/>
    <x v="0"/>
    <x v="4"/>
    <n v="24.948899999999998"/>
    <n v="85.352059609842527"/>
    <n v="6.98"/>
    <n v="3.6545000000000001"/>
    <n v="47.643266475644701"/>
    <n v="3.1319962816239721"/>
    <n v="46.63"/>
    <n v="1.784"/>
    <n v="11.151"/>
  </r>
  <r>
    <n v="275"/>
    <s v="SB"/>
    <s v="Lowland"/>
    <x v="0"/>
    <n v="2"/>
    <x v="0"/>
    <x v="4"/>
    <n v="26.678999999999998"/>
    <n v="84.632482476854449"/>
    <n v="7.0499999999999989"/>
    <n v="4.0998999999999999"/>
    <n v="41.845390070921979"/>
    <n v="3.0269716834432647"/>
    <n v="47.05"/>
    <n v="1.8839999999999999"/>
    <n v="11.773999999999999"/>
  </r>
  <r>
    <n v="282"/>
    <s v="SB"/>
    <s v="Upland"/>
    <x v="0"/>
    <n v="2"/>
    <x v="0"/>
    <x v="4"/>
    <n v="17.842099999999999"/>
    <n v="82.950997920648348"/>
    <n v="7.0600000000000005"/>
    <n v="3.0419"/>
    <n v="56.91359773371105"/>
    <n v="3.3268693811061789"/>
    <n v="45.54"/>
    <n v="1.9470000000000001"/>
    <n v="12.170999999999999"/>
  </r>
  <r>
    <n v="294"/>
    <s v="SB"/>
    <s v="Upland"/>
    <x v="0"/>
    <n v="1"/>
    <x v="0"/>
    <x v="4"/>
    <n v="21.335599999999999"/>
    <n v="83.076641856802709"/>
    <n v="6.93"/>
    <n v="3.6107"/>
    <n v="47.897546897546896"/>
    <n v="3.136864803625151"/>
    <n v="47.11"/>
    <n v="1.9419999999999999"/>
    <n v="12.137"/>
  </r>
  <r>
    <n v="300"/>
    <s v="SB"/>
    <s v="Lowland"/>
    <x v="0"/>
    <n v="1"/>
    <x v="0"/>
    <x v="4"/>
    <n v="22.068200000000001"/>
    <n v="83.183494802475963"/>
    <n v="6.98"/>
    <n v="3.7111000000000001"/>
    <n v="46.832378223495702"/>
    <n v="3.1166272379323043"/>
    <n v="46.62"/>
    <n v="1.9410000000000001"/>
    <n v="12.129"/>
  </r>
  <r>
    <n v="362"/>
    <s v="SB"/>
    <s v="Lowland"/>
    <x v="1"/>
    <n v="2"/>
    <x v="0"/>
    <x v="4"/>
    <n v="23.178999999999998"/>
    <n v="80.913758143146822"/>
    <n v="7"/>
    <n v="4.4240000000000004"/>
    <n v="36.799999999999997"/>
    <n v="2.9437725346232799"/>
    <n v="47.09"/>
    <n v="1.415"/>
    <n v="8.8409999999999993"/>
  </r>
  <r>
    <n v="363"/>
    <s v="SB"/>
    <s v="Upland"/>
    <x v="1"/>
    <n v="5"/>
    <x v="0"/>
    <x v="4"/>
    <n v="21.626100000000001"/>
    <n v="81.056686133884526"/>
    <n v="6.98"/>
    <n v="4.0967000000000002"/>
    <n v="41.308022922636106"/>
    <n v="3.0177737949890493"/>
    <n v="47.89"/>
    <n v="1.4970000000000001"/>
    <n v="9.3580000000000005"/>
  </r>
  <r>
    <n v="364"/>
    <s v="SB"/>
    <s v="Lowland"/>
    <x v="1"/>
    <n v="5"/>
    <x v="0"/>
    <x v="4"/>
    <n v="22.040900000000001"/>
    <n v="84.447549782449897"/>
    <n v="7.02"/>
    <n v="3.4279000000000002"/>
    <n v="51.169515669515661"/>
    <n v="3.201722039044272"/>
    <n v="44.93"/>
    <n v="1.4730000000000001"/>
    <n v="9.2070000000000007"/>
  </r>
  <r>
    <n v="366"/>
    <s v="SB"/>
    <s v="Upland"/>
    <x v="1"/>
    <n v="1"/>
    <x v="0"/>
    <x v="4"/>
    <n v="17.001799999999999"/>
    <n v="75.516121822395263"/>
    <n v="7"/>
    <n v="4.1627000000000001"/>
    <n v="40.532857142857139"/>
    <n v="3.0046528966429737"/>
    <n v="45.78"/>
    <n v="1.2769999999999999"/>
    <n v="7.9829999999999997"/>
  </r>
  <r>
    <n v="369"/>
    <s v="SB"/>
    <s v="Upland"/>
    <x v="1"/>
    <n v="3"/>
    <x v="0"/>
    <x v="4"/>
    <n v="17.419799999999999"/>
    <n v="77.717310187258164"/>
    <n v="7.05"/>
    <n v="3.8816000000000002"/>
    <n v="44.941843971631201"/>
    <n v="3.0816868268445834"/>
    <n v="46.99"/>
    <n v="1.546"/>
    <n v="9.6620000000000008"/>
  </r>
  <r>
    <n v="390"/>
    <s v="SB"/>
    <s v="Lowland"/>
    <x v="1"/>
    <n v="4"/>
    <x v="0"/>
    <x v="4"/>
    <n v="22.575399999999998"/>
    <n v="82.026896533394762"/>
    <n v="7.01"/>
    <n v="4.0575000000000001"/>
    <n v="42.11840228245363"/>
    <n v="3.0316773304278897"/>
    <n v="46.15"/>
    <n v="1.359"/>
    <n v="8.4909999999999997"/>
  </r>
  <r>
    <n v="396"/>
    <s v="SB"/>
    <s v="Lowland"/>
    <x v="1"/>
    <n v="3"/>
    <x v="0"/>
    <x v="4"/>
    <n v="18.580400000000001"/>
    <n v="77.825019913457197"/>
    <n v="7.08"/>
    <n v="4.1201999999999996"/>
    <n v="41.805084745762713"/>
    <n v="3.0262788516210803"/>
    <n v="46.85"/>
    <n v="1.421"/>
    <n v="8.8829999999999991"/>
  </r>
  <r>
    <n v="404"/>
    <s v="SB"/>
    <s v="Lowland"/>
    <x v="1"/>
    <n v="1"/>
    <x v="0"/>
    <x v="4"/>
    <n v="23.072399999999998"/>
    <n v="84.388706853209897"/>
    <n v="7.01"/>
    <n v="3.6019000000000001"/>
    <n v="48.617689015691866"/>
    <n v="3.1507828668203635"/>
    <n v="45.51"/>
    <n v="1.45"/>
    <n v="9.0660000000000007"/>
  </r>
  <r>
    <n v="405"/>
    <s v="SB"/>
    <s v="Upland"/>
    <x v="1"/>
    <n v="2"/>
    <x v="0"/>
    <x v="4"/>
    <n v="18.3215"/>
    <n v="82.810905220642411"/>
    <n v="7"/>
    <n v="3.1493000000000002"/>
    <n v="55.009999999999991"/>
    <n v="3.2836365929230107"/>
    <n v="46.87"/>
    <n v="1.391"/>
    <n v="8.8670000000000009"/>
  </r>
  <r>
    <n v="482"/>
    <s v="BC"/>
    <s v="Lowland"/>
    <x v="0"/>
    <n v="4"/>
    <x v="0"/>
    <x v="4"/>
    <n v="20.501799999999999"/>
    <n v="18.207181808426579"/>
    <n v="6.99"/>
    <n v="3.7328000000000001"/>
    <n v="46.597997138769671"/>
    <n v="3.1122285837486907"/>
    <n v="46.88"/>
    <n v="1.369"/>
    <n v="8.5540000000000003"/>
  </r>
  <r>
    <n v="483"/>
    <s v="BC"/>
    <s v="Upland"/>
    <x v="0"/>
    <n v="4"/>
    <x v="0"/>
    <x v="4"/>
    <n v="23.318999999999999"/>
    <n v="15.508812556284573"/>
    <n v="7.06"/>
    <n v="3.6164999999999998"/>
    <n v="48.774787535410766"/>
    <n v="3.1538449939859525"/>
    <n v="46.69"/>
    <n v="1.8080000000000001"/>
    <n v="11.3"/>
  </r>
  <r>
    <n v="510"/>
    <s v="BC"/>
    <s v="Lowland"/>
    <x v="0"/>
    <n v="1"/>
    <x v="0"/>
    <x v="4"/>
    <n v="20.396799999999999"/>
    <n v="16.226074678380925"/>
    <n v="6.96"/>
    <n v="3.3096000000000001"/>
    <n v="52.448275862068961"/>
    <n v="3.2282587879692639"/>
    <n v="48.42"/>
    <n v="1.486"/>
    <n v="9.2870000000000008"/>
  </r>
  <r>
    <n v="523"/>
    <s v="BC"/>
    <s v="Upland"/>
    <x v="0"/>
    <n v="3"/>
    <x v="0"/>
    <x v="4"/>
    <n v="14.161300000000001"/>
    <n v="25.195426973512319"/>
    <n v="7.03"/>
    <n v="3.5680000000000001"/>
    <n v="49.246088193456615"/>
    <n v="3.1630881408928109"/>
    <n v="47.04"/>
    <n v="1.5149999999999999"/>
    <n v="9.468"/>
  </r>
  <r>
    <n v="524"/>
    <s v="BC"/>
    <s v="Upland"/>
    <x v="0"/>
    <n v="2"/>
    <x v="0"/>
    <x v="4"/>
    <n v="18.061800000000002"/>
    <n v="18.97429935000941"/>
    <n v="6.92"/>
    <n v="3.4270999999999998"/>
    <n v="50.475433526011557"/>
    <n v="3.1876079969099838"/>
    <n v="47.11"/>
    <n v="1.827"/>
    <n v="11.42"/>
  </r>
  <r>
    <n v="526"/>
    <s v="BC"/>
    <s v="Lowland"/>
    <x v="0"/>
    <n v="3"/>
    <x v="0"/>
    <x v="4"/>
    <n v="17.3002"/>
    <n v="19.925781204841559"/>
    <n v="7"/>
    <n v="3.4472"/>
    <n v="50.754285714285722"/>
    <n v="3.1932544915238221"/>
    <n v="42.08"/>
    <n v="1.83"/>
    <n v="9.5609999999999999"/>
  </r>
  <r>
    <n v="533"/>
    <s v="BC"/>
    <s v="Upland"/>
    <x v="0"/>
    <n v="5"/>
    <x v="0"/>
    <x v="4"/>
    <n v="25.177900000000001"/>
    <n v="14.569920446105513"/>
    <n v="6.95"/>
    <n v="3.6684000000000001"/>
    <n v="47.217266187050363"/>
    <n v="3.1238927096620488"/>
    <n v="47.09"/>
    <n v="1.9410000000000001"/>
    <n v="12.132"/>
  </r>
  <r>
    <n v="604"/>
    <s v="BC"/>
    <s v="Lowland"/>
    <x v="1"/>
    <n v="1"/>
    <x v="0"/>
    <x v="4"/>
    <n v="15.0024"/>
    <n v="18.067109262517999"/>
    <n v="6.92"/>
    <n v="2.7105000000000001"/>
    <n v="60.830924855491332"/>
    <n v="3.4221892996993226"/>
    <n v="47.73"/>
    <n v="3.5539999999999998"/>
    <n v="22.213999999999999"/>
  </r>
  <r>
    <n v="613"/>
    <s v="BC"/>
    <s v="Upland"/>
    <x v="1"/>
    <n v="1"/>
    <x v="0"/>
    <x v="4"/>
    <n v="16.850899999999999"/>
    <n v="19.61260229423948"/>
    <n v="7.03"/>
    <n v="3.3048999999999999"/>
    <n v="52.988620199146517"/>
    <n v="3.2396871399507639"/>
    <n v="47.27"/>
    <n v="1.8660000000000001"/>
    <n v="11.66"/>
  </r>
  <r>
    <n v="618"/>
    <s v="BC"/>
    <s v="Upland"/>
    <x v="1"/>
    <n v="3"/>
    <x v="0"/>
    <x v="4"/>
    <n v="16.8992"/>
    <n v="22.477987123650824"/>
    <n v="6.94"/>
    <n v="3.7986"/>
    <n v="45.265129682997127"/>
    <n v="3.0875758465107146"/>
    <n v="46.75"/>
    <n v="1.242"/>
    <n v="7.76"/>
  </r>
  <r>
    <n v="633"/>
    <s v="BC"/>
    <s v="Lowland"/>
    <x v="1"/>
    <n v="5"/>
    <x v="0"/>
    <x v="4"/>
    <n v="16.008900000000001"/>
    <n v="18.331053351573185"/>
    <n v="7.04"/>
    <n v="2.9346000000000001"/>
    <n v="58.315340909090907"/>
    <n v="3.3599436621667218"/>
    <n v="47.79"/>
    <n v="2.1190000000000002"/>
    <n v="13.241"/>
  </r>
  <r>
    <n v="635"/>
    <s v="BC"/>
    <s v="Lowland"/>
    <x v="1"/>
    <n v="3"/>
    <x v="0"/>
    <x v="4"/>
    <n v="13.7691"/>
    <n v="22.24255761088234"/>
    <n v="7.05"/>
    <n v="3.0626000000000002"/>
    <n v="56.558865248226944"/>
    <n v="3.3186700382132073"/>
    <n v="43.09"/>
    <n v="2.7280000000000002"/>
    <n v="17.047000000000001"/>
  </r>
  <r>
    <n v="644"/>
    <s v="BC"/>
    <s v="Upland"/>
    <x v="1"/>
    <n v="5"/>
    <x v="0"/>
    <x v="4"/>
    <n v="15.8148"/>
    <n v="19.364772238662521"/>
    <n v="6.97"/>
    <n v="3.0625"/>
    <n v="56.061692969870869"/>
    <n v="3.3072902986895873"/>
    <n v="46.83"/>
    <n v="2.5979999999999999"/>
    <n v="16.239999999999998"/>
  </r>
  <r>
    <n v="659"/>
    <s v="BC"/>
    <s v="Lowland"/>
    <x v="1"/>
    <n v="2"/>
    <x v="0"/>
    <x v="4"/>
    <n v="18.357700000000001"/>
    <n v="16.780424562989914"/>
    <n v="6.97"/>
    <n v="3.0804999999999998"/>
    <n v="55.803443328550941"/>
    <n v="3.3014299530879447"/>
    <n v="41.8"/>
    <n v="1.3180000000000001"/>
    <n v="8.2370000000000001"/>
  </r>
  <r>
    <s v="BCLP2"/>
    <s v="BC"/>
    <s v="Lowland"/>
    <x v="0"/>
    <n v="2"/>
    <x v="0"/>
    <x v="4"/>
    <n v="22.385200000000001"/>
    <n v="17.789879027214408"/>
    <n v="7"/>
    <n v="3.9823"/>
    <n v="43.11"/>
    <n v="3.0489572570135359"/>
    <n v="42.08"/>
    <n v="1.482"/>
    <n v="9.2650000000000006"/>
  </r>
  <r>
    <s v="BCLP5"/>
    <s v="BC"/>
    <s v="Lowland"/>
    <x v="0"/>
    <n v="5"/>
    <x v="0"/>
    <x v="4"/>
    <n v="14.9291"/>
    <n v="16.791367195611258"/>
    <n v="7"/>
    <n v="2.5068000000000001"/>
    <n v="64.188571428571422"/>
    <n v="3.5118097594749305"/>
    <n v="42.08"/>
    <n v="1.756"/>
    <n v="10.973000000000001"/>
  </r>
  <r>
    <s v="BCLR4"/>
    <s v="BC"/>
    <s v="Lowland"/>
    <x v="1"/>
    <n v="4"/>
    <x v="0"/>
    <x v="4"/>
    <n v="10.765599999999999"/>
    <n v="17.315337742438881"/>
    <n v="7"/>
    <n v="1.8641000000000001"/>
    <n v="73.36999999999999"/>
    <n v="3.8080384359502508"/>
    <n v="47.15"/>
    <n v="2.863"/>
    <n v="17.890999999999998"/>
  </r>
  <r>
    <s v="BCUP1"/>
    <s v="BC"/>
    <s v="Upland"/>
    <x v="0"/>
    <n v="1"/>
    <x v="0"/>
    <x v="4"/>
    <n v="16.223400000000002"/>
    <n v="16.537840403367973"/>
    <n v="7"/>
    <n v="2.6829999999999998"/>
    <n v="61.671428571428578"/>
    <n v="3.4438812273998263"/>
    <n v="46.74"/>
    <n v="2.6419999999999999"/>
    <n v="16.513000000000002"/>
  </r>
  <r>
    <s v="BCUR2"/>
    <s v="BC"/>
    <s v="Upland"/>
    <x v="1"/>
    <n v="2"/>
    <x v="0"/>
    <x v="4"/>
    <n v="15.982699999999999"/>
    <n v="21.078416037340375"/>
    <n v="7"/>
    <n v="3.3689"/>
    <n v="51.872857142857143"/>
    <n v="3.2162305172577668"/>
    <n v="46.13"/>
    <n v="1.462"/>
    <n v="9.14"/>
  </r>
  <r>
    <s v="BCUR4"/>
    <s v="BC"/>
    <s v="Upland"/>
    <x v="1"/>
    <n v="4"/>
    <x v="0"/>
    <x v="4"/>
    <n v="20.173200000000001"/>
    <n v="20.037475462494793"/>
    <n v="7"/>
    <n v="4.0422000000000002"/>
    <n v="42.254285714285714"/>
    <n v="3.0340277006307814"/>
    <n v="47.58"/>
    <n v="1.4570000000000001"/>
    <n v="8.9920000000000009"/>
  </r>
  <r>
    <s v="HCLP3"/>
    <s v="HH"/>
    <s v="Lowland"/>
    <x v="0"/>
    <n v="3"/>
    <x v="0"/>
    <x v="4"/>
    <n v="21.175799999999999"/>
    <n v="81.340020211751153"/>
    <n v="7"/>
    <n v="3.9514"/>
    <n v="43.551428571428566"/>
    <n v="3.0567468523461461"/>
    <n v="42.57"/>
    <n v="1.4259999999999999"/>
    <n v="8.9120000000000008"/>
  </r>
  <r>
    <s v="HCLP4"/>
    <s v="HH"/>
    <s v="Lowland"/>
    <x v="0"/>
    <n v="4"/>
    <x v="0"/>
    <x v="4"/>
    <n v="16.941500000000001"/>
    <n v="82.267213646961608"/>
    <n v="7"/>
    <n v="3.0042"/>
    <n v="57.082857142857144"/>
    <n v="3.3308054892614964"/>
    <n v="46.37"/>
    <n v="1.734"/>
    <n v="10.839"/>
  </r>
  <r>
    <s v="SCUR4"/>
    <s v="SB"/>
    <s v="Upland"/>
    <x v="1"/>
    <n v="4"/>
    <x v="0"/>
    <x v="4"/>
    <n v="18.292999999999999"/>
    <n v="83.012627781118468"/>
    <n v="7"/>
    <n v="3.1074999999999999"/>
    <n v="55.607142857142854"/>
    <n v="3.2969982544405845"/>
    <n v="47.15"/>
    <n v="1.7609999999999999"/>
    <n v="11.004"/>
  </r>
  <r>
    <n v="66"/>
    <s v="HH"/>
    <s v="Upland"/>
    <x v="0"/>
    <n v="1"/>
    <x v="1"/>
    <x v="4"/>
    <n v="17.684999999999999"/>
    <n v="76.37545942889453"/>
    <n v="6.99"/>
    <n v="4.1779999999999999"/>
    <n v="40.228898426323326"/>
    <n v="2.9995545428993453"/>
    <n v="44.96"/>
    <n v="1.3109999999999999"/>
    <n v="8.1940000000000008"/>
  </r>
  <r>
    <n v="74"/>
    <s v="HH"/>
    <s v="Lowland"/>
    <x v="0"/>
    <n v="4"/>
    <x v="1"/>
    <x v="4"/>
    <n v="18.338000000000001"/>
    <n v="78.350965208855925"/>
    <n v="6.98"/>
    <n v="3.97"/>
    <n v="43.123209169054441"/>
    <n v="3.0491894718631825"/>
    <n v="46.29"/>
    <n v="1.7669999999999999"/>
    <n v="11.047000000000001"/>
  </r>
  <r>
    <n v="77"/>
    <s v="HH"/>
    <s v="Upland"/>
    <x v="0"/>
    <n v="3"/>
    <x v="1"/>
    <x v="4"/>
    <n v="16.143000000000001"/>
    <n v="75.97100910611411"/>
    <n v="6.94"/>
    <n v="3.879"/>
    <n v="44.106628242074933"/>
    <n v="3.0666310358488835"/>
    <n v="46.35"/>
    <n v="1.752"/>
    <n v="10.952999999999999"/>
  </r>
  <r>
    <n v="86"/>
    <s v="HH"/>
    <s v="Lowland"/>
    <x v="0"/>
    <n v="1"/>
    <x v="1"/>
    <x v="4"/>
    <n v="22.119"/>
    <n v="76.775622767756218"/>
    <n v="7.04"/>
    <n v="5.1369999999999996"/>
    <n v="27.031250000000007"/>
    <n v="2.8000455684728207"/>
    <n v="45.45"/>
    <n v="1.0349999999999999"/>
    <n v="6.4660000000000002"/>
  </r>
  <r>
    <n v="95"/>
    <s v="HH"/>
    <s v="Lowland"/>
    <x v="0"/>
    <n v="5"/>
    <x v="1"/>
    <x v="4"/>
    <n v="20.507999999999999"/>
    <n v="77.447825238931145"/>
    <n v="6.99"/>
    <n v="4.625"/>
    <n v="33.834048640915597"/>
    <n v="2.8979108350693306"/>
    <n v="41.73"/>
    <n v="1.1020000000000001"/>
    <n v="10.978"/>
  </r>
  <r>
    <n v="96"/>
    <s v="HH"/>
    <s v="Upland"/>
    <x v="0"/>
    <n v="5"/>
    <x v="1"/>
    <x v="4"/>
    <n v="18.664999999999999"/>
    <n v="81.784087864987939"/>
    <n v="7.03"/>
    <n v="3.4"/>
    <n v="51.635846372688476"/>
    <n v="3.2113179239884584"/>
    <n v="44.75"/>
    <n v="1.798"/>
    <n v="11.24"/>
  </r>
  <r>
    <n v="97"/>
    <s v="HH"/>
    <s v="Lowland"/>
    <x v="0"/>
    <n v="2"/>
    <x v="1"/>
    <x v="4"/>
    <n v="17.861999999999998"/>
    <n v="80.746836860373975"/>
    <n v="6.99"/>
    <n v="3.4390000000000001"/>
    <n v="50.80114449213162"/>
    <n v="3.1942064745835901"/>
    <n v="44.96"/>
    <n v="1.7789999999999999"/>
    <n v="11.119"/>
  </r>
  <r>
    <n v="99"/>
    <s v="HH"/>
    <s v="Lowland"/>
    <x v="0"/>
    <n v="3"/>
    <x v="1"/>
    <x v="4"/>
    <n v="19.440000000000001"/>
    <n v="80.663580246913583"/>
    <n v="7"/>
    <n v="3.7589999999999999"/>
    <n v="46.300000000000004"/>
    <n v="3.1066638342612727"/>
    <n v="42.59"/>
    <n v="1.665"/>
    <n v="10.407"/>
  </r>
  <r>
    <n v="109"/>
    <s v="HH"/>
    <s v="Upland"/>
    <x v="0"/>
    <n v="2"/>
    <x v="1"/>
    <x v="4"/>
    <n v="20.728999999999999"/>
    <n v="82.068599546529015"/>
    <n v="7.03"/>
    <n v="3.7170000000000001"/>
    <n v="47.126600284495026"/>
    <n v="3.1221764642954586"/>
    <n v="46.41"/>
    <n v="1.847"/>
    <n v="11.547000000000001"/>
  </r>
  <r>
    <n v="113"/>
    <s v="HH"/>
    <s v="Upland"/>
    <x v="0"/>
    <n v="2"/>
    <x v="1"/>
    <x v="4"/>
    <n v="21.091000000000001"/>
    <n v="83.24403774121663"/>
    <n v="7.01"/>
    <n v="3.5339999999999998"/>
    <n v="49.586305278174038"/>
    <n v="3.1698139769369944"/>
    <n v="47.11"/>
    <n v="1.8819999999999999"/>
    <n v="11.762"/>
  </r>
  <r>
    <n v="119"/>
    <s v="HH"/>
    <s v="Upland"/>
    <x v="0"/>
    <n v="4"/>
    <x v="1"/>
    <x v="4"/>
    <n v="16.163"/>
    <n v="76.248221246055806"/>
    <n v="7.01"/>
    <n v="3.839"/>
    <n v="45.235378031383739"/>
    <n v="3.0870324348158382"/>
    <n v="48.21"/>
    <n v="1.6379999999999999"/>
    <n v="10.239000000000001"/>
  </r>
  <r>
    <n v="183"/>
    <s v="HH"/>
    <s v="Upland"/>
    <x v="1"/>
    <n v="4"/>
    <x v="1"/>
    <x v="4"/>
    <n v="16.273"/>
    <n v="75.794260431389418"/>
    <n v="7.01"/>
    <n v="3.9390000000000001"/>
    <n v="43.808844507845933"/>
    <n v="3.0613174668457304"/>
    <n v="47.52"/>
    <n v="1.466"/>
    <n v="9.1609999999999996"/>
  </r>
  <r>
    <n v="194"/>
    <s v="HH"/>
    <s v="Upland"/>
    <x v="1"/>
    <n v="5"/>
    <x v="1"/>
    <x v="4"/>
    <n v="18.783999999999999"/>
    <n v="79.200383304940374"/>
    <n v="6.96"/>
    <n v="3.907"/>
    <n v="43.864942528735625"/>
    <n v="3.0623163080613951"/>
    <n v="45.54"/>
    <n v="1.6719999999999999"/>
    <n v="9.1270000000000007"/>
  </r>
  <r>
    <n v="203"/>
    <s v="HH"/>
    <s v="Lowland"/>
    <x v="1"/>
    <n v="3"/>
    <x v="1"/>
    <x v="4"/>
    <n v="17.530999999999999"/>
    <n v="73.464149221379259"/>
    <n v="7.06"/>
    <n v="4.6520000000000001"/>
    <n v="34.107648725212456"/>
    <n v="2.9020544666367329"/>
    <n v="38.24"/>
    <n v="1.629"/>
    <n v="10.183999999999999"/>
  </r>
  <r>
    <n v="205"/>
    <s v="HH"/>
    <s v="Upland"/>
    <x v="1"/>
    <n v="3"/>
    <x v="1"/>
    <x v="4"/>
    <n v="14.94"/>
    <n v="69.357429718875494"/>
    <n v="7.06"/>
    <n v="4.5780000000000003"/>
    <n v="35.155807365439088"/>
    <n v="2.9180894797627759"/>
    <n v="45.3"/>
    <n v="1.357"/>
    <n v="8.4789999999999992"/>
  </r>
  <r>
    <n v="210"/>
    <s v="HH"/>
    <s v="Upland"/>
    <x v="1"/>
    <n v="1"/>
    <x v="1"/>
    <x v="4"/>
    <n v="18.763000000000002"/>
    <n v="73.239887011671897"/>
    <n v="7.09"/>
    <n v="5.0209999999999999"/>
    <n v="29.181946403385052"/>
    <n v="2.8299628732794679"/>
    <n v="44.19"/>
    <n v="1.3839999999999999"/>
    <n v="8.7910000000000004"/>
  </r>
  <r>
    <n v="227"/>
    <s v="HH"/>
    <s v="Lowland"/>
    <x v="1"/>
    <n v="2"/>
    <x v="1"/>
    <x v="4"/>
    <n v="16.321000000000002"/>
    <n v="76.588444335518659"/>
    <n v="6.99"/>
    <n v="3.8210000000000002"/>
    <n v="45.336194563662374"/>
    <n v="3.0888750375689562"/>
    <n v="44.18"/>
    <n v="1.234"/>
    <n v="7.7119999999999997"/>
  </r>
  <r>
    <n v="237"/>
    <s v="HH"/>
    <s v="Lowland"/>
    <x v="1"/>
    <n v="1"/>
    <x v="1"/>
    <x v="4"/>
    <n v="18.968"/>
    <n v="78.917123576549969"/>
    <n v="6.97"/>
    <n v="3.9990000000000001"/>
    <n v="42.625538020086076"/>
    <n v="3.0404775446957517"/>
    <n v="44.08"/>
    <n v="1.587"/>
    <n v="9.9190000000000005"/>
  </r>
  <r>
    <n v="312"/>
    <s v="SB"/>
    <s v="Upland"/>
    <x v="0"/>
    <n v="2"/>
    <x v="1"/>
    <x v="4"/>
    <n v="21.507000000000001"/>
    <n v="81.392104896080355"/>
    <n v="6.98"/>
    <n v="4.0019999999999998"/>
    <n v="42.664756446991412"/>
    <n v="3.0411613304007399"/>
    <n v="47.5"/>
    <n v="1.651"/>
    <n v="10.316000000000001"/>
  </r>
  <r>
    <n v="314"/>
    <s v="SB"/>
    <s v="Lowland"/>
    <x v="0"/>
    <n v="4"/>
    <x v="1"/>
    <x v="4"/>
    <n v="18.765999999999998"/>
    <n v="79.318981136097193"/>
    <n v="6.99"/>
    <n v="3.8809999999999998"/>
    <n v="44.47782546494993"/>
    <n v="3.0732943536469501"/>
    <n v="47.13"/>
    <n v="1.9159999999999999"/>
    <n v="11.972"/>
  </r>
  <r>
    <n v="316"/>
    <s v="SB"/>
    <s v="Lowland"/>
    <x v="0"/>
    <n v="1"/>
    <x v="1"/>
    <x v="4"/>
    <n v="20.731000000000002"/>
    <n v="80.377212869615562"/>
    <n v="6.99"/>
    <n v="4.0679999999999996"/>
    <n v="41.80257510729615"/>
    <n v="3.0262357278474057"/>
    <n v="45.85"/>
    <n v="1.5629999999999999"/>
    <n v="9.7710000000000008"/>
  </r>
  <r>
    <n v="326"/>
    <s v="SB"/>
    <s v="Upland"/>
    <x v="0"/>
    <n v="1"/>
    <x v="1"/>
    <x v="4"/>
    <n v="15.778"/>
    <n v="75.605273165166693"/>
    <n v="6.99"/>
    <n v="3.8490000000000002"/>
    <n v="44.935622317596561"/>
    <n v="3.08157383173211"/>
    <n v="46.11"/>
    <n v="1.627"/>
    <n v="10.166"/>
  </r>
  <r>
    <n v="345"/>
    <s v="SB"/>
    <s v="Lowland"/>
    <x v="0"/>
    <n v="5"/>
    <x v="1"/>
    <x v="4"/>
    <n v="20.335000000000001"/>
    <n v="81.426112613720179"/>
    <n v="6.97"/>
    <n v="3.7770000000000001"/>
    <n v="45.810616929698703"/>
    <n v="3.0975918308301127"/>
    <n v="40.119999999999997"/>
    <n v="1.696"/>
    <n v="10.6"/>
  </r>
  <r>
    <n v="346"/>
    <s v="SB"/>
    <s v="Upland"/>
    <x v="0"/>
    <n v="5"/>
    <x v="1"/>
    <x v="4"/>
    <n v="16.013999999999999"/>
    <n v="79.168227800674401"/>
    <n v="7.04"/>
    <n v="3.3359999999999999"/>
    <n v="52.61363636363636"/>
    <n v="3.2317423354614512"/>
    <n v="46.63"/>
    <n v="1.903"/>
    <n v="11.893000000000001"/>
  </r>
  <r>
    <n v="348"/>
    <s v="SB"/>
    <s v="Upland"/>
    <x v="0"/>
    <n v="4"/>
    <x v="1"/>
    <x v="4"/>
    <n v="23.914000000000001"/>
    <n v="84.925148448607516"/>
    <n v="7"/>
    <n v="3.605"/>
    <n v="48.5"/>
    <n v="3.1484950281064013"/>
    <n v="46.99"/>
    <n v="2.0459999999999998"/>
    <n v="12.786"/>
  </r>
  <r>
    <n v="352"/>
    <s v="SB"/>
    <s v="Lowland"/>
    <x v="0"/>
    <n v="3"/>
    <x v="1"/>
    <x v="4"/>
    <n v="19.576000000000001"/>
    <n v="78.933387821822649"/>
    <n v="7.03"/>
    <n v="4.1239999999999997"/>
    <n v="41.337126600284499"/>
    <n v="3.0182697894558603"/>
    <n v="46.94"/>
    <n v="1.825"/>
    <n v="10.996"/>
  </r>
  <r>
    <n v="353"/>
    <s v="SB"/>
    <s v="Lowland"/>
    <x v="0"/>
    <n v="2"/>
    <x v="1"/>
    <x v="4"/>
    <n v="18.379000000000001"/>
    <n v="81.473420751945156"/>
    <n v="7.02"/>
    <n v="3.4049999999999998"/>
    <n v="51.495726495726487"/>
    <n v="3.2084249282242445"/>
    <n v="46.12"/>
    <n v="1.778"/>
    <n v="11.113"/>
  </r>
  <r>
    <n v="358"/>
    <s v="SB"/>
    <s v="Upland"/>
    <x v="0"/>
    <n v="3"/>
    <x v="1"/>
    <x v="4"/>
    <n v="19.530999999999999"/>
    <n v="83.651630740873472"/>
    <n v="6.96"/>
    <n v="3.1930000000000001"/>
    <n v="54.1235632183908"/>
    <n v="3.2641252104016836"/>
    <n v="44.58"/>
    <n v="1.9379999999999999"/>
    <n v="12.112"/>
  </r>
  <r>
    <n v="423"/>
    <s v="SB"/>
    <s v="Lowland"/>
    <x v="1"/>
    <n v="3"/>
    <x v="1"/>
    <x v="4"/>
    <n v="14.423999999999999"/>
    <n v="69.932057681641709"/>
    <n v="6.99"/>
    <n v="4.3369999999999997"/>
    <n v="37.954220314735345"/>
    <n v="2.9622043411804904"/>
    <n v="46.77"/>
    <n v="1.4530000000000001"/>
    <n v="9.0809999999999995"/>
  </r>
  <r>
    <n v="436"/>
    <s v="SB"/>
    <s v="Lowland"/>
    <x v="1"/>
    <n v="5"/>
    <x v="1"/>
    <x v="4"/>
    <n v="24.687999999999999"/>
    <n v="81.958846403110812"/>
    <n v="6.96"/>
    <n v="4.4539999999999997"/>
    <n v="36.005747126436781"/>
    <n v="2.9312835552991525"/>
    <n v="39.380000000000003"/>
    <n v="1.47"/>
    <n v="9.1869999999999994"/>
  </r>
  <r>
    <n v="458"/>
    <s v="SB"/>
    <s v="Upland"/>
    <x v="1"/>
    <n v="1"/>
    <x v="1"/>
    <x v="4"/>
    <n v="15.638"/>
    <n v="69.945005755211653"/>
    <n v="7.03"/>
    <n v="4.7"/>
    <n v="33.143669985775247"/>
    <n v="2.8875308468945611"/>
    <n v="46.23"/>
    <n v="1.4750000000000001"/>
    <n v="9.0239999999999991"/>
  </r>
  <r>
    <n v="459"/>
    <s v="SB"/>
    <s v="Lowland"/>
    <x v="1"/>
    <n v="2"/>
    <x v="1"/>
    <x v="4"/>
    <n v="18.916"/>
    <n v="77.014167900190316"/>
    <n v="7"/>
    <n v="4.3479999999999999"/>
    <n v="37.885714285714286"/>
    <n v="2.9611008295843506"/>
    <n v="46.78"/>
    <n v="1.5720000000000001"/>
    <n v="9.3469999999999995"/>
  </r>
  <r>
    <n v="464"/>
    <s v="SB"/>
    <s v="Upland"/>
    <x v="1"/>
    <n v="2"/>
    <x v="1"/>
    <x v="4"/>
    <n v="20.212"/>
    <n v="80.709479517118538"/>
    <n v="6.96"/>
    <n v="3.899"/>
    <n v="43.979885057471265"/>
    <n v="3.0643660141338684"/>
    <n v="46.46"/>
    <n v="1.274"/>
    <n v="7.9630000000000001"/>
  </r>
  <r>
    <n v="472"/>
    <s v="SB"/>
    <s v="Lowland"/>
    <x v="1"/>
    <n v="4"/>
    <x v="1"/>
    <x v="4"/>
    <n v="20.859000000000002"/>
    <n v="79.495661345222686"/>
    <n v="6.92"/>
    <n v="4.2770000000000001"/>
    <n v="38.193641618497111"/>
    <n v="2.9660705901728068"/>
    <n v="47.59"/>
    <n v="1.637"/>
    <n v="10.23"/>
  </r>
  <r>
    <n v="474"/>
    <s v="SB"/>
    <s v="Upland"/>
    <x v="1"/>
    <n v="3"/>
    <x v="1"/>
    <x v="4"/>
    <n v="22.498999999999999"/>
    <n v="79.936886083825954"/>
    <n v="7"/>
    <n v="4.5140000000000002"/>
    <n v="35.514285714285712"/>
    <n v="2.9236331204479695"/>
    <n v="47.12"/>
    <n v="1.4470000000000001"/>
    <n v="9.0429999999999993"/>
  </r>
  <r>
    <n v="475"/>
    <s v="SB"/>
    <s v="Upland"/>
    <x v="1"/>
    <n v="5"/>
    <x v="1"/>
    <x v="4"/>
    <n v="17.388999999999999"/>
    <n v="76.410374374604629"/>
    <n v="7.01"/>
    <n v="4.1020000000000003"/>
    <n v="41.483594864479315"/>
    <n v="3.0207696911843103"/>
    <n v="46.98"/>
    <n v="1.498"/>
    <n v="9.125"/>
  </r>
  <r>
    <n v="477"/>
    <s v="SB"/>
    <s v="Lowland"/>
    <x v="1"/>
    <n v="1"/>
    <x v="1"/>
    <x v="4"/>
    <n v="22.274999999999999"/>
    <n v="80.094276094276083"/>
    <n v="6.91"/>
    <n v="4.4340000000000002"/>
    <n v="35.832127351664255"/>
    <n v="2.9285741763734592"/>
    <n v="46.78"/>
    <n v="1.5660000000000001"/>
    <n v="9.7850000000000001"/>
  </r>
  <r>
    <n v="549"/>
    <s v="BC"/>
    <s v="Lowland"/>
    <x v="0"/>
    <n v="5"/>
    <x v="1"/>
    <x v="4"/>
    <n v="14.869"/>
    <n v="22.079494249781426"/>
    <n v="6.98"/>
    <n v="3.2829999999999999"/>
    <n v="52.965616045845273"/>
    <n v="3.239197928042826"/>
    <n v="46.95"/>
    <n v="1.675"/>
    <n v="8.9849999999999994"/>
  </r>
  <r>
    <n v="560"/>
    <s v="BC"/>
    <s v="Upland"/>
    <x v="0"/>
    <n v="2"/>
    <x v="1"/>
    <x v="4"/>
    <n v="18.042000000000002"/>
    <n v="21.599600931160623"/>
    <n v="7.04"/>
    <n v="3.8969999999999998"/>
    <n v="44.644886363636367"/>
    <n v="3.0763077936013792"/>
    <n v="47.21"/>
    <n v="1.8220000000000001"/>
    <n v="11.387"/>
  </r>
  <r>
    <n v="569"/>
    <s v="BC"/>
    <s v="Lowland"/>
    <x v="0"/>
    <n v="3"/>
    <x v="1"/>
    <x v="4"/>
    <n v="19.204999999999998"/>
    <n v="22.900286383754231"/>
    <n v="7.04"/>
    <n v="4.3979999999999997"/>
    <n v="37.528409090909101"/>
    <n v="2.9553649278253822"/>
    <n v="44.4"/>
    <n v="1.41"/>
    <n v="8.8119999999999994"/>
  </r>
  <r>
    <n v="570"/>
    <s v="BC"/>
    <s v="Upland"/>
    <x v="0"/>
    <n v="4"/>
    <x v="1"/>
    <x v="4"/>
    <n v="20.382999999999999"/>
    <n v="22.366678114114706"/>
    <n v="6.91"/>
    <n v="4.5590000000000002"/>
    <n v="34.02315484804631"/>
    <n v="2.9007729863362743"/>
    <n v="46.92"/>
    <n v="1.407"/>
    <n v="8.7959999999999994"/>
  </r>
  <r>
    <n v="571"/>
    <s v="BC"/>
    <s v="Upland"/>
    <x v="0"/>
    <n v="1"/>
    <x v="1"/>
    <x v="4"/>
    <n v="20.768000000000001"/>
    <n v="21.552388289676426"/>
    <n v="7.08"/>
    <n v="4.476"/>
    <n v="36.779661016949156"/>
    <n v="2.94345076704395"/>
    <n v="47.78"/>
    <n v="1.7210000000000001"/>
    <n v="10.753"/>
  </r>
  <r>
    <n v="583"/>
    <s v="BC"/>
    <s v="Upland"/>
    <x v="0"/>
    <n v="5"/>
    <x v="1"/>
    <x v="4"/>
    <n v="18.670999999999999"/>
    <n v="21.123667719993573"/>
    <n v="7.05"/>
    <n v="3.944"/>
    <n v="44.056737588652481"/>
    <n v="3.0657388298717887"/>
    <n v="46.98"/>
    <n v="1.823"/>
    <n v="11.395"/>
  </r>
  <r>
    <n v="586"/>
    <s v="BC"/>
    <s v="Upland"/>
    <x v="0"/>
    <n v="3"/>
    <x v="1"/>
    <x v="4"/>
    <n v="14.916"/>
    <n v="28.875033521051225"/>
    <n v="6.97"/>
    <n v="4.3070000000000004"/>
    <n v="38.206599713055944"/>
    <n v="2.9662802684884593"/>
    <n v="47.53"/>
    <n v="1.5960000000000001"/>
    <n v="9.9779999999999998"/>
  </r>
  <r>
    <n v="591"/>
    <s v="BC"/>
    <s v="Lowland"/>
    <x v="0"/>
    <n v="2"/>
    <x v="1"/>
    <x v="4"/>
    <n v="23.120999999999999"/>
    <n v="22.26979801911682"/>
    <n v="6.96"/>
    <n v="5.149"/>
    <n v="26.020114942528732"/>
    <n v="2.7862836030703244"/>
    <n v="38.01"/>
    <n v="1.298"/>
    <n v="8.1150000000000002"/>
  </r>
  <r>
    <n v="598"/>
    <s v="BC"/>
    <s v="Upland"/>
    <x v="0"/>
    <n v="1"/>
    <x v="1"/>
    <x v="4"/>
    <n v="20.768000000000001"/>
    <n v="19.149653312788907"/>
    <n v="7.05"/>
    <n v="3.9769999999999999"/>
    <n v="43.588652482269502"/>
    <n v="3.057406500386624"/>
    <n v="46.2"/>
    <n v="1.5580000000000001"/>
    <n v="9.7390000000000008"/>
  </r>
  <r>
    <n v="600"/>
    <s v="BC"/>
    <s v="Lowland"/>
    <x v="0"/>
    <n v="1"/>
    <x v="1"/>
    <x v="4"/>
    <n v="16.491"/>
    <n v="19.477290643381238"/>
    <n v="7.07"/>
    <n v="3.2120000000000002"/>
    <n v="54.568599717114566"/>
    <n v="3.2738733336119665"/>
    <n v="46.53"/>
    <n v="1.954"/>
    <n v="12.211"/>
  </r>
  <r>
    <n v="664"/>
    <s v="BC"/>
    <s v="Lowland"/>
    <x v="1"/>
    <n v="5"/>
    <x v="1"/>
    <x v="4"/>
    <n v="18.231000000000002"/>
    <n v="25.346936536668313"/>
    <n v="6.92"/>
    <n v="4.6210000000000004"/>
    <n v="33.22254335260115"/>
    <n v="2.8887112875294489"/>
    <n v="47.38"/>
    <n v="1.5589999999999999"/>
    <n v="9.7409999999999997"/>
  </r>
  <r>
    <n v="672"/>
    <s v="BC"/>
    <s v="Upland"/>
    <x v="1"/>
    <n v="1"/>
    <x v="1"/>
    <x v="4"/>
    <n v="16.481000000000002"/>
    <n v="21.96468660882228"/>
    <n v="6.99"/>
    <n v="3.62"/>
    <n v="48.211731044349072"/>
    <n v="3.1429131801960395"/>
    <n v="46.9"/>
    <n v="1.589"/>
    <n v="9.9339999999999993"/>
  </r>
  <r>
    <n v="677"/>
    <s v="BC"/>
    <s v="Upland"/>
    <x v="1"/>
    <n v="3"/>
    <x v="1"/>
    <x v="4"/>
    <n v="17.381"/>
    <n v="22.311719693918647"/>
    <n v="7"/>
    <n v="3.8780000000000001"/>
    <n v="44.6"/>
    <n v="3.0754972420228537"/>
    <n v="47.06"/>
    <n v="1.7989999999999999"/>
    <n v="11.244999999999999"/>
  </r>
  <r>
    <n v="686"/>
    <s v="BC"/>
    <s v="Upland"/>
    <x v="1"/>
    <n v="2"/>
    <x v="1"/>
    <x v="4"/>
    <n v="15.885999999999999"/>
    <n v="24.367367493390407"/>
    <n v="6.92"/>
    <n v="3.871"/>
    <n v="44.060693641618499"/>
    <n v="3.0658095478220675"/>
    <n v="45.57"/>
    <n v="1.5309999999999999"/>
    <n v="9.5670000000000002"/>
  </r>
  <r>
    <n v="689"/>
    <s v="BC"/>
    <s v="Lowland"/>
    <x v="1"/>
    <n v="1"/>
    <x v="1"/>
    <x v="4"/>
    <n v="18.715"/>
    <n v="20.053433075073471"/>
    <n v="7.01"/>
    <n v="3.7530000000000001"/>
    <n v="46.462196861626239"/>
    <n v="3.1096888306816153"/>
    <n v="47.73"/>
    <n v="1.6359999999999999"/>
    <n v="10.228"/>
  </r>
  <r>
    <n v="692"/>
    <s v="BC"/>
    <s v="Lowland"/>
    <x v="1"/>
    <n v="3"/>
    <x v="1"/>
    <x v="4"/>
    <n v="20.026"/>
    <n v="19.145111355238189"/>
    <n v="6.93"/>
    <n v="3.8340000000000001"/>
    <n v="44.675324675324674"/>
    <n v="3.0768578183663591"/>
    <n v="45.74"/>
    <n v="2.0150000000000001"/>
    <n v="12.593"/>
  </r>
  <r>
    <n v="695"/>
    <s v="BC"/>
    <s v="Upland"/>
    <x v="1"/>
    <n v="5"/>
    <x v="1"/>
    <x v="4"/>
    <n v="19.356000000000002"/>
    <n v="22.344492663773504"/>
    <n v="6.96"/>
    <n v="4.3250000000000002"/>
    <n v="37.859195402298845"/>
    <n v="2.9606739837504858"/>
    <n v="46.04"/>
    <n v="1.591"/>
    <n v="9.9469999999999992"/>
  </r>
  <r>
    <n v="699"/>
    <s v="BC"/>
    <s v="Upland"/>
    <x v="1"/>
    <n v="4"/>
    <x v="1"/>
    <x v="4"/>
    <n v="20.404"/>
    <n v="19.050186237992548"/>
    <n v="7.05"/>
    <n v="3.887"/>
    <n v="44.865248226950357"/>
    <n v="3.0802966147420912"/>
    <n v="47.32"/>
    <n v="1.397"/>
    <n v="9.0250000000000004"/>
  </r>
  <r>
    <n v="701"/>
    <s v="BC"/>
    <s v="Lowland"/>
    <x v="1"/>
    <n v="4"/>
    <x v="1"/>
    <x v="4"/>
    <n v="17.757000000000001"/>
    <n v="23.066959508926054"/>
    <n v="6.93"/>
    <n v="4.0960000000000001"/>
    <n v="40.894660894660888"/>
    <n v="3.0107555752526056"/>
    <n v="46.73"/>
    <n v="1.2210000000000001"/>
    <n v="7.633"/>
  </r>
  <r>
    <n v="715"/>
    <s v="BC"/>
    <s v="Lowland"/>
    <x v="1"/>
    <n v="2"/>
    <x v="1"/>
    <x v="4"/>
    <n v="20.51"/>
    <n v="21.511457825450996"/>
    <n v="6.98"/>
    <n v="4.4119999999999999"/>
    <n v="36.790830945558746"/>
    <n v="2.9436274651710255"/>
    <n v="41.06"/>
    <n v="1.4850000000000001"/>
    <n v="9.2799999999999994"/>
  </r>
  <r>
    <s v="HFLR4"/>
    <s v="HH"/>
    <s v="Lowland"/>
    <x v="1"/>
    <n v="4"/>
    <x v="1"/>
    <x v="4"/>
    <n v="16.898"/>
    <n v="76.760563380281681"/>
    <n v="7"/>
    <n v="3.927"/>
    <n v="43.9"/>
    <n v="3.0629410232474408"/>
    <n v="47.07"/>
    <n v="1.0980000000000001"/>
    <n v="6.8650000000000002"/>
  </r>
  <r>
    <s v="HFLR5"/>
    <s v="HH"/>
    <s v="Lowland"/>
    <x v="1"/>
    <n v="5"/>
    <x v="1"/>
    <x v="4"/>
    <n v="21.645"/>
    <n v="75.962115962115959"/>
    <n v="7"/>
    <n v="5.2030000000000003"/>
    <n v="25.671428571428567"/>
    <n v="2.7815814165351473"/>
    <n v="28.88"/>
    <n v="1.2729999999999999"/>
    <n v="7.9539999999999997"/>
  </r>
  <r>
    <n v="6"/>
    <s v="HH"/>
    <s v="Upland"/>
    <x v="0"/>
    <n v="3"/>
    <x v="0"/>
    <x v="5"/>
    <n v="7.2210000000000001"/>
    <n v="71.375155795596186"/>
    <n v="7.02"/>
    <n v="2.0670000000000002"/>
    <n v="70.555555555555543"/>
    <n v="4.1130366952342534"/>
    <n v="46.07"/>
    <n v="1.669"/>
    <n v="10.432"/>
  </r>
  <r>
    <n v="14"/>
    <s v="HH"/>
    <s v="Upland"/>
    <x v="0"/>
    <n v="2"/>
    <x v="0"/>
    <x v="5"/>
    <n v="6.2510000000000003"/>
    <n v="56.838905775075986"/>
    <n v="6.92"/>
    <n v="2.698"/>
    <n v="61.011560693641606"/>
    <n v="3.8322767697401789"/>
    <n v="43.96"/>
    <n v="1.603"/>
    <n v="10.016999999999999"/>
  </r>
  <r>
    <n v="15"/>
    <s v="HH"/>
    <s v="Lowland"/>
    <x v="0"/>
    <n v="5"/>
    <x v="0"/>
    <x v="5"/>
    <n v="0.79100000000000004"/>
    <n v="23.640960809102406"/>
    <n v="7.01"/>
    <n v="0.60399999999999998"/>
    <n v="91.383737517831662"/>
    <n v="5.3418905399899854"/>
    <n v="45.88"/>
    <n v="1.6120000000000001"/>
    <n v="10.071999999999999"/>
  </r>
  <r>
    <n v="22"/>
    <s v="HH"/>
    <s v="Lowland"/>
    <x v="0"/>
    <n v="1"/>
    <x v="0"/>
    <x v="5"/>
    <n v="2.173"/>
    <n v="41.601472618499777"/>
    <n v="6.9999999999999991"/>
    <n v="1.2689999999999999"/>
    <n v="81.871428571428567"/>
    <n v="4.5980527182192272"/>
    <n v="44.12"/>
    <n v="1.5389999999999999"/>
    <n v="9.6199999999999992"/>
  </r>
  <r>
    <n v="34"/>
    <s v="HH"/>
    <s v="Upland"/>
    <x v="0"/>
    <n v="1"/>
    <x v="0"/>
    <x v="5"/>
    <n v="5.4379999999999997"/>
    <n v="47.719749908054432"/>
    <n v="6.9899999999999993"/>
    <n v="2.843"/>
    <n v="59.327610872675251"/>
    <n v="3.7899924814730208"/>
    <n v="44.39"/>
    <n v="1.47"/>
    <n v="9.19"/>
  </r>
  <r>
    <n v="50"/>
    <s v="HH"/>
    <s v="Upland"/>
    <x v="0"/>
    <n v="4"/>
    <x v="0"/>
    <x v="5"/>
    <n v="3.004"/>
    <n v="32.256990679094535"/>
    <n v="6.92"/>
    <n v="2.0350000000000001"/>
    <n v="70.592485549132945"/>
    <n v="4.1142917086311845"/>
    <n v="45.47"/>
    <n v="1.8149999999999999"/>
    <n v="11.345000000000001"/>
  </r>
  <r>
    <n v="54"/>
    <s v="HH"/>
    <s v="Upland"/>
    <x v="0"/>
    <n v="5"/>
    <x v="0"/>
    <x v="5"/>
    <n v="5.7530000000000001"/>
    <n v="60.542325743090565"/>
    <n v="6.98"/>
    <n v="2.27"/>
    <n v="67.478510028653304"/>
    <n v="4.0136408431771349"/>
    <n v="45.38"/>
    <n v="1.7869999999999999"/>
    <n v="11.166"/>
  </r>
  <r>
    <n v="121"/>
    <s v="HH"/>
    <s v="Lowland"/>
    <x v="1"/>
    <n v="5"/>
    <x v="0"/>
    <x v="5"/>
    <n v="3.1890000000000001"/>
    <n v="46.660395108184382"/>
    <n v="7.06"/>
    <n v="1.7010000000000001"/>
    <n v="75.906515580736539"/>
    <n v="4.3136004959875907"/>
    <n v="43.7"/>
    <n v="1.52"/>
    <n v="9.5009999999999994"/>
  </r>
  <r>
    <n v="135"/>
    <s v="HH"/>
    <s v="Upland"/>
    <x v="1"/>
    <n v="4"/>
    <x v="0"/>
    <x v="5"/>
    <n v="2.835"/>
    <n v="29.347442680776009"/>
    <n v="7"/>
    <n v="2.0030000000000001"/>
    <n v="71.385714285714286"/>
    <n v="4.1416358502677966"/>
    <n v="45.1"/>
    <n v="1.6539999999999999"/>
    <n v="10.337"/>
  </r>
  <r>
    <n v="137"/>
    <s v="HH"/>
    <s v="Upland"/>
    <x v="1"/>
    <n v="5"/>
    <x v="0"/>
    <x v="5"/>
    <n v="5.5010000000000003"/>
    <n v="52.608616615160877"/>
    <n v="7.09"/>
    <n v="2.6070000000000002"/>
    <n v="63.229901269393508"/>
    <n v="3.8908569634888361"/>
    <n v="45.38"/>
    <n v="1.5740000000000001"/>
    <n v="9.8379999999999992"/>
  </r>
  <r>
    <n v="142"/>
    <s v="HH"/>
    <s v="Lowland"/>
    <x v="1"/>
    <n v="3"/>
    <x v="0"/>
    <x v="5"/>
    <n v="3.4390000000000001"/>
    <n v="41.814480953765631"/>
    <n v="7.09"/>
    <n v="2.0009999999999999"/>
    <n v="71.777150916784223"/>
    <n v="4.1554100428386045"/>
    <n v="41.25"/>
    <n v="1.4059999999999999"/>
    <n v="8.7910000000000004"/>
  </r>
  <r>
    <n v="144"/>
    <s v="HH"/>
    <s v="Upland"/>
    <x v="1"/>
    <n v="3"/>
    <x v="0"/>
    <x v="5"/>
    <n v="3.7879999999999998"/>
    <n v="23.336853220696934"/>
    <n v="7.07"/>
    <n v="2.9039999999999999"/>
    <n v="58.925035360678926"/>
    <n v="3.7801431408420965"/>
    <n v="44.19"/>
    <n v="1.6679999999999999"/>
    <n v="10.423999999999999"/>
  </r>
  <r>
    <n v="155"/>
    <s v="HH"/>
    <s v="Lowland"/>
    <x v="1"/>
    <n v="4"/>
    <x v="0"/>
    <x v="5"/>
    <n v="60.712000000000003"/>
    <n v="97.932863354855698"/>
    <n v="7.01"/>
    <n v="1.2549999999999999"/>
    <n v="82.097004279600569"/>
    <n v="4.6105738863589165"/>
    <n v="42.7"/>
    <n v="1.3069999999999999"/>
    <n v="8.1709999999999994"/>
  </r>
  <r>
    <n v="155"/>
    <s v="HH"/>
    <s v="Lowland"/>
    <x v="1"/>
    <n v="4"/>
    <x v="0"/>
    <x v="5"/>
    <n v="3.76"/>
    <n v="67.180851063829778"/>
    <n v="7"/>
    <n v="1.234"/>
    <n v="82.371428571428567"/>
    <n v="4.6260209814682822"/>
    <n v="45.28"/>
    <n v="1.5369999999999999"/>
    <n v="9.6069999999999993"/>
  </r>
  <r>
    <n v="174"/>
    <s v="HH"/>
    <s v="Upland"/>
    <x v="1"/>
    <n v="1"/>
    <x v="0"/>
    <x v="5"/>
    <n v="3.82"/>
    <n v="30.890052356020938"/>
    <n v="7"/>
    <n v="2.64"/>
    <n v="62.285714285714278"/>
    <n v="3.8655029897932529"/>
    <n v="43.57"/>
    <n v="1.454"/>
    <n v="9.09"/>
  </r>
  <r>
    <n v="241"/>
    <s v="SB"/>
    <s v="Lowland"/>
    <x v="0"/>
    <n v="4"/>
    <x v="0"/>
    <x v="5"/>
    <n v="8.6590000000000007"/>
    <n v="79.131539438734265"/>
    <n v="7.0299999999999994"/>
    <n v="1.8069999999999999"/>
    <n v="74.295874822190598"/>
    <n v="4.2488904521086468"/>
    <n v="46.8"/>
    <n v="1.6419999999999999"/>
    <n v="10.262"/>
  </r>
  <r>
    <n v="243"/>
    <s v="SB"/>
    <s v="Lowland"/>
    <x v="0"/>
    <n v="5"/>
    <x v="0"/>
    <x v="5"/>
    <n v="8.5419999999999998"/>
    <n v="75.239990634511827"/>
    <n v="6.8900000000000006"/>
    <n v="2.1150000000000002"/>
    <n v="69.303338171262695"/>
    <n v="4.0713880304234911"/>
    <n v="45.72"/>
    <n v="1.5669999999999999"/>
    <n v="9.7919999999999998"/>
  </r>
  <r>
    <n v="252"/>
    <s v="SB"/>
    <s v="Lowland"/>
    <x v="0"/>
    <n v="3"/>
    <x v="0"/>
    <x v="5"/>
    <n v="6.0010000000000003"/>
    <n v="61.639726712214639"/>
    <n v="6.9200000000000008"/>
    <n v="2.302"/>
    <n v="66.734104046242777"/>
    <n v="3.9910092172260523"/>
    <n v="45.59"/>
    <n v="2.0569999999999999"/>
    <n v="12.856"/>
  </r>
  <r>
    <n v="256"/>
    <s v="SB"/>
    <s v="Upland"/>
    <x v="0"/>
    <n v="4"/>
    <x v="0"/>
    <x v="5"/>
    <n v="10.59"/>
    <n v="73.654390934844187"/>
    <n v="7.5099999999999989"/>
    <n v="2.79"/>
    <n v="62.849533954727022"/>
    <n v="3.880565627838934"/>
    <n v="46.88"/>
    <n v="1.6839999999999999"/>
    <n v="10.523999999999999"/>
  </r>
  <r>
    <n v="258"/>
    <s v="SB"/>
    <s v="Lowland"/>
    <x v="1"/>
    <n v="1"/>
    <x v="0"/>
    <x v="5"/>
    <n v="5.17"/>
    <n v="72.823984526112184"/>
    <n v="6.92"/>
    <n v="1.405"/>
    <n v="79.696531791907503"/>
    <n v="4.4847502247400337"/>
    <n v="44.09"/>
    <n v="1.47"/>
    <n v="9.1890000000000001"/>
  </r>
  <r>
    <n v="268"/>
    <s v="SB"/>
    <s v="Upland"/>
    <x v="0"/>
    <n v="1"/>
    <x v="0"/>
    <x v="5"/>
    <n v="11.458"/>
    <n v="72.534473730144882"/>
    <n v="7.01"/>
    <n v="3.1469999999999998"/>
    <n v="55.106990014265335"/>
    <n v="3.6912598408603938"/>
    <n v="47.77"/>
    <n v="1.54"/>
    <n v="9.6229999999999993"/>
  </r>
  <r>
    <n v="270"/>
    <s v="SB"/>
    <s v="Lowland"/>
    <x v="0"/>
    <n v="2"/>
    <x v="0"/>
    <x v="5"/>
    <n v="12.635999999999999"/>
    <n v="78.284267173156067"/>
    <n v="7.0400000000000009"/>
    <n v="2.7440000000000002"/>
    <n v="61.02272727272728"/>
    <n v="3.8325632182024769"/>
    <n v="48.06"/>
    <n v="1.637"/>
    <n v="10.231999999999999"/>
  </r>
  <r>
    <n v="276"/>
    <s v="SB"/>
    <s v="Upland"/>
    <x v="0"/>
    <n v="3"/>
    <x v="0"/>
    <x v="5"/>
    <n v="12.234999999999999"/>
    <n v="81.912545974662848"/>
    <n v="6.9899999999999993"/>
    <n v="2.2130000000000001"/>
    <n v="68.340486409155929"/>
    <n v="4.0405032530729708"/>
    <n v="47.05"/>
    <n v="1.9410000000000001"/>
    <n v="12.132999999999999"/>
  </r>
  <r>
    <n v="289"/>
    <s v="SB"/>
    <s v="Upland"/>
    <x v="0"/>
    <n v="2"/>
    <x v="0"/>
    <x v="5"/>
    <n v="10.379"/>
    <n v="76.385008189613629"/>
    <n v="6.97"/>
    <n v="2.4510000000000001"/>
    <n v="64.835007173601156"/>
    <n v="3.9354908781226214"/>
    <n v="45.45"/>
    <n v="1.72"/>
    <n v="10.747"/>
  </r>
  <r>
    <n v="376"/>
    <s v="SB"/>
    <s v="Lowland"/>
    <x v="1"/>
    <n v="2"/>
    <x v="0"/>
    <x v="5"/>
    <n v="9.9740000000000002"/>
    <n v="64.13675556446762"/>
    <n v="6.94"/>
    <n v="3.577"/>
    <n v="48.458213256484157"/>
    <n v="3.5531490721379972"/>
    <n v="46.52"/>
    <n v="1.357"/>
    <n v="8.4830000000000005"/>
  </r>
  <r>
    <n v="377"/>
    <s v="SB"/>
    <s v="Upland"/>
    <x v="1"/>
    <n v="1"/>
    <x v="0"/>
    <x v="5"/>
    <n v="6.3360000000000003"/>
    <n v="57.607323232323239"/>
    <n v="7.01"/>
    <n v="2.6859999999999999"/>
    <n v="61.683309557774614"/>
    <n v="3.8496563608416174"/>
    <n v="46.96"/>
    <n v="1.4430000000000001"/>
    <n v="9.0169999999999995"/>
  </r>
  <r>
    <n v="380"/>
    <s v="SB"/>
    <s v="Lowland"/>
    <x v="1"/>
    <n v="3"/>
    <x v="0"/>
    <x v="5"/>
    <n v="5.4809999999999999"/>
    <n v="52.65462506841817"/>
    <n v="6.99"/>
    <n v="2.5950000000000002"/>
    <n v="62.875536480686691"/>
    <n v="3.8812657975240317"/>
    <n v="45.82"/>
    <n v="1.3839999999999999"/>
    <n v="8.6479999999999997"/>
  </r>
  <r>
    <n v="388"/>
    <s v="SB"/>
    <s v="Lowland"/>
    <x v="1"/>
    <n v="1"/>
    <x v="0"/>
    <x v="5"/>
    <n v="11.471"/>
    <n v="88.45785023101736"/>
    <n v="6.98"/>
    <n v="1.3240000000000001"/>
    <n v="81.031518624641848"/>
    <n v="4.5527632171556291"/>
    <n v="46.15"/>
    <n v="1.173"/>
    <n v="7.3339999999999996"/>
  </r>
  <r>
    <n v="400"/>
    <s v="SB"/>
    <s v="Upland"/>
    <x v="1"/>
    <n v="3"/>
    <x v="0"/>
    <x v="5"/>
    <n v="10.029"/>
    <n v="75.590786718516298"/>
    <n v="6.91"/>
    <n v="2.448"/>
    <n v="64.573082489146159"/>
    <n v="3.9280700310256633"/>
    <n v="46.1"/>
    <n v="1.4810000000000001"/>
    <n v="8.7509999999999994"/>
  </r>
  <r>
    <n v="406"/>
    <s v="SB"/>
    <s v="Upland"/>
    <x v="1"/>
    <n v="4"/>
    <x v="0"/>
    <x v="5"/>
    <n v="8.3879999999999999"/>
    <n v="75.727229375298037"/>
    <n v="6.97"/>
    <n v="2.036"/>
    <n v="70.789096126255373"/>
    <n v="4.1209998839803212"/>
    <n v="45.98"/>
    <n v="1.512"/>
    <n v="9.4480000000000004"/>
  </r>
  <r>
    <n v="409"/>
    <s v="SB"/>
    <s v="Upland"/>
    <x v="1"/>
    <n v="2"/>
    <x v="0"/>
    <x v="5"/>
    <n v="6.2649999999999997"/>
    <n v="70.263367916999201"/>
    <n v="6.93"/>
    <n v="1.863"/>
    <n v="73.11688311688313"/>
    <n v="4.2040434794785249"/>
    <n v="45.92"/>
    <n v="1.4970000000000001"/>
    <n v="9.0850000000000009"/>
  </r>
  <r>
    <n v="410"/>
    <s v="SB"/>
    <s v="Lowland"/>
    <x v="1"/>
    <n v="4"/>
    <x v="0"/>
    <x v="5"/>
    <n v="4.8129999999999997"/>
    <n v="71.660087263660927"/>
    <n v="6.95"/>
    <n v="1.3640000000000001"/>
    <n v="80.374100719424462"/>
    <n v="4.5186918580515956"/>
    <n v="47.7"/>
    <n v="1.331"/>
    <n v="8.3209999999999997"/>
  </r>
  <r>
    <n v="411"/>
    <s v="SB"/>
    <s v="Lowland"/>
    <x v="1"/>
    <n v="5"/>
    <x v="0"/>
    <x v="5"/>
    <n v="10.593999999999999"/>
    <n v="70.285067019067398"/>
    <n v="7.01"/>
    <n v="3.1480000000000001"/>
    <n v="55.092724679029956"/>
    <n v="3.6909421283875066"/>
    <n v="45.22"/>
    <n v="1.38"/>
    <n v="8.6229999999999993"/>
  </r>
  <r>
    <n v="458"/>
    <s v="HH"/>
    <s v="Upland"/>
    <x v="1"/>
    <n v="2"/>
    <x v="0"/>
    <x v="5"/>
    <n v="3.4689999999999999"/>
    <n v="44.652637647737095"/>
    <n v="7.04"/>
    <n v="1.92"/>
    <n v="72.727272727272734"/>
    <n v="4.1896547420264261"/>
    <n v="49.07"/>
    <n v="1.4970000000000001"/>
    <n v="8.8510000000000009"/>
  </r>
  <r>
    <n v="484"/>
    <s v="BC"/>
    <s v="Lowland"/>
    <x v="0"/>
    <n v="2"/>
    <x v="0"/>
    <x v="5"/>
    <n v="5.694"/>
    <n v="33.017211099402878"/>
    <n v="7.06"/>
    <n v="1.88"/>
    <n v="73.371104815864015"/>
    <n v="4.2135450325594572"/>
    <n v="46.41"/>
    <n v="1.4930000000000001"/>
    <n v="9.3290000000000006"/>
  </r>
  <r>
    <n v="485"/>
    <s v="BC"/>
    <s v="Upland"/>
    <x v="0"/>
    <n v="4"/>
    <x v="0"/>
    <x v="5"/>
    <n v="9.2940000000000005"/>
    <n v="28.071874327523133"/>
    <n v="7"/>
    <n v="2.609"/>
    <n v="62.728571428571435"/>
    <n v="3.8773149007968866"/>
    <n v="46.72"/>
    <n v="1.679"/>
    <n v="10.492000000000001"/>
  </r>
  <r>
    <n v="495"/>
    <s v="BC"/>
    <s v="Lowland"/>
    <x v="0"/>
    <n v="4"/>
    <x v="0"/>
    <x v="5"/>
    <n v="6.4180000000000001"/>
    <n v="33.234652539732004"/>
    <n v="6.99"/>
    <n v="2.133"/>
    <n v="69.484978540772531"/>
    <n v="4.07732287465267"/>
    <n v="42.86"/>
    <n v="1.5409999999999999"/>
    <n v="9.6280000000000001"/>
  </r>
  <r>
    <n v="504"/>
    <s v="BC"/>
    <s v="Upland"/>
    <x v="0"/>
    <n v="1"/>
    <x v="0"/>
    <x v="5"/>
    <n v="3.2210000000000001"/>
    <n v="44.582427817447993"/>
    <n v="6.9"/>
    <n v="1.4359999999999999"/>
    <n v="79.188405797101453"/>
    <n v="4.4600316988733457"/>
    <n v="46.64"/>
    <n v="1.8140000000000001"/>
    <n v="11.335000000000001"/>
  </r>
  <r>
    <n v="509"/>
    <s v="BC"/>
    <s v="Lowland"/>
    <x v="0"/>
    <n v="1"/>
    <x v="0"/>
    <x v="5"/>
    <n v="4.9059999999999997"/>
    <n v="42.804728903383612"/>
    <n v="7.04"/>
    <n v="2.1"/>
    <n v="70.170454545454547"/>
    <n v="4.1000425833367382"/>
    <n v="45.38"/>
    <n v="1.91"/>
    <n v="11.938000000000001"/>
  </r>
  <r>
    <n v="512"/>
    <s v="BC"/>
    <s v="Lowland"/>
    <x v="0"/>
    <n v="3"/>
    <x v="0"/>
    <x v="5"/>
    <n v="8.2509999999999994"/>
    <n v="21.960974427342141"/>
    <n v="7.08"/>
    <n v="1.8120000000000001"/>
    <n v="74.406779661016941"/>
    <n v="4.2532144579810058"/>
    <n v="45.44"/>
    <n v="1.4550000000000001"/>
    <n v="9.0950000000000006"/>
  </r>
  <r>
    <n v="519"/>
    <s v="BC"/>
    <s v="Upland"/>
    <x v="0"/>
    <n v="2"/>
    <x v="0"/>
    <x v="5"/>
    <n v="7.3620000000000001"/>
    <n v="38.549307253463731"/>
    <n v="7"/>
    <n v="2.8380000000000001"/>
    <n v="59.457142857142856"/>
    <n v="3.7931823282136272"/>
    <n v="45.5"/>
    <n v="1.6160000000000001"/>
    <n v="10.102"/>
  </r>
  <r>
    <n v="520"/>
    <s v="BC"/>
    <s v="Upland"/>
    <x v="0"/>
    <n v="3"/>
    <x v="0"/>
    <x v="5"/>
    <n v="6.2460000000000004"/>
    <n v="42.21902017291066"/>
    <n v="7.07"/>
    <n v="2.637"/>
    <n v="62.701555869872692"/>
    <n v="3.8765903304334968"/>
    <n v="43.09"/>
    <n v="1.7110000000000001"/>
    <n v="10.692"/>
  </r>
  <r>
    <n v="538"/>
    <s v="BC"/>
    <s v="Lowland"/>
    <x v="0"/>
    <n v="5"/>
    <x v="0"/>
    <x v="5"/>
    <n v="5.8520000000000003"/>
    <n v="32.057416267942578"/>
    <n v="7.06"/>
    <n v="1.8759999999999999"/>
    <n v="73.427762039660053"/>
    <n v="4.2156749588172824"/>
    <n v="46.51"/>
    <n v="1.744"/>
    <n v="10.901999999999999"/>
  </r>
  <r>
    <n v="539"/>
    <s v="BC"/>
    <s v="Upland"/>
    <x v="0"/>
    <n v="5"/>
    <x v="0"/>
    <x v="5"/>
    <n v="6.1340000000000003"/>
    <n v="29.784805999347896"/>
    <n v="7.01"/>
    <n v="1.827"/>
    <n v="73.93723252496433"/>
    <n v="4.2350341815467933"/>
    <n v="46.09"/>
    <n v="1.919"/>
    <n v="11.992000000000001"/>
  </r>
  <r>
    <n v="602"/>
    <s v="BC"/>
    <s v="Lowland"/>
    <x v="1"/>
    <n v="4"/>
    <x v="0"/>
    <x v="5"/>
    <n v="3.4990000000000001"/>
    <n v="42.840811660474422"/>
    <n v="7.04"/>
    <n v="1.4990000000000001"/>
    <n v="78.707386363636374"/>
    <n v="4.4371817089456549"/>
    <n v="47.45"/>
    <n v="2.4550000000000001"/>
    <n v="15.343"/>
  </r>
  <r>
    <n v="614"/>
    <s v="BC"/>
    <s v="Lowland"/>
    <x v="1"/>
    <n v="1"/>
    <x v="0"/>
    <x v="5"/>
    <n v="9.9260000000000002"/>
    <n v="16.814426758009269"/>
    <n v="6.95"/>
    <n v="1.669"/>
    <n v="75.985611510791372"/>
    <n v="4.3168887727931677"/>
    <n v="46.7"/>
    <n v="1.3660000000000001"/>
    <n v="8.5389999999999997"/>
  </r>
  <r>
    <n v="631"/>
    <s v="BC"/>
    <s v="Lowland"/>
    <x v="1"/>
    <n v="5"/>
    <x v="0"/>
    <x v="5"/>
    <n v="7.7930000000000001"/>
    <n v="30.97651738739895"/>
    <n v="7.09"/>
    <n v="2.4140000000000001"/>
    <n v="65.952045133991547"/>
    <n v="3.9677719757648608"/>
    <n v="47.45"/>
    <n v="1.7490000000000001"/>
    <n v="10.929"/>
  </r>
  <r>
    <n v="634"/>
    <s v="BC"/>
    <s v="Upland"/>
    <x v="1"/>
    <n v="3"/>
    <x v="0"/>
    <x v="5"/>
    <n v="5.0049999999999999"/>
    <n v="38.061938061938058"/>
    <n v="7.05"/>
    <n v="1.905"/>
    <n v="72.978723404255319"/>
    <n v="4.1989173661416777"/>
    <n v="46.66"/>
    <n v="2.8130000000000002"/>
    <n v="17.581"/>
  </r>
  <r>
    <n v="639"/>
    <s v="BC"/>
    <s v="Lowland"/>
    <x v="1"/>
    <n v="3"/>
    <x v="0"/>
    <x v="5"/>
    <n v="3.2250000000000001"/>
    <n v="62.201550387596896"/>
    <n v="6.95"/>
    <n v="2.0059999999999998"/>
    <n v="71.136690647482027"/>
    <n v="4.132970727933122"/>
    <n v="43.06"/>
    <n v="1.4319999999999999"/>
    <n v="8.7680000000000007"/>
  </r>
  <r>
    <n v="655"/>
    <s v="BC"/>
    <s v="Upland"/>
    <x v="1"/>
    <n v="5"/>
    <x v="0"/>
    <x v="5"/>
    <n v="6.6580000000000004"/>
    <n v="49.864824271553019"/>
    <n v="7.02"/>
    <n v="3.32"/>
    <n v="52.706552706552699"/>
    <n v="3.6391701930054872"/>
    <n v="46.77"/>
    <n v="1.752"/>
    <n v="8.9359999999999999"/>
  </r>
  <r>
    <n v="675"/>
    <s v="BC"/>
    <s v="Upland"/>
    <x v="1"/>
    <n v="1"/>
    <x v="0"/>
    <x v="5"/>
    <n v="4.0469999999999997"/>
    <n v="49.641709908574256"/>
    <n v="7"/>
    <n v="2.0089999999999999"/>
    <n v="71.3"/>
    <n v="4.1386448211186808"/>
    <n v="45.69"/>
    <n v="1.589"/>
    <n v="9.9280000000000008"/>
  </r>
  <r>
    <s v="BCLR2"/>
    <s v="BC"/>
    <s v="Lowland"/>
    <x v="1"/>
    <n v="2"/>
    <x v="0"/>
    <x v="5"/>
    <n v="3.1720000000000002"/>
    <n v="33.13366960907944"/>
    <n v="7"/>
    <n v="1.0509999999999999"/>
    <n v="84.98571428571428"/>
    <n v="4.7865398150566643"/>
    <n v="45.76"/>
    <n v="1.369"/>
    <n v="8.5559999999999992"/>
  </r>
  <r>
    <s v="BCUP4"/>
    <s v="BC"/>
    <s v="Upland"/>
    <x v="0"/>
    <n v="4"/>
    <x v="0"/>
    <x v="5"/>
    <n v="4.9050000000000002"/>
    <n v="45.15800203873598"/>
    <n v="7"/>
    <n v="2.2149999999999999"/>
    <n v="68.357142857142861"/>
    <n v="4.0410295034543795"/>
    <n v="44.49"/>
    <n v="1.8720000000000001"/>
    <n v="11.702"/>
  </r>
  <r>
    <s v="BCUPR2"/>
    <s v="BC"/>
    <s v="Upland"/>
    <x v="1"/>
    <n v="2"/>
    <x v="0"/>
    <x v="5"/>
    <n v="4.8129999999999997"/>
    <n v="32.017452732183671"/>
    <n v="7"/>
    <n v="1.5409999999999999"/>
    <n v="77.98571428571428"/>
    <n v="4.4038503506134994"/>
    <n v="43.9"/>
    <n v="2.6429999999999998"/>
    <n v="16.518999999999998"/>
  </r>
  <r>
    <s v="HCLP2"/>
    <s v="HH"/>
    <s v="Lowland"/>
    <x v="0"/>
    <n v="2"/>
    <x v="0"/>
    <x v="5"/>
    <n v="3.8969999999999998"/>
    <n v="39.876828329484212"/>
    <n v="7"/>
    <n v="2.343"/>
    <n v="66.528571428571425"/>
    <n v="3.9848497474258195"/>
    <n v="45.26"/>
    <n v="1.6859999999999999"/>
    <n v="10.536"/>
  </r>
  <r>
    <s v="HCLR2"/>
    <s v="HH"/>
    <s v="Lowland"/>
    <x v="1"/>
    <n v="2"/>
    <x v="0"/>
    <x v="5"/>
    <n v="3.93"/>
    <n v="40.101781170483456"/>
    <n v="7"/>
    <n v="2.3540000000000001"/>
    <n v="66.371428571428567"/>
    <n v="3.9801658981133929"/>
    <n v="46.77"/>
    <n v="1.228"/>
    <n v="7.6779999999999999"/>
  </r>
  <r>
    <s v="HCLR3"/>
    <s v="HH"/>
    <s v="Lowland"/>
    <x v="1"/>
    <n v="3"/>
    <x v="0"/>
    <x v="5"/>
    <n v="6.2729999999999997"/>
    <n v="83.644189383070298"/>
    <n v="7"/>
    <n v="1.026"/>
    <n v="85.342857142857142"/>
    <n v="4.8106141602029"/>
    <n v="45.48"/>
    <n v="1.51"/>
    <n v="9.4359999999999999"/>
  </r>
  <r>
    <s v="HCUR4"/>
    <s v="HH"/>
    <s v="Upland"/>
    <x v="1"/>
    <n v="4"/>
    <x v="0"/>
    <x v="5"/>
    <n v="4.59"/>
    <n v="44.662309368191714"/>
    <n v="7"/>
    <n v="2.54"/>
    <n v="63.714285714285715"/>
    <n v="3.9041178259210327"/>
    <n v="45.09"/>
    <n v="1.51"/>
    <n v="9.4359999999999999"/>
  </r>
  <r>
    <n v="14"/>
    <s v="HH"/>
    <s v="Upland"/>
    <x v="0"/>
    <n v="2"/>
    <x v="1"/>
    <x v="5"/>
    <n v="4.12"/>
    <n v="37.427184466019426"/>
    <n v="6.99"/>
    <n v="2.5779999999999998"/>
    <n v="63.118741058655239"/>
    <n v="3.8878384096248881"/>
    <n v="44.58"/>
    <n v="1.5249999999999999"/>
    <n v="9.5289999999999999"/>
  </r>
  <r>
    <n v="63"/>
    <s v="HH"/>
    <s v="Lowland"/>
    <x v="0"/>
    <n v="5"/>
    <x v="1"/>
    <x v="5"/>
    <n v="6.0250000000000004"/>
    <n v="60.746887966804977"/>
    <n v="7.06"/>
    <n v="2.3650000000000002"/>
    <n v="66.501416430594901"/>
    <n v="3.9840387874574192"/>
    <n v="44.09"/>
    <n v="1.9490000000000001"/>
    <n v="12.180999999999999"/>
  </r>
  <r>
    <n v="69"/>
    <s v="HH"/>
    <s v="Lowland"/>
    <x v="0"/>
    <n v="1"/>
    <x v="1"/>
    <x v="5"/>
    <n v="4.1452999999999998"/>
    <n v="17.528285045714423"/>
    <n v="7"/>
    <n v="3.4186999999999999"/>
    <n v="51.161428571428566"/>
    <n v="3.6070215450987928"/>
    <n v="45.57"/>
    <n v="1.6639999999999999"/>
    <n v="10.401999999999999"/>
  </r>
  <r>
    <n v="79"/>
    <s v="HH"/>
    <s v="Upland"/>
    <x v="0"/>
    <n v="5"/>
    <x v="1"/>
    <x v="5"/>
    <n v="5.22"/>
    <n v="45.670498084291189"/>
    <n v="7.05"/>
    <n v="2.8359999999999999"/>
    <n v="59.773049645390074"/>
    <n v="3.8010047660504611"/>
    <n v="47.92"/>
    <n v="1.661"/>
    <n v="10.379"/>
  </r>
  <r>
    <n v="87"/>
    <s v="HH"/>
    <s v="Lowland"/>
    <x v="0"/>
    <n v="2"/>
    <x v="1"/>
    <x v="5"/>
    <n v="3.98"/>
    <n v="38.5929648241206"/>
    <n v="7.02"/>
    <n v="2.444"/>
    <n v="65.185185185185176"/>
    <n v="3.9454989346245357"/>
    <n v="44.54"/>
    <n v="2.0099999999999998"/>
    <n v="12.565"/>
  </r>
  <r>
    <n v="89"/>
    <s v="HH"/>
    <s v="Upland"/>
    <x v="0"/>
    <n v="4"/>
    <x v="1"/>
    <x v="5"/>
    <n v="3.786"/>
    <n v="23.048071843634439"/>
    <n v="6.99"/>
    <n v="2.9134000000000002"/>
    <n v="58.320457796852644"/>
    <n v="3.7655315301091732"/>
    <n v="44.62"/>
    <n v="1.597"/>
    <n v="9.9789999999999992"/>
  </r>
  <r>
    <n v="90"/>
    <s v="HH"/>
    <s v="Upland"/>
    <x v="0"/>
    <n v="1"/>
    <x v="1"/>
    <x v="5"/>
    <n v="4.4347000000000003"/>
    <n v="14.512819356438994"/>
    <n v="7.05"/>
    <n v="3.7911000000000001"/>
    <n v="46.225531914893615"/>
    <n v="3.5107431602697341"/>
    <n v="47.63"/>
    <n v="1.591"/>
    <n v="9.9440000000000008"/>
  </r>
  <r>
    <n v="200"/>
    <s v="HH"/>
    <s v="Lowland"/>
    <x v="1"/>
    <n v="4"/>
    <x v="1"/>
    <x v="5"/>
    <n v="12.268000000000001"/>
    <n v="76.948157808933814"/>
    <n v="7.05"/>
    <n v="2.8279999999999998"/>
    <n v="59.88652482269503"/>
    <n v="3.8038296266860154"/>
    <n v="41.9"/>
    <n v="1.25"/>
    <n v="7.8140000000000001"/>
  </r>
  <r>
    <n v="204"/>
    <s v="HH"/>
    <s v="Lowland"/>
    <x v="1"/>
    <n v="3"/>
    <x v="1"/>
    <x v="5"/>
    <n v="4.0381999999999998"/>
    <n v="32.90822643752167"/>
    <n v="7.08"/>
    <n v="2.7092999999999998"/>
    <n v="61.733050847457626"/>
    <n v="3.8509553666590675"/>
    <n v="37.979999999999997"/>
    <n v="1.6439999999999999"/>
    <n v="10.273999999999999"/>
  </r>
  <r>
    <n v="216"/>
    <s v="HH"/>
    <s v="Upland"/>
    <x v="1"/>
    <n v="1"/>
    <x v="1"/>
    <x v="5"/>
    <n v="5.0750000000000002"/>
    <n v="28.157635467980302"/>
    <n v="6.99"/>
    <n v="3.6459999999999999"/>
    <n v="47.839771101573682"/>
    <n v="3.5412216378854122"/>
    <n v="45.38"/>
    <n v="1.5009999999999999"/>
    <n v="9.3800000000000008"/>
  </r>
  <r>
    <n v="218"/>
    <s v="HH"/>
    <s v="Upland"/>
    <x v="1"/>
    <n v="3"/>
    <x v="1"/>
    <x v="5"/>
    <n v="7.0010000000000003"/>
    <n v="60.034280817026143"/>
    <n v="7"/>
    <n v="2.798"/>
    <n v="60.028571428571432"/>
    <n v="3.8073770307081887"/>
    <n v="46.89"/>
    <n v="1.893"/>
    <n v="11.832000000000001"/>
  </r>
  <r>
    <n v="221"/>
    <s v="HH"/>
    <s v="Upland"/>
    <x v="1"/>
    <n v="2"/>
    <x v="1"/>
    <x v="5"/>
    <n v="4.2119999999999997"/>
    <n v="33.357075023741686"/>
    <n v="7.02"/>
    <n v="2.8069999999999999"/>
    <n v="60.014245014245006"/>
    <n v="3.8070186785541389"/>
    <n v="47.51"/>
    <n v="1.56"/>
    <n v="9.7490000000000006"/>
  </r>
  <r>
    <n v="232"/>
    <s v="HH"/>
    <s v="Lowland"/>
    <x v="1"/>
    <n v="1"/>
    <x v="1"/>
    <x v="5"/>
    <n v="4.5434000000000001"/>
    <n v="24.422238851961083"/>
    <n v="7.03"/>
    <n v="3.4338000000000002"/>
    <n v="51.155049786628737"/>
    <n v="3.6068909440577634"/>
    <n v="43.43"/>
    <n v="1.4219999999999999"/>
    <n v="8.89"/>
  </r>
  <r>
    <n v="234"/>
    <s v="HH"/>
    <s v="Upland"/>
    <x v="1"/>
    <n v="5"/>
    <x v="1"/>
    <x v="5"/>
    <n v="4.87"/>
    <n v="31.355236139630392"/>
    <n v="6.98"/>
    <n v="3.343"/>
    <n v="52.106017191977081"/>
    <n v="3.6265520672324842"/>
    <n v="47.43"/>
    <n v="1.1679999999999999"/>
    <n v="7.3"/>
  </r>
  <r>
    <n v="303"/>
    <s v="SB"/>
    <s v="Upland"/>
    <x v="0"/>
    <n v="4"/>
    <x v="1"/>
    <x v="5"/>
    <n v="6.2767999999999997"/>
    <n v="56.192645934234008"/>
    <n v="7.06"/>
    <n v="2.7496999999999998"/>
    <n v="61.052407932011334"/>
    <n v="3.8333249945827723"/>
    <n v="47.12"/>
    <n v="1.873"/>
    <n v="11.706"/>
  </r>
  <r>
    <n v="306"/>
    <s v="SB"/>
    <s v="Lowland"/>
    <x v="0"/>
    <n v="4"/>
    <x v="1"/>
    <x v="5"/>
    <n v="7.5119999999999996"/>
    <n v="44.673855165069213"/>
    <n v="7.03"/>
    <n v="4.1561000000000003"/>
    <n v="40.880512091038398"/>
    <n v="3.4159813291735426"/>
    <n v="45.92"/>
    <n v="1.8919999999999999"/>
    <n v="11.826000000000001"/>
  </r>
  <r>
    <n v="319"/>
    <s v="SB"/>
    <s v="Lowland"/>
    <x v="0"/>
    <n v="1"/>
    <x v="1"/>
    <x v="5"/>
    <n v="25.846"/>
    <n v="92.261858701539893"/>
    <n v="7.02"/>
    <n v="2"/>
    <n v="71.509971509971507"/>
    <n v="4.145987795373939"/>
    <n v="45.73"/>
    <n v="1.827"/>
    <n v="11.420999999999999"/>
  </r>
  <r>
    <n v="340"/>
    <s v="SB"/>
    <s v="Upland"/>
    <x v="0"/>
    <n v="1"/>
    <x v="1"/>
    <x v="5"/>
    <n v="7.2756999999999996"/>
    <n v="57.782756298363033"/>
    <n v="7.01"/>
    <n v="3.0716000000000001"/>
    <n v="56.182596291012828"/>
    <n v="3.7155108604684122"/>
    <n v="37.200000000000003"/>
    <n v="1.786"/>
    <n v="11.162000000000001"/>
  </r>
  <r>
    <n v="343"/>
    <s v="SB"/>
    <s v="Upland"/>
    <x v="0"/>
    <n v="3"/>
    <x v="1"/>
    <x v="5"/>
    <n v="10.6053"/>
    <n v="77.719630750662404"/>
    <n v="7.01"/>
    <n v="2.3628999999999998"/>
    <n v="66.292439372325248"/>
    <n v="3.9778197807192783"/>
    <n v="46.93"/>
    <n v="1.7070000000000001"/>
    <n v="10.666"/>
  </r>
  <r>
    <n v="360"/>
    <s v="SB"/>
    <s v="Lowland"/>
    <x v="0"/>
    <n v="2"/>
    <x v="1"/>
    <x v="5"/>
    <n v="8.5434999999999999"/>
    <n v="67.227716977819398"/>
    <n v="7.01"/>
    <n v="2.7999000000000001"/>
    <n v="60.058487874465051"/>
    <n v="3.8081257566849898"/>
    <n v="46.18"/>
    <n v="1.726"/>
    <n v="10.788"/>
  </r>
  <r>
    <n v="400"/>
    <s v="HH"/>
    <s v="Upland"/>
    <x v="0"/>
    <n v="3"/>
    <x v="1"/>
    <x v="5"/>
    <n v="7.6390000000000002"/>
    <n v="61.107474800366532"/>
    <n v="7"/>
    <n v="2.9710000000000001"/>
    <n v="57.55714285714285"/>
    <n v="3.7473833104710073"/>
    <n v="43.73"/>
    <n v="1.964"/>
    <n v="12.276"/>
  </r>
  <r>
    <n v="427"/>
    <s v="SB"/>
    <s v="Lowland"/>
    <x v="1"/>
    <n v="2"/>
    <x v="1"/>
    <x v="5"/>
    <n v="7.3247"/>
    <n v="47.009433833467575"/>
    <n v="6.97"/>
    <n v="3.8814000000000002"/>
    <n v="44.312769010043034"/>
    <n v="3.4757910693727396"/>
    <n v="47.55"/>
    <n v="1.2929999999999999"/>
    <n v="8.0790000000000006"/>
  </r>
  <r>
    <n v="435"/>
    <s v="SB"/>
    <s v="Lowland"/>
    <x v="1"/>
    <s v="?"/>
    <x v="1"/>
    <x v="5"/>
    <n v="23.710999999999999"/>
    <n v="89.641938340854452"/>
    <n v="7.09"/>
    <n v="2.456"/>
    <n v="65.359661495063477"/>
    <n v="3.9505230881553048"/>
    <n v="44.96"/>
    <n v="1.48"/>
    <n v="9.2479999999999993"/>
  </r>
  <r>
    <n v="440"/>
    <s v="SB"/>
    <s v="Lowland"/>
    <x v="1"/>
    <n v="5"/>
    <x v="1"/>
    <x v="5"/>
    <n v="12.102399999999999"/>
    <n v="67.962552882072984"/>
    <n v="7.03"/>
    <n v="3.8773"/>
    <n v="44.846372688477956"/>
    <n v="3.4854194286065039"/>
    <n v="45.9"/>
    <n v="1.74"/>
    <n v="10.877000000000001"/>
  </r>
  <r>
    <n v="447"/>
    <s v="SB"/>
    <s v="Upland"/>
    <x v="1"/>
    <n v="3"/>
    <x v="1"/>
    <x v="5"/>
    <n v="9.3742999999999999"/>
    <n v="71.225584843668315"/>
    <n v="7"/>
    <n v="2.6974"/>
    <n v="61.465714285714292"/>
    <n v="3.843993560850858"/>
    <n v="45.94"/>
    <n v="1.6870000000000001"/>
    <n v="10.545999999999999"/>
  </r>
  <r>
    <n v="452"/>
    <s v="SB"/>
    <s v="Lowland"/>
    <x v="1"/>
    <n v="3"/>
    <x v="1"/>
    <x v="5"/>
    <n v="5.0590999999999999"/>
    <n v="34.249174754402958"/>
    <n v="7.01"/>
    <n v="3.3264"/>
    <n v="52.547788873038513"/>
    <n v="3.635818820821052"/>
    <n v="47.01"/>
    <n v="1.508"/>
    <n v="9.4239999999999995"/>
  </r>
  <r>
    <n v="463"/>
    <s v="SB"/>
    <s v="Upland"/>
    <x v="1"/>
    <n v="4"/>
    <x v="1"/>
    <x v="5"/>
    <n v="9.3079999999999998"/>
    <n v="62.176622260421141"/>
    <n v="6.98"/>
    <n v="3.5206"/>
    <n v="49.561604584527224"/>
    <n v="3.5747892450407108"/>
    <n v="44.91"/>
    <n v="1.623"/>
    <n v="10.141999999999999"/>
  </r>
  <r>
    <n v="470"/>
    <s v="SB"/>
    <s v="Lowland"/>
    <x v="1"/>
    <n v="4"/>
    <x v="1"/>
    <x v="5"/>
    <n v="16.217099999999999"/>
    <n v="74.655147961102784"/>
    <n v="6.92"/>
    <n v="4.1101999999999999"/>
    <n v="40.604046242774565"/>
    <n v="3.4113158384010602"/>
    <n v="46.21"/>
    <n v="1.9"/>
    <n v="11.875"/>
  </r>
  <r>
    <n v="543"/>
    <s v="BC"/>
    <s v="Lowland"/>
    <x v="0"/>
    <n v="2"/>
    <x v="1"/>
    <x v="5"/>
    <n v="6.5140000000000002"/>
    <n v="41.321768498618361"/>
    <n v="6.97"/>
    <n v="2.6917"/>
    <n v="61.381635581061687"/>
    <n v="3.8418140184037379"/>
    <n v="44.57"/>
    <n v="1.5449999999999999"/>
    <n v="9.6530000000000005"/>
  </r>
  <r>
    <n v="547"/>
    <s v="BC"/>
    <s v="Lowland"/>
    <x v="0"/>
    <n v="1"/>
    <x v="1"/>
    <x v="5"/>
    <n v="4.7830000000000004"/>
    <n v="50.570771482333264"/>
    <n v="6.99"/>
    <n v="2.4188000000000001"/>
    <n v="65.396280400572252"/>
    <n v="3.9515807647249628"/>
    <n v="45.37"/>
    <n v="1.47"/>
    <n v="9.1880000000000006"/>
  </r>
  <r>
    <n v="550"/>
    <s v="BC"/>
    <s v="Lowland"/>
    <x v="0"/>
    <n v="5"/>
    <x v="1"/>
    <x v="5"/>
    <n v="4.2279999999999998"/>
    <n v="55.132450331125824"/>
    <n v="6.99"/>
    <n v="2.331"/>
    <n v="66.652360515021471"/>
    <n v="3.9885549540882637"/>
    <n v="44.81"/>
    <n v="1.8540000000000001"/>
    <n v="11.587"/>
  </r>
  <r>
    <n v="552"/>
    <s v="BC"/>
    <s v="Lowland"/>
    <x v="0"/>
    <n v="3"/>
    <x v="1"/>
    <x v="5"/>
    <n v="4.6840000000000002"/>
    <n v="66.560631938514092"/>
    <n v="6.95"/>
    <n v="3.1177000000000001"/>
    <n v="55.141007194244608"/>
    <n v="3.6920178669890622"/>
    <n v="45.67"/>
    <n v="1.4359999999999999"/>
    <n v="8.9760000000000009"/>
  </r>
  <r>
    <n v="563"/>
    <s v="BC"/>
    <s v="Upland"/>
    <x v="0"/>
    <n v="5"/>
    <x v="1"/>
    <x v="5"/>
    <n v="6.1280000000000001"/>
    <n v="36.886422976501308"/>
    <n v="7.09"/>
    <n v="2.2604000000000002"/>
    <n v="68.118476727785605"/>
    <n v="4.0335153096666492"/>
    <n v="44.55"/>
    <n v="1.9890000000000001"/>
    <n v="12.430999999999999"/>
  </r>
  <r>
    <n v="565"/>
    <s v="BC"/>
    <s v="Lowland"/>
    <x v="0"/>
    <n v="4"/>
    <x v="1"/>
    <x v="5"/>
    <n v="5.625"/>
    <n v="48.675555555555555"/>
    <n v="6.99"/>
    <n v="2.738"/>
    <n v="60.829756795422043"/>
    <n v="3.8276245872756265"/>
    <n v="43.82"/>
    <n v="1.7689999999999999"/>
    <n v="11.054"/>
  </r>
  <r>
    <n v="568"/>
    <s v="BC"/>
    <s v="Upland"/>
    <x v="0"/>
    <n v="1"/>
    <x v="1"/>
    <x v="5"/>
    <n v="4.4850000000000003"/>
    <n v="68.564102564102555"/>
    <n v="6.94"/>
    <n v="3.0750999999999999"/>
    <n v="55.690201729106633"/>
    <n v="3.7043361113599675"/>
    <n v="45.51"/>
    <n v="1.7330000000000001"/>
    <n v="10.832000000000001"/>
  </r>
  <r>
    <n v="573"/>
    <s v="BC"/>
    <s v="Upland"/>
    <x v="0"/>
    <n v="3"/>
    <x v="1"/>
    <x v="5"/>
    <n v="4.1040000000000001"/>
    <n v="68.494152046783626"/>
    <n v="7.07"/>
    <n v="2.8109999999999999"/>
    <n v="60.240452616690241"/>
    <n v="3.8126919458802515"/>
    <n v="46.79"/>
    <n v="1.7350000000000001"/>
    <n v="10.843"/>
  </r>
  <r>
    <n v="582"/>
    <s v="BC"/>
    <s v="Upland"/>
    <x v="0"/>
    <n v="4"/>
    <x v="1"/>
    <x v="5"/>
    <n v="5.9349999999999996"/>
    <n v="59.292333614153335"/>
    <n v="6.95"/>
    <n v="3.5190000000000001"/>
    <n v="49.366906474820141"/>
    <n v="3.5709365591334175"/>
    <n v="44.92"/>
    <n v="1.6120000000000001"/>
    <n v="10.073"/>
  </r>
  <r>
    <n v="597"/>
    <s v="BC"/>
    <s v="Upland"/>
    <x v="0"/>
    <n v="2"/>
    <x v="1"/>
    <x v="5"/>
    <n v="5.4210000000000003"/>
    <n v="59.513004980630882"/>
    <n v="6.98"/>
    <n v="3.2262"/>
    <n v="53.779369627507165"/>
    <n v="3.6621157006088954"/>
    <n v="46.07"/>
    <n v="1.702"/>
    <n v="10.638"/>
  </r>
  <r>
    <n v="667"/>
    <s v="BC"/>
    <s v="Lowland"/>
    <x v="1"/>
    <n v="1"/>
    <x v="1"/>
    <x v="5"/>
    <n v="8.0310000000000006"/>
    <n v="36.969244178807124"/>
    <n v="6.92"/>
    <n v="2.9689999999999999"/>
    <n v="57.095375722543352"/>
    <n v="3.7365623317441203"/>
    <n v="45.24"/>
    <n v="1.425"/>
    <n v="8.9039999999999999"/>
  </r>
  <r>
    <n v="668"/>
    <s v="BC"/>
    <s v="Upland"/>
    <x v="1"/>
    <n v="1"/>
    <x v="1"/>
    <x v="5"/>
    <n v="5.85"/>
    <n v="67.482051282051287"/>
    <n v="6.93"/>
    <n v="3.9477000000000002"/>
    <n v="43.034632034632033"/>
    <n v="3.4530984402559088"/>
    <n v="46.15"/>
    <n v="1.512"/>
    <n v="9.4489999999999998"/>
  </r>
  <r>
    <n v="671"/>
    <s v="BC"/>
    <s v="Upland"/>
    <x v="1"/>
    <n v="5"/>
    <x v="1"/>
    <x v="5"/>
    <n v="5.5359999999999996"/>
    <n v="54.225072254335259"/>
    <n v="6.92"/>
    <n v="3.0019"/>
    <n v="56.619942196531795"/>
    <n v="3.7255421059952165"/>
    <n v="46.34"/>
    <n v="1.774"/>
    <n v="11.085000000000001"/>
  </r>
  <r>
    <n v="673"/>
    <s v="BC"/>
    <s v="Upland"/>
    <x v="1"/>
    <n v="4"/>
    <x v="1"/>
    <x v="5"/>
    <n v="5.39"/>
    <n v="51.020408163265309"/>
    <n v="7.08"/>
    <n v="2.75"/>
    <n v="61.158192090395481"/>
    <n v="3.8360447539233133"/>
    <n v="47.14"/>
    <n v="1.4810000000000001"/>
    <n v="9.2590000000000003"/>
  </r>
  <r>
    <n v="679"/>
    <s v="BC"/>
    <s v="Upland"/>
    <x v="1"/>
    <n v="3"/>
    <x v="1"/>
    <x v="5"/>
    <n v="6.35"/>
    <n v="41.637795275590555"/>
    <n v="6.91"/>
    <n v="2.6440000000000001"/>
    <n v="61.736613603473224"/>
    <n v="3.8510484736863035"/>
    <n v="46.69"/>
    <n v="1.5580000000000001"/>
    <n v="9.7360000000000007"/>
  </r>
  <r>
    <n v="691"/>
    <s v="BC"/>
    <s v="Lowland"/>
    <x v="1"/>
    <n v="2"/>
    <x v="1"/>
    <x v="5"/>
    <n v="7.8319999999999999"/>
    <n v="33.204800817160368"/>
    <n v="6.99"/>
    <n v="2.6006"/>
    <n v="62.795422031473535"/>
    <n v="3.8791101265068013"/>
    <n v="44.99"/>
    <n v="1.363"/>
    <n v="8.52"/>
  </r>
  <r>
    <n v="694"/>
    <s v="BC"/>
    <s v="Upland"/>
    <x v="1"/>
    <n v="2"/>
    <x v="1"/>
    <x v="5"/>
    <n v="6.0780000000000003"/>
    <n v="56.900296150049357"/>
    <n v="7.04"/>
    <n v="3.4584000000000001"/>
    <n v="50.875"/>
    <n v="3.6011738736948309"/>
    <n v="41.38"/>
    <n v="1.4910000000000001"/>
    <n v="9.32"/>
  </r>
  <r>
    <n v="702"/>
    <s v="BC"/>
    <s v="Lowland"/>
    <x v="1"/>
    <n v="5"/>
    <x v="1"/>
    <x v="5"/>
    <n v="5.6420000000000003"/>
    <n v="47.066643034384967"/>
    <n v="6.98"/>
    <n v="2.6555"/>
    <n v="61.95558739255015"/>
    <n v="3.856787713790129"/>
    <n v="45.54"/>
    <n v="1.5609999999999999"/>
    <n v="9.7550000000000008"/>
  </r>
  <r>
    <n v="704"/>
    <s v="BC"/>
    <s v="Lowland"/>
    <x v="1"/>
    <n v="3"/>
    <x v="1"/>
    <x v="5"/>
    <n v="5.1440000000000001"/>
    <n v="54.510108864696726"/>
    <n v="7.02"/>
    <n v="2.8039999999999998"/>
    <n v="60.056980056980045"/>
    <n v="3.8080880067615408"/>
    <n v="46.65"/>
    <n v="1.4279999999999999"/>
    <n v="8.9220000000000006"/>
  </r>
  <r>
    <n v="710"/>
    <s v="BC"/>
    <s v="Lowland"/>
    <x v="1"/>
    <n v="4"/>
    <x v="1"/>
    <x v="5"/>
    <n v="6.28"/>
    <n v="37.195859872611464"/>
    <n v="6.96"/>
    <n v="2.3359000000000001"/>
    <n v="66.438218390804607"/>
    <n v="3.9821539764119884"/>
    <n v="44.61"/>
    <n v="1.903"/>
    <n v="11.891"/>
  </r>
  <r>
    <s v="HFLR2"/>
    <s v="HH"/>
    <s v="Lowland"/>
    <x v="1"/>
    <n v="2"/>
    <x v="1"/>
    <x v="5"/>
    <n v="5"/>
    <n v="40.679999999999993"/>
    <n v="6.92"/>
    <n v="2.9660000000000002"/>
    <n v="57.138728323699418"/>
    <n v="3.7375732838100024"/>
    <n v="46.41"/>
    <n v="1.6339999999999999"/>
    <n v="10.214"/>
  </r>
  <r>
    <s v="HFLP3"/>
    <s v="HH"/>
    <s v="Lowland"/>
    <x v="0"/>
    <n v="3"/>
    <x v="1"/>
    <x v="5"/>
    <n v="6.1989999999999998"/>
    <n v="49.846749475721893"/>
    <n v="7"/>
    <n v="3.109"/>
    <n v="55.585714285714282"/>
    <n v="3.7019807758748615"/>
    <n v="40.71"/>
    <n v="1.728"/>
    <n v="10.8"/>
  </r>
  <r>
    <s v="HFLR5"/>
    <s v="HH"/>
    <s v="Lowland"/>
    <x v="1"/>
    <n v="5"/>
    <x v="1"/>
    <x v="5"/>
    <n v="4.2610000000000001"/>
    <n v="31.893921614644448"/>
    <n v="7"/>
    <n v="2.9020000000000001"/>
    <n v="58.542857142857144"/>
    <n v="3.770881752489482"/>
    <n v="45.73"/>
    <n v="1.615"/>
    <n v="10.093"/>
  </r>
  <r>
    <s v="HFLP4"/>
    <s v="HH"/>
    <s v="Lowland"/>
    <x v="0"/>
    <n v="4"/>
    <x v="1"/>
    <x v="5"/>
    <n v="14.0335"/>
    <n v="79.266041970997961"/>
    <n v="7"/>
    <n v="2.9097"/>
    <n v="58.432857142857145"/>
    <n v="3.7682319238660082"/>
    <n v="43.1"/>
    <n v="1.5580000000000001"/>
    <n v="9.7390000000000008"/>
  </r>
  <r>
    <s v="SFLP5"/>
    <s v="SB"/>
    <s v="Lowland"/>
    <x v="0"/>
    <n v="5"/>
    <x v="1"/>
    <x v="5"/>
    <n v="14.5121"/>
    <n v="77.777854342238555"/>
    <n v="7"/>
    <n v="3.2248999999999999"/>
    <n v="53.93"/>
    <n v="3.6653799649364305"/>
    <n v="37.270000000000003"/>
    <n v="1.38"/>
    <n v="8.6229999999999993"/>
  </r>
  <r>
    <s v="HFUR4"/>
    <s v="HH"/>
    <s v="Upland"/>
    <x v="1"/>
    <n v="4"/>
    <x v="1"/>
    <x v="5"/>
    <n v="3.661"/>
    <n v="28.981152690521711"/>
    <n v="7"/>
    <n v="2.6"/>
    <n v="62.857142857142868"/>
    <n v="3.8807704619240417"/>
    <n v="46.01"/>
    <n v="1.5249999999999999"/>
    <n v="9.5289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8DFC03-1D5A-4571-AD42-4936612FC9EB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16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ercCarb" fld="13" subtotal="average" baseField="3" baseItem="0"/>
    <dataField name="Average of PercNit" fld="14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0D157-7162-4896-AA87-3FBCDAAE2C70}">
  <dimension ref="A1:P711"/>
  <sheetViews>
    <sheetView workbookViewId="0">
      <selection activeCell="P711" sqref="A1:P711"/>
    </sheetView>
  </sheetViews>
  <sheetFormatPr defaultRowHeight="14.4" x14ac:dyDescent="0.3"/>
  <cols>
    <col min="1" max="1" width="7.77734375" bestFit="1" customWidth="1"/>
    <col min="2" max="2" width="5.21875" bestFit="1" customWidth="1"/>
    <col min="3" max="3" width="7.77734375" bestFit="1" customWidth="1"/>
    <col min="4" max="4" width="8.33203125" bestFit="1" customWidth="1"/>
    <col min="5" max="5" width="4.5546875" bestFit="1" customWidth="1"/>
    <col min="6" max="6" width="6" bestFit="1" customWidth="1"/>
    <col min="7" max="7" width="6.88671875" bestFit="1" customWidth="1"/>
    <col min="8" max="8" width="8" bestFit="1" customWidth="1"/>
    <col min="9" max="9" width="13.5546875" customWidth="1"/>
    <col min="10" max="10" width="11.77734375" bestFit="1" customWidth="1"/>
    <col min="11" max="11" width="11.109375" bestFit="1" customWidth="1"/>
    <col min="12" max="12" width="14.21875" bestFit="1" customWidth="1"/>
    <col min="13" max="13" width="12" bestFit="1" customWidth="1"/>
    <col min="14" max="14" width="9.77734375" bestFit="1" customWidth="1"/>
    <col min="15" max="15" width="7.88671875" bestFit="1" customWidth="1"/>
    <col min="16" max="16" width="11.88671875" bestFit="1" customWidth="1"/>
  </cols>
  <sheetData>
    <row r="1" spans="1:16" s="6" customFormat="1" ht="15.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47</v>
      </c>
      <c r="K1" s="5" t="s">
        <v>48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</row>
    <row r="2" spans="1:16" x14ac:dyDescent="0.3">
      <c r="A2" s="14">
        <v>2</v>
      </c>
      <c r="B2" s="14" t="s">
        <v>14</v>
      </c>
      <c r="C2" s="14" t="s">
        <v>15</v>
      </c>
      <c r="D2" s="14" t="s">
        <v>16</v>
      </c>
      <c r="E2" s="14">
        <v>3</v>
      </c>
      <c r="F2" s="14" t="s">
        <v>17</v>
      </c>
      <c r="G2" s="14">
        <v>1</v>
      </c>
      <c r="H2" s="14">
        <v>22.623000000000001</v>
      </c>
      <c r="I2" s="14">
        <v>73.526941608097957</v>
      </c>
      <c r="J2" s="14">
        <v>6.99</v>
      </c>
      <c r="K2" s="14">
        <v>5.9889999999999999</v>
      </c>
      <c r="L2" s="14">
        <f>((J2-K2)/J2)*100</f>
        <v>14.320457796852651</v>
      </c>
      <c r="M2" s="14">
        <f>-LN((K2/J2)/G2)</f>
        <v>0.15455610296339356</v>
      </c>
      <c r="N2" s="14">
        <v>48.46</v>
      </c>
      <c r="O2" s="14">
        <v>0.90400000000000003</v>
      </c>
      <c r="P2" s="14">
        <v>5.6509999999999998</v>
      </c>
    </row>
    <row r="3" spans="1:16" x14ac:dyDescent="0.3">
      <c r="A3" s="14">
        <v>5</v>
      </c>
      <c r="B3" s="14" t="s">
        <v>14</v>
      </c>
      <c r="C3" s="14" t="s">
        <v>18</v>
      </c>
      <c r="D3" s="14" t="s">
        <v>16</v>
      </c>
      <c r="E3" s="14">
        <v>4</v>
      </c>
      <c r="F3" s="14" t="s">
        <v>17</v>
      </c>
      <c r="G3" s="14">
        <v>1</v>
      </c>
      <c r="H3" s="14">
        <v>21.009</v>
      </c>
      <c r="I3" s="14">
        <v>70.91246608596316</v>
      </c>
      <c r="J3" s="14">
        <v>7.02</v>
      </c>
      <c r="K3" s="14">
        <v>6.1109999999999998</v>
      </c>
      <c r="L3" s="14">
        <f t="shared" ref="L3:L66" si="0">((J3-K3)/J3)*100</f>
        <v>12.948717948717947</v>
      </c>
      <c r="M3" s="14">
        <f t="shared" ref="M3:M66" si="1">-LN((K3/J3)/G3)</f>
        <v>0.13867279212494127</v>
      </c>
      <c r="N3" s="14">
        <v>48.08</v>
      </c>
      <c r="O3" s="14">
        <v>0.92100000000000004</v>
      </c>
      <c r="P3" s="14">
        <v>5.7569999999999997</v>
      </c>
    </row>
    <row r="4" spans="1:16" x14ac:dyDescent="0.3">
      <c r="A4" s="14">
        <v>10</v>
      </c>
      <c r="B4" s="14" t="s">
        <v>14</v>
      </c>
      <c r="C4" s="14" t="s">
        <v>18</v>
      </c>
      <c r="D4" s="14" t="s">
        <v>16</v>
      </c>
      <c r="E4" s="14">
        <v>3</v>
      </c>
      <c r="F4" s="14" t="s">
        <v>17</v>
      </c>
      <c r="G4" s="14">
        <v>1</v>
      </c>
      <c r="H4" s="14">
        <v>22.902999999999999</v>
      </c>
      <c r="I4" s="14">
        <v>73.042832816661573</v>
      </c>
      <c r="J4" s="14">
        <v>6.95</v>
      </c>
      <c r="K4" s="14">
        <v>6.1740000000000004</v>
      </c>
      <c r="L4" s="14">
        <f t="shared" si="0"/>
        <v>11.165467625899279</v>
      </c>
      <c r="M4" s="14">
        <f t="shared" si="1"/>
        <v>0.11839473349673311</v>
      </c>
      <c r="N4" s="14">
        <v>48.4</v>
      </c>
      <c r="O4" s="14">
        <v>0.94099999999999995</v>
      </c>
      <c r="P4" s="14">
        <v>5.8819999999999997</v>
      </c>
    </row>
    <row r="5" spans="1:16" x14ac:dyDescent="0.3">
      <c r="A5" s="14">
        <v>17</v>
      </c>
      <c r="B5" s="14" t="s">
        <v>14</v>
      </c>
      <c r="C5" s="14" t="s">
        <v>18</v>
      </c>
      <c r="D5" s="14" t="s">
        <v>16</v>
      </c>
      <c r="E5" s="14">
        <v>1</v>
      </c>
      <c r="F5" s="14" t="s">
        <v>17</v>
      </c>
      <c r="G5" s="14">
        <v>1</v>
      </c>
      <c r="H5" s="14">
        <v>22.751000000000001</v>
      </c>
      <c r="I5" s="14">
        <v>72.853940486132487</v>
      </c>
      <c r="J5" s="14">
        <v>7.02</v>
      </c>
      <c r="K5" s="14">
        <v>6.1760000000000002</v>
      </c>
      <c r="L5" s="14">
        <f t="shared" si="0"/>
        <v>12.022792022792016</v>
      </c>
      <c r="M5" s="14">
        <f t="shared" si="1"/>
        <v>0.12809240531524463</v>
      </c>
      <c r="N5" s="14">
        <v>47.83</v>
      </c>
      <c r="O5" s="14">
        <v>0.88900000000000001</v>
      </c>
      <c r="P5" s="14">
        <v>5.556</v>
      </c>
    </row>
    <row r="6" spans="1:16" x14ac:dyDescent="0.3">
      <c r="A6" s="14">
        <v>19</v>
      </c>
      <c r="B6" s="14" t="s">
        <v>14</v>
      </c>
      <c r="C6" s="14" t="s">
        <v>15</v>
      </c>
      <c r="D6" s="14" t="s">
        <v>16</v>
      </c>
      <c r="E6" s="14">
        <v>1</v>
      </c>
      <c r="F6" s="14" t="s">
        <v>17</v>
      </c>
      <c r="G6" s="14">
        <v>1</v>
      </c>
      <c r="H6" s="14">
        <v>23.952000000000002</v>
      </c>
      <c r="I6" s="14">
        <v>73.910320641282567</v>
      </c>
      <c r="J6" s="14">
        <v>7.08</v>
      </c>
      <c r="K6" s="14">
        <v>6.2489999999999997</v>
      </c>
      <c r="L6" s="14">
        <f t="shared" si="0"/>
        <v>11.737288135593225</v>
      </c>
      <c r="M6" s="14">
        <f t="shared" si="1"/>
        <v>0.12485245675868384</v>
      </c>
      <c r="N6" s="14">
        <v>48.01</v>
      </c>
      <c r="O6" s="14">
        <v>0.83899999999999997</v>
      </c>
      <c r="P6" s="14">
        <v>5.242</v>
      </c>
    </row>
    <row r="7" spans="1:16" x14ac:dyDescent="0.3">
      <c r="A7" s="14">
        <v>26</v>
      </c>
      <c r="B7" s="14" t="s">
        <v>14</v>
      </c>
      <c r="C7" s="14" t="s">
        <v>18</v>
      </c>
      <c r="D7" s="14" t="s">
        <v>16</v>
      </c>
      <c r="E7" s="14">
        <v>2</v>
      </c>
      <c r="F7" s="14" t="s">
        <v>17</v>
      </c>
      <c r="G7" s="14">
        <v>1</v>
      </c>
      <c r="H7" s="14">
        <v>23.552</v>
      </c>
      <c r="I7" s="14">
        <v>74.061650815217376</v>
      </c>
      <c r="J7" s="14">
        <v>6.9799999999999995</v>
      </c>
      <c r="K7" s="14">
        <v>6.109</v>
      </c>
      <c r="L7" s="14">
        <f t="shared" si="0"/>
        <v>12.47851002865329</v>
      </c>
      <c r="M7" s="14">
        <f t="shared" si="1"/>
        <v>0.13328582310665113</v>
      </c>
      <c r="N7" s="14">
        <v>48.69</v>
      </c>
      <c r="O7" s="14">
        <v>1.02</v>
      </c>
      <c r="P7" s="14">
        <v>6.375</v>
      </c>
    </row>
    <row r="8" spans="1:16" x14ac:dyDescent="0.3">
      <c r="A8" s="14">
        <v>36</v>
      </c>
      <c r="B8" s="14" t="s">
        <v>14</v>
      </c>
      <c r="C8" s="14" t="s">
        <v>15</v>
      </c>
      <c r="D8" s="14" t="s">
        <v>16</v>
      </c>
      <c r="E8" s="14">
        <v>4</v>
      </c>
      <c r="F8" s="14" t="s">
        <v>17</v>
      </c>
      <c r="G8" s="14">
        <v>1</v>
      </c>
      <c r="H8" s="14">
        <v>20.486999999999998</v>
      </c>
      <c r="I8" s="14">
        <v>71.850441743544692</v>
      </c>
      <c r="J8" s="14">
        <v>7</v>
      </c>
      <c r="K8" s="14">
        <v>5.7670000000000003</v>
      </c>
      <c r="L8" s="14">
        <f t="shared" si="0"/>
        <v>17.61428571428571</v>
      </c>
      <c r="M8" s="14">
        <f t="shared" si="1"/>
        <v>0.19375813442203763</v>
      </c>
      <c r="N8" s="14">
        <v>48.08</v>
      </c>
      <c r="O8" s="14">
        <v>0.92200000000000004</v>
      </c>
      <c r="P8" s="14">
        <v>5.7619999999999996</v>
      </c>
    </row>
    <row r="9" spans="1:16" x14ac:dyDescent="0.3">
      <c r="A9" s="14">
        <v>38</v>
      </c>
      <c r="B9" s="14" t="s">
        <v>14</v>
      </c>
      <c r="C9" s="14" t="s">
        <v>15</v>
      </c>
      <c r="D9" s="14" t="s">
        <v>16</v>
      </c>
      <c r="E9" s="14">
        <v>2</v>
      </c>
      <c r="F9" s="14" t="s">
        <v>17</v>
      </c>
      <c r="G9" s="14">
        <v>1</v>
      </c>
      <c r="H9" s="14">
        <v>21.471</v>
      </c>
      <c r="I9" s="14">
        <v>71.678077406734658</v>
      </c>
      <c r="J9" s="14">
        <v>7.03</v>
      </c>
      <c r="K9" s="14">
        <v>6.0810000000000004</v>
      </c>
      <c r="L9" s="14">
        <f t="shared" si="0"/>
        <v>13.499288762446653</v>
      </c>
      <c r="M9" s="14">
        <f t="shared" si="1"/>
        <v>0.1450175496846009</v>
      </c>
      <c r="N9" s="14">
        <v>48.01</v>
      </c>
      <c r="O9" s="14">
        <v>0.88600000000000001</v>
      </c>
      <c r="P9" s="14">
        <v>5.5389999999999997</v>
      </c>
    </row>
    <row r="10" spans="1:16" x14ac:dyDescent="0.3">
      <c r="A10" s="14">
        <v>43</v>
      </c>
      <c r="B10" s="14" t="s">
        <v>14</v>
      </c>
      <c r="C10" s="14" t="s">
        <v>18</v>
      </c>
      <c r="D10" s="14" t="s">
        <v>16</v>
      </c>
      <c r="E10" s="14">
        <v>5</v>
      </c>
      <c r="F10" s="14" t="s">
        <v>17</v>
      </c>
      <c r="G10" s="14">
        <v>1</v>
      </c>
      <c r="H10" s="14">
        <v>25.106999999999999</v>
      </c>
      <c r="I10" s="14">
        <v>76.675827458477713</v>
      </c>
      <c r="J10" s="14">
        <v>7.0600000000000005</v>
      </c>
      <c r="K10" s="14">
        <v>5.8559999999999999</v>
      </c>
      <c r="L10" s="14">
        <f t="shared" si="0"/>
        <v>17.053824362606239</v>
      </c>
      <c r="M10" s="14">
        <f t="shared" si="1"/>
        <v>0.18697827484614038</v>
      </c>
      <c r="N10" s="14">
        <v>48.09</v>
      </c>
      <c r="O10" s="14">
        <v>0.90700000000000003</v>
      </c>
      <c r="P10" s="14">
        <v>5.67</v>
      </c>
    </row>
    <row r="11" spans="1:16" x14ac:dyDescent="0.3">
      <c r="A11" s="14">
        <v>51</v>
      </c>
      <c r="B11" s="14" t="s">
        <v>14</v>
      </c>
      <c r="C11" s="14" t="s">
        <v>15</v>
      </c>
      <c r="D11" s="14" t="s">
        <v>16</v>
      </c>
      <c r="E11" s="14">
        <v>5</v>
      </c>
      <c r="F11" s="14" t="s">
        <v>17</v>
      </c>
      <c r="G11" s="14">
        <v>1</v>
      </c>
      <c r="H11" s="14">
        <v>23.167000000000002</v>
      </c>
      <c r="I11" s="14">
        <v>73.798938144774894</v>
      </c>
      <c r="J11" s="14">
        <v>7</v>
      </c>
      <c r="K11" s="14">
        <v>6.07</v>
      </c>
      <c r="L11" s="14">
        <f t="shared" si="0"/>
        <v>13.285714285714281</v>
      </c>
      <c r="M11" s="14">
        <f t="shared" si="1"/>
        <v>0.14255154398390632</v>
      </c>
      <c r="N11" s="14">
        <v>48.48</v>
      </c>
      <c r="O11" s="14">
        <v>0.877</v>
      </c>
      <c r="P11" s="14">
        <v>5.4809999999999999</v>
      </c>
    </row>
    <row r="12" spans="1:16" x14ac:dyDescent="0.3">
      <c r="A12" s="14">
        <v>125</v>
      </c>
      <c r="B12" s="14" t="s">
        <v>14</v>
      </c>
      <c r="C12" s="14" t="s">
        <v>18</v>
      </c>
      <c r="D12" s="14" t="s">
        <v>19</v>
      </c>
      <c r="E12" s="14">
        <v>3</v>
      </c>
      <c r="F12" s="14" t="s">
        <v>17</v>
      </c>
      <c r="G12" s="14">
        <v>1</v>
      </c>
      <c r="H12" s="14">
        <v>25.106999999999999</v>
      </c>
      <c r="I12" s="14">
        <v>76.345242362687699</v>
      </c>
      <c r="J12" s="14">
        <v>7.01</v>
      </c>
      <c r="K12" s="14">
        <v>5.9390000000000001</v>
      </c>
      <c r="L12" s="14">
        <f t="shared" si="0"/>
        <v>15.278174037089867</v>
      </c>
      <c r="M12" s="14">
        <f t="shared" si="1"/>
        <v>0.16579693201277548</v>
      </c>
      <c r="N12" s="14">
        <v>47.26</v>
      </c>
      <c r="O12" s="14">
        <v>0.73199999999999998</v>
      </c>
      <c r="P12" s="14">
        <v>4.577</v>
      </c>
    </row>
    <row r="13" spans="1:16" x14ac:dyDescent="0.3">
      <c r="A13" s="14">
        <v>127</v>
      </c>
      <c r="B13" s="14" t="s">
        <v>14</v>
      </c>
      <c r="C13" s="14" t="s">
        <v>18</v>
      </c>
      <c r="D13" s="14" t="s">
        <v>19</v>
      </c>
      <c r="E13" s="14">
        <v>1</v>
      </c>
      <c r="F13" s="14" t="s">
        <v>17</v>
      </c>
      <c r="G13" s="14">
        <v>1</v>
      </c>
      <c r="H13" s="14">
        <v>17.065999999999999</v>
      </c>
      <c r="I13" s="14">
        <v>63.418492909879291</v>
      </c>
      <c r="J13" s="14">
        <v>7.03</v>
      </c>
      <c r="K13" s="14">
        <v>6.2430000000000003</v>
      </c>
      <c r="L13" s="14">
        <f t="shared" si="0"/>
        <v>11.194879089615931</v>
      </c>
      <c r="M13" s="14">
        <f t="shared" si="1"/>
        <v>0.11872586974296642</v>
      </c>
      <c r="N13" s="14">
        <v>47.83</v>
      </c>
      <c r="O13" s="14">
        <v>0.54900000000000004</v>
      </c>
      <c r="P13" s="14">
        <v>3.4289999999999998</v>
      </c>
    </row>
    <row r="14" spans="1:16" x14ac:dyDescent="0.3">
      <c r="A14" s="14">
        <v>132</v>
      </c>
      <c r="B14" s="14" t="s">
        <v>14</v>
      </c>
      <c r="C14" s="14" t="s">
        <v>15</v>
      </c>
      <c r="D14" s="14" t="s">
        <v>19</v>
      </c>
      <c r="E14" s="14">
        <v>4</v>
      </c>
      <c r="F14" s="14" t="s">
        <v>17</v>
      </c>
      <c r="G14" s="14">
        <v>1</v>
      </c>
      <c r="H14" s="14">
        <v>25.042999999999999</v>
      </c>
      <c r="I14" s="14">
        <v>75.378349239308378</v>
      </c>
      <c r="J14" s="14">
        <v>7.05</v>
      </c>
      <c r="K14" s="14">
        <v>6.1660000000000004</v>
      </c>
      <c r="L14" s="14">
        <f t="shared" si="0"/>
        <v>12.539007092198574</v>
      </c>
      <c r="M14" s="14">
        <f t="shared" si="1"/>
        <v>0.13397728736021858</v>
      </c>
      <c r="N14" s="14">
        <v>48.54</v>
      </c>
      <c r="O14" s="14">
        <v>0.69299999999999995</v>
      </c>
      <c r="P14" s="14">
        <v>4.3310000000000004</v>
      </c>
    </row>
    <row r="15" spans="1:16" x14ac:dyDescent="0.3">
      <c r="A15" s="14">
        <v>138</v>
      </c>
      <c r="B15" s="14" t="s">
        <v>14</v>
      </c>
      <c r="C15" s="14" t="s">
        <v>18</v>
      </c>
      <c r="D15" s="14" t="s">
        <v>19</v>
      </c>
      <c r="E15" s="14">
        <v>4</v>
      </c>
      <c r="F15" s="14" t="s">
        <v>17</v>
      </c>
      <c r="G15" s="14">
        <v>1</v>
      </c>
      <c r="H15" s="14">
        <v>22.42</v>
      </c>
      <c r="I15" s="14">
        <v>72.604817127564687</v>
      </c>
      <c r="J15" s="14">
        <v>6.99</v>
      </c>
      <c r="K15" s="14">
        <v>6.1420000000000003</v>
      </c>
      <c r="L15" s="14">
        <f t="shared" si="0"/>
        <v>12.131616595135906</v>
      </c>
      <c r="M15" s="14">
        <f t="shared" si="1"/>
        <v>0.12933013422708825</v>
      </c>
      <c r="N15" s="14">
        <v>48.17</v>
      </c>
      <c r="O15" s="14">
        <v>0.71699999999999997</v>
      </c>
      <c r="P15" s="14">
        <v>4.4800000000000004</v>
      </c>
    </row>
    <row r="16" spans="1:16" x14ac:dyDescent="0.3">
      <c r="A16" s="14">
        <v>151</v>
      </c>
      <c r="B16" s="14" t="s">
        <v>14</v>
      </c>
      <c r="C16" s="14" t="s">
        <v>15</v>
      </c>
      <c r="D16" s="14" t="s">
        <v>19</v>
      </c>
      <c r="E16" s="14">
        <v>1</v>
      </c>
      <c r="F16" s="14" t="s">
        <v>17</v>
      </c>
      <c r="G16" s="14">
        <v>1</v>
      </c>
      <c r="H16" s="14">
        <v>22.975000000000001</v>
      </c>
      <c r="I16" s="14">
        <v>73.140369967355824</v>
      </c>
      <c r="J16" s="14">
        <v>6.98</v>
      </c>
      <c r="K16" s="14">
        <v>6.1710000000000003</v>
      </c>
      <c r="L16" s="14">
        <f t="shared" si="0"/>
        <v>11.590257879656161</v>
      </c>
      <c r="M16" s="14">
        <f t="shared" si="1"/>
        <v>0.12318801743535132</v>
      </c>
      <c r="N16" s="14">
        <v>48.21</v>
      </c>
      <c r="O16" s="14">
        <v>0.67100000000000004</v>
      </c>
      <c r="P16" s="14">
        <v>4.1950000000000003</v>
      </c>
    </row>
    <row r="17" spans="1:16" x14ac:dyDescent="0.3">
      <c r="A17" s="14">
        <v>156</v>
      </c>
      <c r="B17" s="14" t="s">
        <v>14</v>
      </c>
      <c r="C17" s="14" t="s">
        <v>15</v>
      </c>
      <c r="D17" s="14" t="s">
        <v>19</v>
      </c>
      <c r="E17" s="14">
        <v>5</v>
      </c>
      <c r="F17" s="14" t="s">
        <v>17</v>
      </c>
      <c r="G17" s="14">
        <v>1</v>
      </c>
      <c r="H17" s="14">
        <v>22.917000000000002</v>
      </c>
      <c r="I17" s="14">
        <v>73.910197669852082</v>
      </c>
      <c r="J17" s="14">
        <v>6.99</v>
      </c>
      <c r="K17" s="14">
        <v>5.9790000000000001</v>
      </c>
      <c r="L17" s="14">
        <f t="shared" si="0"/>
        <v>14.463519313304724</v>
      </c>
      <c r="M17" s="14">
        <f t="shared" si="1"/>
        <v>0.15622722634695149</v>
      </c>
      <c r="N17" s="14">
        <v>47.6</v>
      </c>
      <c r="O17" s="14">
        <v>0.83</v>
      </c>
      <c r="P17" s="14">
        <v>5.1849999999999996</v>
      </c>
    </row>
    <row r="18" spans="1:16" x14ac:dyDescent="0.3">
      <c r="A18" s="14">
        <v>164</v>
      </c>
      <c r="B18" s="14" t="s">
        <v>14</v>
      </c>
      <c r="C18" s="14" t="s">
        <v>15</v>
      </c>
      <c r="D18" s="14" t="s">
        <v>19</v>
      </c>
      <c r="E18" s="14">
        <v>2</v>
      </c>
      <c r="F18" s="14" t="s">
        <v>17</v>
      </c>
      <c r="G18" s="14">
        <v>1</v>
      </c>
      <c r="H18" s="14">
        <v>20.623999999999999</v>
      </c>
      <c r="I18" s="14">
        <v>69.724592707525218</v>
      </c>
      <c r="J18" s="14">
        <v>7.09</v>
      </c>
      <c r="K18" s="14">
        <v>6.2439999999999998</v>
      </c>
      <c r="L18" s="14">
        <f t="shared" si="0"/>
        <v>11.932299012693937</v>
      </c>
      <c r="M18" s="14">
        <f t="shared" si="1"/>
        <v>0.1270643378908505</v>
      </c>
      <c r="N18" s="14">
        <v>47.87</v>
      </c>
      <c r="O18" s="14">
        <v>0.80900000000000005</v>
      </c>
      <c r="P18" s="14">
        <v>5.0570000000000004</v>
      </c>
    </row>
    <row r="19" spans="1:16" x14ac:dyDescent="0.3">
      <c r="A19" s="14">
        <v>165</v>
      </c>
      <c r="B19" s="14" t="s">
        <v>14</v>
      </c>
      <c r="C19" s="14" t="s">
        <v>15</v>
      </c>
      <c r="D19" s="14" t="s">
        <v>19</v>
      </c>
      <c r="E19" s="14">
        <v>3</v>
      </c>
      <c r="F19" s="14" t="s">
        <v>17</v>
      </c>
      <c r="G19" s="14">
        <v>1</v>
      </c>
      <c r="H19" s="14">
        <v>19.972999999999999</v>
      </c>
      <c r="I19" s="14">
        <v>70.364992740199256</v>
      </c>
      <c r="J19" s="14">
        <v>6.97</v>
      </c>
      <c r="K19" s="14">
        <v>5.9189999999999996</v>
      </c>
      <c r="L19" s="14">
        <f t="shared" si="0"/>
        <v>15.078909612625541</v>
      </c>
      <c r="M19" s="14">
        <f t="shared" si="1"/>
        <v>0.16344770906384462</v>
      </c>
      <c r="N19" s="14">
        <v>48.02</v>
      </c>
      <c r="O19" s="14">
        <v>0.73199999999999998</v>
      </c>
      <c r="P19" s="14">
        <v>4.5780000000000003</v>
      </c>
    </row>
    <row r="20" spans="1:16" x14ac:dyDescent="0.3">
      <c r="A20" s="14">
        <v>170</v>
      </c>
      <c r="B20" s="14" t="s">
        <v>14</v>
      </c>
      <c r="C20" s="14" t="s">
        <v>18</v>
      </c>
      <c r="D20" s="14" t="s">
        <v>19</v>
      </c>
      <c r="E20" s="14">
        <v>1</v>
      </c>
      <c r="F20" s="14" t="s">
        <v>17</v>
      </c>
      <c r="G20" s="14">
        <v>1</v>
      </c>
      <c r="H20" s="14">
        <v>22.440999999999999</v>
      </c>
      <c r="I20" s="14">
        <v>72.55915511786462</v>
      </c>
      <c r="J20" s="14">
        <v>7.05</v>
      </c>
      <c r="K20" s="14">
        <v>6.1580000000000004</v>
      </c>
      <c r="L20" s="14">
        <f t="shared" si="0"/>
        <v>12.65248226950354</v>
      </c>
      <c r="M20" s="14">
        <f t="shared" si="1"/>
        <v>0.13527556732186857</v>
      </c>
      <c r="N20" s="14">
        <v>48.2</v>
      </c>
      <c r="O20" s="14">
        <v>0.72899999999999998</v>
      </c>
      <c r="P20" s="14">
        <v>4.5549999999999997</v>
      </c>
    </row>
    <row r="21" spans="1:16" x14ac:dyDescent="0.3">
      <c r="A21" s="14">
        <v>172</v>
      </c>
      <c r="B21" s="14" t="s">
        <v>14</v>
      </c>
      <c r="C21" s="14" t="s">
        <v>18</v>
      </c>
      <c r="D21" s="14" t="s">
        <v>19</v>
      </c>
      <c r="E21" s="14">
        <v>2</v>
      </c>
      <c r="F21" s="14" t="s">
        <v>17</v>
      </c>
      <c r="G21" s="14">
        <v>1</v>
      </c>
      <c r="H21" s="14">
        <v>21.731000000000002</v>
      </c>
      <c r="I21" s="14">
        <v>71.938705075698323</v>
      </c>
      <c r="J21" s="14">
        <v>7</v>
      </c>
      <c r="K21" s="14">
        <v>6.0979999999999999</v>
      </c>
      <c r="L21" s="14">
        <f t="shared" si="0"/>
        <v>12.885714285714286</v>
      </c>
      <c r="M21" s="14">
        <f t="shared" si="1"/>
        <v>0.1379493004892503</v>
      </c>
      <c r="N21" s="14">
        <v>48.59</v>
      </c>
      <c r="O21" s="14">
        <v>0.66400000000000003</v>
      </c>
      <c r="P21" s="14">
        <v>4.1479999999999997</v>
      </c>
    </row>
    <row r="22" spans="1:16" x14ac:dyDescent="0.3">
      <c r="A22" s="14">
        <v>251</v>
      </c>
      <c r="B22" s="14" t="s">
        <v>20</v>
      </c>
      <c r="C22" s="14" t="s">
        <v>15</v>
      </c>
      <c r="D22" s="14" t="s">
        <v>16</v>
      </c>
      <c r="E22" s="14">
        <v>5</v>
      </c>
      <c r="F22" s="14" t="s">
        <v>17</v>
      </c>
      <c r="G22" s="14">
        <v>1</v>
      </c>
      <c r="H22" s="14">
        <v>36.487299999999998</v>
      </c>
      <c r="I22" s="14">
        <v>83.962639055232913</v>
      </c>
      <c r="J22" s="14">
        <v>6.9600000000000009</v>
      </c>
      <c r="K22" s="14">
        <v>5.8516000000000004</v>
      </c>
      <c r="L22" s="14">
        <f t="shared" si="0"/>
        <v>15.925287356321844</v>
      </c>
      <c r="M22" s="14">
        <f t="shared" si="1"/>
        <v>0.17346434622453441</v>
      </c>
      <c r="N22" s="14">
        <v>47.89</v>
      </c>
      <c r="O22" s="14">
        <v>1.1859999999999999</v>
      </c>
      <c r="P22" s="14">
        <v>7.4119999999999999</v>
      </c>
    </row>
    <row r="23" spans="1:16" x14ac:dyDescent="0.3">
      <c r="A23" s="14">
        <v>263</v>
      </c>
      <c r="B23" s="14" t="s">
        <v>20</v>
      </c>
      <c r="C23" s="14" t="s">
        <v>15</v>
      </c>
      <c r="D23" s="14" t="s">
        <v>16</v>
      </c>
      <c r="E23" s="14">
        <v>4</v>
      </c>
      <c r="F23" s="14" t="s">
        <v>17</v>
      </c>
      <c r="G23" s="14">
        <v>1</v>
      </c>
      <c r="H23" s="14">
        <v>36.5548</v>
      </c>
      <c r="I23" s="14">
        <v>83.298773348506899</v>
      </c>
      <c r="J23" s="14">
        <v>7.07</v>
      </c>
      <c r="K23" s="14">
        <v>6.1051000000000002</v>
      </c>
      <c r="L23" s="14">
        <f t="shared" si="0"/>
        <v>13.647807637906647</v>
      </c>
      <c r="M23" s="14">
        <f t="shared" si="1"/>
        <v>0.1467359924635844</v>
      </c>
      <c r="N23" s="14">
        <v>48.39</v>
      </c>
      <c r="O23" s="14">
        <v>1.32</v>
      </c>
      <c r="P23" s="14">
        <v>8.2509999999999994</v>
      </c>
    </row>
    <row r="24" spans="1:16" x14ac:dyDescent="0.3">
      <c r="A24" s="14">
        <v>264</v>
      </c>
      <c r="B24" s="14" t="s">
        <v>20</v>
      </c>
      <c r="C24" s="14" t="s">
        <v>15</v>
      </c>
      <c r="D24" s="14" t="s">
        <v>16</v>
      </c>
      <c r="E24" s="14">
        <v>3</v>
      </c>
      <c r="F24" s="14" t="s">
        <v>17</v>
      </c>
      <c r="G24" s="14">
        <v>1</v>
      </c>
      <c r="H24" s="14">
        <v>33.957999999999998</v>
      </c>
      <c r="I24" s="14">
        <v>82.810530655515635</v>
      </c>
      <c r="J24" s="14">
        <v>6.9499999999999993</v>
      </c>
      <c r="K24" s="14">
        <v>5.8372000000000002</v>
      </c>
      <c r="L24" s="14">
        <f t="shared" si="0"/>
        <v>16.011510791366895</v>
      </c>
      <c r="M24" s="14">
        <f t="shared" si="1"/>
        <v>0.17449042976524706</v>
      </c>
      <c r="N24" s="14">
        <v>48.52</v>
      </c>
      <c r="O24" s="14">
        <v>1.0449999999999999</v>
      </c>
      <c r="P24" s="14">
        <v>6.5289999999999999</v>
      </c>
    </row>
    <row r="25" spans="1:16" x14ac:dyDescent="0.3">
      <c r="A25" s="14">
        <v>267</v>
      </c>
      <c r="B25" s="14" t="s">
        <v>20</v>
      </c>
      <c r="C25" s="14" t="s">
        <v>18</v>
      </c>
      <c r="D25" s="14" t="s">
        <v>16</v>
      </c>
      <c r="E25" s="14">
        <v>3</v>
      </c>
      <c r="F25" s="14" t="s">
        <v>17</v>
      </c>
      <c r="G25" s="14">
        <v>1</v>
      </c>
      <c r="H25" s="14">
        <v>35.299799999999998</v>
      </c>
      <c r="I25" s="14">
        <v>82.844095433968462</v>
      </c>
      <c r="J25" s="14">
        <v>7.08</v>
      </c>
      <c r="K25" s="14">
        <v>6.056</v>
      </c>
      <c r="L25" s="14">
        <f t="shared" si="0"/>
        <v>14.463276836158192</v>
      </c>
      <c r="M25" s="14">
        <f t="shared" si="1"/>
        <v>0.15622439157048071</v>
      </c>
      <c r="N25" s="14">
        <v>48.66</v>
      </c>
      <c r="O25" s="14">
        <v>1.3120000000000001</v>
      </c>
      <c r="P25" s="14">
        <v>8.1999999999999993</v>
      </c>
    </row>
    <row r="26" spans="1:16" x14ac:dyDescent="0.3">
      <c r="A26" s="14">
        <v>271</v>
      </c>
      <c r="B26" s="14" t="s">
        <v>20</v>
      </c>
      <c r="C26" s="14" t="s">
        <v>18</v>
      </c>
      <c r="D26" s="14" t="s">
        <v>16</v>
      </c>
      <c r="E26" s="14">
        <v>5</v>
      </c>
      <c r="F26" s="14" t="s">
        <v>17</v>
      </c>
      <c r="G26" s="14">
        <v>1</v>
      </c>
      <c r="H26" s="14">
        <v>32.6357</v>
      </c>
      <c r="I26" s="14">
        <v>81.813167788648627</v>
      </c>
      <c r="J26" s="14">
        <v>6.99</v>
      </c>
      <c r="K26" s="14">
        <v>5.9353999999999996</v>
      </c>
      <c r="L26" s="14">
        <f t="shared" si="0"/>
        <v>15.087267525035774</v>
      </c>
      <c r="M26" s="14">
        <f t="shared" si="1"/>
        <v>0.16354613365649776</v>
      </c>
      <c r="N26" s="14">
        <v>48.39</v>
      </c>
      <c r="O26" s="14">
        <v>1.111</v>
      </c>
      <c r="P26" s="14">
        <v>6.9420000000000002</v>
      </c>
    </row>
    <row r="27" spans="1:16" x14ac:dyDescent="0.3">
      <c r="A27" s="14">
        <v>277</v>
      </c>
      <c r="B27" s="14" t="s">
        <v>20</v>
      </c>
      <c r="C27" s="14" t="s">
        <v>18</v>
      </c>
      <c r="D27" s="14" t="s">
        <v>16</v>
      </c>
      <c r="E27" s="14">
        <v>2</v>
      </c>
      <c r="F27" s="14" t="s">
        <v>17</v>
      </c>
      <c r="G27" s="14">
        <v>1</v>
      </c>
      <c r="H27" s="14">
        <v>32.385199999999998</v>
      </c>
      <c r="I27" s="14">
        <v>81.993626718377527</v>
      </c>
      <c r="J27" s="14">
        <v>6.96</v>
      </c>
      <c r="K27" s="14">
        <v>5.8314000000000004</v>
      </c>
      <c r="L27" s="14">
        <f t="shared" si="0"/>
        <v>16.215517241379303</v>
      </c>
      <c r="M27" s="14">
        <f t="shared" si="1"/>
        <v>0.17692236559098537</v>
      </c>
      <c r="N27" s="14">
        <v>47.68</v>
      </c>
      <c r="O27" s="14">
        <v>1.054</v>
      </c>
      <c r="P27" s="14">
        <v>6.5869999999999997</v>
      </c>
    </row>
    <row r="28" spans="1:16" x14ac:dyDescent="0.3">
      <c r="A28" s="14">
        <v>283</v>
      </c>
      <c r="B28" s="14" t="s">
        <v>20</v>
      </c>
      <c r="C28" s="14" t="s">
        <v>15</v>
      </c>
      <c r="D28" s="14" t="s">
        <v>16</v>
      </c>
      <c r="E28" s="14">
        <v>2</v>
      </c>
      <c r="F28" s="14" t="s">
        <v>17</v>
      </c>
      <c r="G28" s="14">
        <v>1</v>
      </c>
      <c r="H28" s="14">
        <v>37.941099999999999</v>
      </c>
      <c r="I28" s="14">
        <v>84.488852458152238</v>
      </c>
      <c r="J28" s="14">
        <v>7.02</v>
      </c>
      <c r="K28" s="14">
        <v>5.8851000000000004</v>
      </c>
      <c r="L28" s="14">
        <f t="shared" si="0"/>
        <v>16.166666666666654</v>
      </c>
      <c r="M28" s="14">
        <f t="shared" si="1"/>
        <v>0.17633948511640699</v>
      </c>
      <c r="N28" s="14">
        <v>48.1</v>
      </c>
      <c r="O28" s="14">
        <v>1.1639999999999999</v>
      </c>
      <c r="P28" s="14">
        <v>7.2759999999999998</v>
      </c>
    </row>
    <row r="29" spans="1:16" x14ac:dyDescent="0.3">
      <c r="A29" s="14">
        <v>288</v>
      </c>
      <c r="B29" s="14" t="s">
        <v>20</v>
      </c>
      <c r="C29" s="14" t="s">
        <v>18</v>
      </c>
      <c r="D29" s="14" t="s">
        <v>16</v>
      </c>
      <c r="E29" s="14">
        <v>4</v>
      </c>
      <c r="F29" s="14" t="s">
        <v>17</v>
      </c>
      <c r="G29" s="14">
        <v>1</v>
      </c>
      <c r="H29" s="14">
        <v>35.551200000000001</v>
      </c>
      <c r="I29" s="14">
        <v>83.814329755395036</v>
      </c>
      <c r="J29" s="14">
        <v>7</v>
      </c>
      <c r="K29" s="14">
        <v>5.7542</v>
      </c>
      <c r="L29" s="14">
        <f t="shared" si="0"/>
        <v>17.797142857142859</v>
      </c>
      <c r="M29" s="14">
        <f t="shared" si="1"/>
        <v>0.1959801261010983</v>
      </c>
      <c r="N29" s="14">
        <v>48.96</v>
      </c>
      <c r="O29" s="14">
        <v>1.2589999999999999</v>
      </c>
      <c r="P29" s="14">
        <v>7.8710000000000004</v>
      </c>
    </row>
    <row r="30" spans="1:16" x14ac:dyDescent="0.3">
      <c r="A30" s="14">
        <v>296</v>
      </c>
      <c r="B30" s="14" t="s">
        <v>20</v>
      </c>
      <c r="C30" s="14" t="s">
        <v>15</v>
      </c>
      <c r="D30" s="14" t="s">
        <v>16</v>
      </c>
      <c r="E30" s="14">
        <v>1</v>
      </c>
      <c r="F30" s="14" t="s">
        <v>17</v>
      </c>
      <c r="G30" s="14">
        <v>1</v>
      </c>
      <c r="H30" s="14">
        <v>32.920999999999999</v>
      </c>
      <c r="I30" s="14">
        <v>82.413049421341995</v>
      </c>
      <c r="J30" s="14">
        <v>6.8999999999999995</v>
      </c>
      <c r="K30" s="14">
        <v>5.7897999999999996</v>
      </c>
      <c r="L30" s="14">
        <f t="shared" si="0"/>
        <v>16.08985507246377</v>
      </c>
      <c r="M30" s="14">
        <f t="shared" si="1"/>
        <v>0.17542366292924433</v>
      </c>
      <c r="N30" s="14">
        <v>48.15</v>
      </c>
      <c r="O30" s="14">
        <v>1.081</v>
      </c>
      <c r="P30" s="14">
        <v>6.7539999999999996</v>
      </c>
    </row>
    <row r="31" spans="1:16" x14ac:dyDescent="0.3">
      <c r="A31" s="14">
        <v>297</v>
      </c>
      <c r="B31" s="14" t="s">
        <v>20</v>
      </c>
      <c r="C31" s="14" t="s">
        <v>15</v>
      </c>
      <c r="D31" s="14" t="s">
        <v>16</v>
      </c>
      <c r="E31" s="14">
        <v>1</v>
      </c>
      <c r="F31" s="14" t="s">
        <v>17</v>
      </c>
      <c r="G31" s="14">
        <v>1</v>
      </c>
      <c r="H31" s="14">
        <v>37.179400000000001</v>
      </c>
      <c r="I31" s="14">
        <v>84.256873429910101</v>
      </c>
      <c r="J31" s="14">
        <v>6.92</v>
      </c>
      <c r="K31" s="14">
        <v>5.8532000000000002</v>
      </c>
      <c r="L31" s="14">
        <f t="shared" si="0"/>
        <v>15.416184971098263</v>
      </c>
      <c r="M31" s="14">
        <f t="shared" si="1"/>
        <v>0.16742724939344383</v>
      </c>
      <c r="N31" s="14">
        <v>48.25</v>
      </c>
      <c r="O31" s="14">
        <v>1.1160000000000001</v>
      </c>
      <c r="P31" s="14">
        <v>6.9740000000000002</v>
      </c>
    </row>
    <row r="32" spans="1:16" x14ac:dyDescent="0.3">
      <c r="A32" s="14">
        <v>361</v>
      </c>
      <c r="B32" s="14" t="s">
        <v>20</v>
      </c>
      <c r="C32" s="14" t="s">
        <v>15</v>
      </c>
      <c r="D32" s="14" t="s">
        <v>19</v>
      </c>
      <c r="E32" s="14">
        <v>5</v>
      </c>
      <c r="F32" s="14" t="s">
        <v>17</v>
      </c>
      <c r="G32" s="14">
        <v>1</v>
      </c>
      <c r="H32" s="14">
        <v>30.854700000000001</v>
      </c>
      <c r="I32" s="14">
        <v>80.457434361701772</v>
      </c>
      <c r="J32" s="14">
        <v>7.08</v>
      </c>
      <c r="K32" s="14">
        <v>6.0297999999999998</v>
      </c>
      <c r="L32" s="14">
        <f t="shared" si="0"/>
        <v>14.833333333333337</v>
      </c>
      <c r="M32" s="14">
        <f t="shared" si="1"/>
        <v>0.16056006501244191</v>
      </c>
      <c r="N32" s="14">
        <v>47.37</v>
      </c>
      <c r="O32" s="14">
        <v>0.71299999999999997</v>
      </c>
      <c r="P32" s="14">
        <v>4.4539999999999997</v>
      </c>
    </row>
    <row r="33" spans="1:16" x14ac:dyDescent="0.3">
      <c r="A33" s="14">
        <v>368</v>
      </c>
      <c r="B33" s="14" t="s">
        <v>20</v>
      </c>
      <c r="C33" s="14" t="s">
        <v>18</v>
      </c>
      <c r="D33" s="14" t="s">
        <v>19</v>
      </c>
      <c r="E33" s="14">
        <v>5</v>
      </c>
      <c r="F33" s="14" t="s">
        <v>17</v>
      </c>
      <c r="G33" s="14">
        <v>1</v>
      </c>
      <c r="H33" s="14">
        <v>24.490500000000001</v>
      </c>
      <c r="I33" s="14">
        <v>76.432085910863407</v>
      </c>
      <c r="J33" s="14">
        <v>6.94</v>
      </c>
      <c r="K33" s="14">
        <v>5.7718999999999996</v>
      </c>
      <c r="L33" s="14">
        <f t="shared" si="0"/>
        <v>16.831412103746406</v>
      </c>
      <c r="M33" s="14">
        <f t="shared" si="1"/>
        <v>0.18430045877449375</v>
      </c>
      <c r="N33" s="14">
        <v>48.9</v>
      </c>
      <c r="O33" s="14">
        <v>0.68</v>
      </c>
      <c r="P33" s="14">
        <v>4.2489999999999997</v>
      </c>
    </row>
    <row r="34" spans="1:16" x14ac:dyDescent="0.3">
      <c r="A34" s="14">
        <v>373</v>
      </c>
      <c r="B34" s="14" t="s">
        <v>20</v>
      </c>
      <c r="C34" s="14" t="s">
        <v>15</v>
      </c>
      <c r="D34" s="14" t="s">
        <v>19</v>
      </c>
      <c r="E34" s="14">
        <v>2</v>
      </c>
      <c r="F34" s="14" t="s">
        <v>17</v>
      </c>
      <c r="G34" s="14">
        <v>1</v>
      </c>
      <c r="H34" s="14">
        <v>22.206099999999999</v>
      </c>
      <c r="I34" s="14">
        <v>74.11522059253987</v>
      </c>
      <c r="J34" s="14">
        <v>6.98</v>
      </c>
      <c r="K34" s="14">
        <v>5.7480000000000002</v>
      </c>
      <c r="L34" s="14">
        <f t="shared" si="0"/>
        <v>17.650429799426938</v>
      </c>
      <c r="M34" s="14">
        <f t="shared" si="1"/>
        <v>0.19419694855750264</v>
      </c>
      <c r="N34" s="14">
        <v>48.34</v>
      </c>
      <c r="O34" s="14">
        <v>0.80200000000000005</v>
      </c>
      <c r="P34" s="14">
        <v>5.0119999999999996</v>
      </c>
    </row>
    <row r="35" spans="1:16" x14ac:dyDescent="0.3">
      <c r="A35" s="14">
        <v>375</v>
      </c>
      <c r="B35" s="14" t="s">
        <v>20</v>
      </c>
      <c r="C35" s="14" t="s">
        <v>18</v>
      </c>
      <c r="D35" s="14" t="s">
        <v>19</v>
      </c>
      <c r="E35" s="14">
        <v>4</v>
      </c>
      <c r="F35" s="14" t="s">
        <v>17</v>
      </c>
      <c r="G35" s="14">
        <v>1</v>
      </c>
      <c r="H35" s="14">
        <v>28.273700000000002</v>
      </c>
      <c r="I35" s="14">
        <v>21.117858646020856</v>
      </c>
      <c r="J35" s="14">
        <v>6.99</v>
      </c>
      <c r="K35" s="14">
        <v>5.9707999999999997</v>
      </c>
      <c r="L35" s="14">
        <f t="shared" si="0"/>
        <v>14.580829756795429</v>
      </c>
      <c r="M35" s="14">
        <f t="shared" si="1"/>
        <v>0.15759963446877145</v>
      </c>
      <c r="N35" s="14">
        <v>48.43</v>
      </c>
      <c r="O35" s="14">
        <v>0.872</v>
      </c>
      <c r="P35" s="14">
        <v>5.4509999999999996</v>
      </c>
    </row>
    <row r="36" spans="1:16" x14ac:dyDescent="0.3">
      <c r="A36" s="14">
        <v>378</v>
      </c>
      <c r="B36" s="14" t="s">
        <v>20</v>
      </c>
      <c r="C36" s="14" t="s">
        <v>15</v>
      </c>
      <c r="D36" s="14" t="s">
        <v>19</v>
      </c>
      <c r="E36" s="14">
        <v>3</v>
      </c>
      <c r="F36" s="14" t="s">
        <v>17</v>
      </c>
      <c r="G36" s="14">
        <v>1</v>
      </c>
      <c r="H36" s="14">
        <v>24.304500000000001</v>
      </c>
      <c r="I36" s="14">
        <v>75.392211318891569</v>
      </c>
      <c r="J36" s="14">
        <v>6.06</v>
      </c>
      <c r="K36" s="14">
        <v>5.9808000000000003</v>
      </c>
      <c r="L36" s="14">
        <f t="shared" si="0"/>
        <v>1.306930693069295</v>
      </c>
      <c r="M36" s="14">
        <f t="shared" si="1"/>
        <v>1.3155461802116337E-2</v>
      </c>
      <c r="N36" s="14">
        <v>48.61</v>
      </c>
      <c r="O36" s="14">
        <v>0.67300000000000004</v>
      </c>
      <c r="P36" s="14">
        <v>4.2039999999999997</v>
      </c>
    </row>
    <row r="37" spans="1:16" x14ac:dyDescent="0.3">
      <c r="A37" s="14">
        <v>384</v>
      </c>
      <c r="B37" s="14" t="s">
        <v>20</v>
      </c>
      <c r="C37" s="14" t="s">
        <v>18</v>
      </c>
      <c r="D37" s="14" t="s">
        <v>19</v>
      </c>
      <c r="E37" s="14">
        <v>3</v>
      </c>
      <c r="F37" s="14" t="s">
        <v>17</v>
      </c>
      <c r="G37" s="14">
        <v>1</v>
      </c>
      <c r="H37" s="14">
        <v>22.343</v>
      </c>
      <c r="I37" s="14">
        <v>73.5420489638813</v>
      </c>
      <c r="J37" s="14">
        <v>6.97</v>
      </c>
      <c r="K37" s="14">
        <v>5.9115000000000002</v>
      </c>
      <c r="L37" s="14">
        <f t="shared" si="0"/>
        <v>15.186513629842175</v>
      </c>
      <c r="M37" s="14">
        <f t="shared" si="1"/>
        <v>0.16471561845140148</v>
      </c>
      <c r="N37" s="14">
        <v>47.48</v>
      </c>
      <c r="O37" s="14">
        <v>0.84</v>
      </c>
      <c r="P37" s="14">
        <v>5.2519999999999998</v>
      </c>
    </row>
    <row r="38" spans="1:16" x14ac:dyDescent="0.3">
      <c r="A38" s="14">
        <v>395</v>
      </c>
      <c r="B38" s="14" t="s">
        <v>20</v>
      </c>
      <c r="C38" s="14" t="s">
        <v>18</v>
      </c>
      <c r="D38" s="14" t="s">
        <v>19</v>
      </c>
      <c r="E38" s="14">
        <v>2</v>
      </c>
      <c r="F38" s="14" t="s">
        <v>17</v>
      </c>
      <c r="G38" s="14">
        <v>1</v>
      </c>
      <c r="H38" s="14">
        <v>25.083500000000001</v>
      </c>
      <c r="I38" s="14">
        <v>76.325871588893108</v>
      </c>
      <c r="J38" s="14">
        <v>7.02</v>
      </c>
      <c r="K38" s="14">
        <v>5.9382999999999999</v>
      </c>
      <c r="L38" s="14">
        <f t="shared" si="0"/>
        <v>15.408831908831905</v>
      </c>
      <c r="M38" s="14">
        <f t="shared" si="1"/>
        <v>0.16734032091104797</v>
      </c>
      <c r="N38" s="14">
        <v>47.57</v>
      </c>
      <c r="O38" s="14">
        <v>0.747</v>
      </c>
      <c r="P38" s="14">
        <v>4.6719999999999997</v>
      </c>
    </row>
    <row r="39" spans="1:16" x14ac:dyDescent="0.3">
      <c r="A39" s="14">
        <v>403</v>
      </c>
      <c r="B39" s="14" t="s">
        <v>20</v>
      </c>
      <c r="C39" s="14" t="s">
        <v>15</v>
      </c>
      <c r="D39" s="14" t="s">
        <v>19</v>
      </c>
      <c r="E39" s="14">
        <v>1</v>
      </c>
      <c r="F39" s="14" t="s">
        <v>17</v>
      </c>
      <c r="G39" s="14">
        <v>1</v>
      </c>
      <c r="H39" s="14">
        <v>27.4483</v>
      </c>
      <c r="I39" s="14">
        <v>79.06573448993197</v>
      </c>
      <c r="J39" s="14">
        <v>6.96</v>
      </c>
      <c r="K39" s="14">
        <v>5.7461000000000002</v>
      </c>
      <c r="L39" s="14">
        <f t="shared" si="0"/>
        <v>17.441091954022987</v>
      </c>
      <c r="M39" s="14">
        <f t="shared" si="1"/>
        <v>0.19165811052959941</v>
      </c>
      <c r="N39" s="14">
        <v>47.04</v>
      </c>
      <c r="O39" s="14">
        <v>0.85299999999999998</v>
      </c>
      <c r="P39" s="14">
        <v>5.3289999999999997</v>
      </c>
    </row>
    <row r="40" spans="1:16" x14ac:dyDescent="0.3">
      <c r="A40" s="14">
        <v>408</v>
      </c>
      <c r="B40" s="14" t="s">
        <v>20</v>
      </c>
      <c r="C40" s="14" t="s">
        <v>15</v>
      </c>
      <c r="D40" s="14" t="s">
        <v>19</v>
      </c>
      <c r="E40" s="14">
        <v>4</v>
      </c>
      <c r="F40" s="14" t="s">
        <v>17</v>
      </c>
      <c r="G40" s="14">
        <v>1</v>
      </c>
      <c r="H40" s="14">
        <v>21.4681</v>
      </c>
      <c r="I40" s="14">
        <v>72.400911119288608</v>
      </c>
      <c r="J40" s="14">
        <v>6.93</v>
      </c>
      <c r="K40" s="14">
        <v>5.9249999999999998</v>
      </c>
      <c r="L40" s="14">
        <f t="shared" si="0"/>
        <v>14.502164502164502</v>
      </c>
      <c r="M40" s="14">
        <f t="shared" si="1"/>
        <v>0.15667912618061702</v>
      </c>
      <c r="N40" s="14">
        <v>47.99</v>
      </c>
      <c r="O40" s="14">
        <v>0.79700000000000004</v>
      </c>
      <c r="P40" s="14">
        <v>4.9829999999999997</v>
      </c>
    </row>
    <row r="41" spans="1:16" x14ac:dyDescent="0.3">
      <c r="A41" s="14">
        <v>415</v>
      </c>
      <c r="B41" s="14" t="s">
        <v>20</v>
      </c>
      <c r="C41" s="14" t="s">
        <v>15</v>
      </c>
      <c r="D41" s="14" t="s">
        <v>19</v>
      </c>
      <c r="E41" s="14">
        <v>1</v>
      </c>
      <c r="F41" s="14" t="s">
        <v>17</v>
      </c>
      <c r="G41" s="14">
        <v>1</v>
      </c>
      <c r="H41" s="14">
        <v>24.71</v>
      </c>
      <c r="I41" s="14">
        <v>75.662889518413607</v>
      </c>
      <c r="J41" s="14">
        <v>7.05</v>
      </c>
      <c r="K41" s="14">
        <v>6.0137</v>
      </c>
      <c r="L41" s="14">
        <f t="shared" si="0"/>
        <v>14.69929078014184</v>
      </c>
      <c r="M41" s="14">
        <f t="shared" si="1"/>
        <v>0.15898741710699013</v>
      </c>
      <c r="N41" s="14">
        <v>47.89</v>
      </c>
      <c r="O41" s="14">
        <v>0.56999999999999995</v>
      </c>
      <c r="P41" s="14">
        <v>3.56</v>
      </c>
    </row>
    <row r="42" spans="1:16" x14ac:dyDescent="0.3">
      <c r="A42" s="14">
        <v>489</v>
      </c>
      <c r="B42" s="14" t="s">
        <v>21</v>
      </c>
      <c r="C42" s="14" t="s">
        <v>15</v>
      </c>
      <c r="D42" s="14" t="s">
        <v>16</v>
      </c>
      <c r="E42" s="14">
        <v>4</v>
      </c>
      <c r="F42" s="14" t="s">
        <v>17</v>
      </c>
      <c r="G42" s="14">
        <v>1</v>
      </c>
      <c r="H42" s="14">
        <v>31.959</v>
      </c>
      <c r="I42" s="14">
        <v>18.504959479332893</v>
      </c>
      <c r="J42" s="14">
        <v>6.91</v>
      </c>
      <c r="K42" s="14">
        <v>5.9139999999999997</v>
      </c>
      <c r="L42" s="14">
        <f t="shared" si="0"/>
        <v>14.413892908827791</v>
      </c>
      <c r="M42" s="14">
        <f t="shared" si="1"/>
        <v>0.15564721634929318</v>
      </c>
      <c r="N42" s="14">
        <v>48.34</v>
      </c>
      <c r="O42" s="14">
        <v>0.75800000000000001</v>
      </c>
      <c r="P42" s="14">
        <v>4.74</v>
      </c>
    </row>
    <row r="43" spans="1:16" x14ac:dyDescent="0.3">
      <c r="A43" s="14">
        <v>497</v>
      </c>
      <c r="B43" s="14" t="s">
        <v>21</v>
      </c>
      <c r="C43" s="14" t="s">
        <v>18</v>
      </c>
      <c r="D43" s="14" t="s">
        <v>16</v>
      </c>
      <c r="E43" s="14">
        <v>4</v>
      </c>
      <c r="F43" s="14" t="s">
        <v>17</v>
      </c>
      <c r="G43" s="14">
        <v>1</v>
      </c>
      <c r="H43" s="14">
        <v>28.12</v>
      </c>
      <c r="I43" s="14">
        <v>21.070412517780937</v>
      </c>
      <c r="J43" s="14">
        <v>7.03</v>
      </c>
      <c r="K43" s="14">
        <v>5.9249999999999998</v>
      </c>
      <c r="L43" s="14">
        <f t="shared" si="0"/>
        <v>15.718349928876249</v>
      </c>
      <c r="M43" s="14">
        <f t="shared" si="1"/>
        <v>0.17100601880137875</v>
      </c>
      <c r="N43" s="14">
        <v>49.01</v>
      </c>
      <c r="O43" s="14">
        <v>0.77400000000000002</v>
      </c>
      <c r="P43" s="14">
        <v>4.835</v>
      </c>
    </row>
    <row r="44" spans="1:16" x14ac:dyDescent="0.3">
      <c r="A44" s="14">
        <v>498</v>
      </c>
      <c r="B44" s="14" t="s">
        <v>21</v>
      </c>
      <c r="C44" s="14" t="s">
        <v>18</v>
      </c>
      <c r="D44" s="14" t="s">
        <v>16</v>
      </c>
      <c r="E44" s="14">
        <v>2</v>
      </c>
      <c r="F44" s="14" t="s">
        <v>17</v>
      </c>
      <c r="G44" s="14">
        <v>1</v>
      </c>
      <c r="H44" s="14">
        <v>24.141999999999999</v>
      </c>
      <c r="I44" s="14">
        <v>23.249937867616605</v>
      </c>
      <c r="J44" s="14">
        <v>6.9</v>
      </c>
      <c r="K44" s="14">
        <v>5.6130000000000004</v>
      </c>
      <c r="L44" s="14">
        <f t="shared" si="0"/>
        <v>18.652173913043477</v>
      </c>
      <c r="M44" s="14">
        <f t="shared" si="1"/>
        <v>0.20643607564315145</v>
      </c>
      <c r="N44" s="14">
        <v>48.64</v>
      </c>
      <c r="O44" s="14">
        <v>0.72299999999999998</v>
      </c>
      <c r="P44" s="14">
        <v>4.5170000000000003</v>
      </c>
    </row>
    <row r="45" spans="1:16" x14ac:dyDescent="0.3">
      <c r="A45" s="14">
        <v>507</v>
      </c>
      <c r="B45" s="14" t="s">
        <v>21</v>
      </c>
      <c r="C45" s="14" t="s">
        <v>15</v>
      </c>
      <c r="D45" s="14" t="s">
        <v>16</v>
      </c>
      <c r="E45" s="14">
        <v>1</v>
      </c>
      <c r="F45" s="14" t="s">
        <v>17</v>
      </c>
      <c r="G45" s="14">
        <v>1</v>
      </c>
      <c r="H45" s="14">
        <v>23.687000000000001</v>
      </c>
      <c r="I45" s="14">
        <v>24.967281631274535</v>
      </c>
      <c r="J45" s="14">
        <v>7.01</v>
      </c>
      <c r="K45" s="14">
        <v>5.9139999999999997</v>
      </c>
      <c r="L45" s="14">
        <f t="shared" si="0"/>
        <v>15.634807417974326</v>
      </c>
      <c r="M45" s="14">
        <f t="shared" si="1"/>
        <v>0.17001527961621332</v>
      </c>
      <c r="N45" s="14">
        <v>48.37</v>
      </c>
      <c r="O45" s="14">
        <v>0.752</v>
      </c>
      <c r="P45" s="14">
        <v>4.702</v>
      </c>
    </row>
    <row r="46" spans="1:16" x14ac:dyDescent="0.3">
      <c r="A46" s="14">
        <v>508</v>
      </c>
      <c r="B46" s="14" t="s">
        <v>21</v>
      </c>
      <c r="C46" s="14" t="s">
        <v>18</v>
      </c>
      <c r="D46" s="14" t="s">
        <v>16</v>
      </c>
      <c r="E46" s="14">
        <v>1</v>
      </c>
      <c r="F46" s="14" t="s">
        <v>17</v>
      </c>
      <c r="G46" s="14">
        <v>1</v>
      </c>
      <c r="H46" s="14">
        <v>21.074000000000002</v>
      </c>
      <c r="I46" s="14">
        <v>27.778305020404286</v>
      </c>
      <c r="J46" s="14">
        <v>7.08</v>
      </c>
      <c r="K46" s="14">
        <v>5.8540000000000001</v>
      </c>
      <c r="L46" s="14">
        <f t="shared" si="0"/>
        <v>17.316384180790962</v>
      </c>
      <c r="M46" s="14">
        <f t="shared" si="1"/>
        <v>0.19014871943593423</v>
      </c>
      <c r="N46" s="14">
        <v>47.75</v>
      </c>
      <c r="O46" s="14">
        <v>0.90300000000000002</v>
      </c>
      <c r="P46" s="14">
        <v>5.6429999999999998</v>
      </c>
    </row>
    <row r="47" spans="1:16" x14ac:dyDescent="0.3">
      <c r="A47" s="14">
        <v>514</v>
      </c>
      <c r="B47" s="14" t="s">
        <v>21</v>
      </c>
      <c r="C47" s="14" t="s">
        <v>18</v>
      </c>
      <c r="D47" s="14" t="s">
        <v>16</v>
      </c>
      <c r="E47" s="14">
        <v>3</v>
      </c>
      <c r="F47" s="14" t="s">
        <v>17</v>
      </c>
      <c r="G47" s="14">
        <v>1</v>
      </c>
      <c r="H47" s="14">
        <v>36.938000000000002</v>
      </c>
      <c r="I47" s="14">
        <v>15.344631544750662</v>
      </c>
      <c r="J47" s="14">
        <v>6.92</v>
      </c>
      <c r="K47" s="14">
        <v>5.6680000000000001</v>
      </c>
      <c r="L47" s="14">
        <f t="shared" si="0"/>
        <v>18.092485549132945</v>
      </c>
      <c r="M47" s="14">
        <f t="shared" si="1"/>
        <v>0.19957944780114412</v>
      </c>
      <c r="N47" s="14">
        <v>49.1</v>
      </c>
      <c r="O47" s="14">
        <v>0.60399999999999998</v>
      </c>
      <c r="P47" s="14">
        <v>3.7730000000000001</v>
      </c>
    </row>
    <row r="48" spans="1:16" x14ac:dyDescent="0.3">
      <c r="A48" s="14">
        <v>517</v>
      </c>
      <c r="B48" s="14" t="s">
        <v>21</v>
      </c>
      <c r="C48" s="14" t="s">
        <v>15</v>
      </c>
      <c r="D48" s="14" t="s">
        <v>16</v>
      </c>
      <c r="E48" s="14">
        <v>2</v>
      </c>
      <c r="F48" s="14" t="s">
        <v>17</v>
      </c>
      <c r="G48" s="14">
        <v>1</v>
      </c>
      <c r="H48" s="14">
        <v>27.510999999999999</v>
      </c>
      <c r="I48" s="14">
        <v>21.40961797099342</v>
      </c>
      <c r="J48" s="14">
        <v>7.02</v>
      </c>
      <c r="K48" s="14">
        <v>5.89</v>
      </c>
      <c r="L48" s="14">
        <f t="shared" si="0"/>
        <v>16.096866096866098</v>
      </c>
      <c r="M48" s="14">
        <f t="shared" si="1"/>
        <v>0.17550722037422434</v>
      </c>
      <c r="N48" s="14">
        <v>48.54</v>
      </c>
      <c r="O48" s="14">
        <v>0.8</v>
      </c>
      <c r="P48" s="14">
        <v>4.9989999999999997</v>
      </c>
    </row>
    <row r="49" spans="1:16" x14ac:dyDescent="0.3">
      <c r="A49" s="14">
        <v>528</v>
      </c>
      <c r="B49" s="14" t="s">
        <v>21</v>
      </c>
      <c r="C49" s="14" t="s">
        <v>15</v>
      </c>
      <c r="D49" s="14" t="s">
        <v>16</v>
      </c>
      <c r="E49" s="14">
        <v>5</v>
      </c>
      <c r="F49" s="14" t="s">
        <v>17</v>
      </c>
      <c r="G49" s="14">
        <v>1</v>
      </c>
      <c r="H49" s="14">
        <v>28.091000000000001</v>
      </c>
      <c r="I49" s="14">
        <v>22.327435833540992</v>
      </c>
      <c r="J49" s="14">
        <v>7.06</v>
      </c>
      <c r="K49" s="14">
        <v>6.2720000000000002</v>
      </c>
      <c r="L49" s="14">
        <f t="shared" si="0"/>
        <v>11.161473087818688</v>
      </c>
      <c r="M49" s="14">
        <f t="shared" si="1"/>
        <v>0.11834976845704386</v>
      </c>
      <c r="N49" s="14">
        <v>48.47</v>
      </c>
      <c r="O49" s="14">
        <v>0.94299999999999995</v>
      </c>
      <c r="P49" s="14">
        <v>5.8959999999999999</v>
      </c>
    </row>
    <row r="50" spans="1:16" x14ac:dyDescent="0.3">
      <c r="A50" s="14">
        <v>531</v>
      </c>
      <c r="B50" s="14" t="s">
        <v>21</v>
      </c>
      <c r="C50" s="14" t="s">
        <v>15</v>
      </c>
      <c r="D50" s="14" t="s">
        <v>16</v>
      </c>
      <c r="E50" s="14">
        <v>3</v>
      </c>
      <c r="F50" s="14" t="s">
        <v>17</v>
      </c>
      <c r="G50" s="14">
        <v>1</v>
      </c>
      <c r="H50" s="14">
        <v>19.359000000000002</v>
      </c>
      <c r="I50" s="14">
        <v>31.365256469858977</v>
      </c>
      <c r="J50" s="14">
        <v>7.01</v>
      </c>
      <c r="K50" s="14">
        <v>6.0720000000000001</v>
      </c>
      <c r="L50" s="14">
        <f t="shared" si="0"/>
        <v>13.380884450784588</v>
      </c>
      <c r="M50" s="14">
        <f t="shared" si="1"/>
        <v>0.14364966095316989</v>
      </c>
      <c r="N50" s="14">
        <v>48.01</v>
      </c>
      <c r="O50" s="14">
        <v>0.85599999999999998</v>
      </c>
      <c r="P50" s="14">
        <v>5.3470000000000004</v>
      </c>
    </row>
    <row r="51" spans="1:16" x14ac:dyDescent="0.3">
      <c r="A51" s="14">
        <v>532</v>
      </c>
      <c r="B51" s="14" t="s">
        <v>21</v>
      </c>
      <c r="C51" s="14" t="s">
        <v>18</v>
      </c>
      <c r="D51" s="14" t="s">
        <v>16</v>
      </c>
      <c r="E51" s="14">
        <v>5</v>
      </c>
      <c r="F51" s="14" t="s">
        <v>17</v>
      </c>
      <c r="G51" s="14">
        <v>1</v>
      </c>
      <c r="H51" s="14">
        <v>29.29</v>
      </c>
      <c r="I51" s="14">
        <v>20.669170365312397</v>
      </c>
      <c r="J51" s="14">
        <v>7</v>
      </c>
      <c r="K51" s="14">
        <v>6.0540000000000003</v>
      </c>
      <c r="L51" s="14">
        <f t="shared" si="0"/>
        <v>13.514285714285709</v>
      </c>
      <c r="M51" s="14">
        <f t="shared" si="1"/>
        <v>0.14519093845578637</v>
      </c>
      <c r="N51" s="14">
        <v>47.45</v>
      </c>
      <c r="O51" s="14">
        <v>0.872</v>
      </c>
      <c r="P51" s="14">
        <v>5.45</v>
      </c>
    </row>
    <row r="52" spans="1:16" x14ac:dyDescent="0.3">
      <c r="A52" s="14">
        <v>601</v>
      </c>
      <c r="B52" s="14" t="s">
        <v>21</v>
      </c>
      <c r="C52" s="14" t="s">
        <v>18</v>
      </c>
      <c r="D52" s="14" t="s">
        <v>19</v>
      </c>
      <c r="E52" s="14">
        <v>4</v>
      </c>
      <c r="F52" s="14" t="s">
        <v>17</v>
      </c>
      <c r="G52" s="14">
        <v>1</v>
      </c>
      <c r="H52" s="14">
        <v>18.712</v>
      </c>
      <c r="I52" s="14">
        <v>26.678067550235145</v>
      </c>
      <c r="J52" s="14">
        <v>6.99</v>
      </c>
      <c r="K52" s="14">
        <v>4.992</v>
      </c>
      <c r="L52" s="14">
        <f t="shared" si="0"/>
        <v>28.583690987124466</v>
      </c>
      <c r="M52" s="14">
        <f t="shared" si="1"/>
        <v>0.33664392517859237</v>
      </c>
      <c r="N52" s="14">
        <v>47</v>
      </c>
      <c r="O52" s="14">
        <v>2.266</v>
      </c>
      <c r="P52" s="14">
        <v>14.164999999999999</v>
      </c>
    </row>
    <row r="53" spans="1:16" x14ac:dyDescent="0.3">
      <c r="A53" s="14">
        <v>603</v>
      </c>
      <c r="B53" s="14" t="s">
        <v>21</v>
      </c>
      <c r="C53" s="14" t="s">
        <v>15</v>
      </c>
      <c r="D53" s="14" t="s">
        <v>19</v>
      </c>
      <c r="E53" s="14">
        <v>2</v>
      </c>
      <c r="F53" s="14" t="s">
        <v>17</v>
      </c>
      <c r="G53" s="14">
        <v>1</v>
      </c>
      <c r="H53" s="14">
        <v>31.292000000000002</v>
      </c>
      <c r="I53" s="14">
        <v>16.748689760961266</v>
      </c>
      <c r="J53" s="14">
        <v>7.05</v>
      </c>
      <c r="K53" s="14">
        <v>5.2409999999999997</v>
      </c>
      <c r="L53" s="14">
        <f t="shared" si="0"/>
        <v>25.659574468085111</v>
      </c>
      <c r="M53" s="14">
        <f t="shared" si="1"/>
        <v>0.29651529700414814</v>
      </c>
      <c r="N53" s="14">
        <v>48.81</v>
      </c>
      <c r="O53" s="14">
        <v>2.3559999999999999</v>
      </c>
      <c r="P53" s="14">
        <v>14.727</v>
      </c>
    </row>
    <row r="54" spans="1:16" x14ac:dyDescent="0.3">
      <c r="A54" s="14">
        <v>607</v>
      </c>
      <c r="B54" s="14" t="s">
        <v>21</v>
      </c>
      <c r="C54" s="14" t="s">
        <v>18</v>
      </c>
      <c r="D54" s="14" t="s">
        <v>19</v>
      </c>
      <c r="E54" s="14">
        <v>2</v>
      </c>
      <c r="F54" s="14" t="s">
        <v>17</v>
      </c>
      <c r="G54" s="14">
        <v>1</v>
      </c>
      <c r="H54" s="14">
        <v>23.422000000000001</v>
      </c>
      <c r="I54" s="14">
        <v>22.060455981555801</v>
      </c>
      <c r="J54" s="14">
        <v>6.92</v>
      </c>
      <c r="K54" s="14">
        <v>5.1669999999999998</v>
      </c>
      <c r="L54" s="14">
        <f t="shared" si="0"/>
        <v>25.332369942196532</v>
      </c>
      <c r="M54" s="14">
        <f t="shared" si="1"/>
        <v>0.29212352032453065</v>
      </c>
      <c r="N54" s="14">
        <v>47.94</v>
      </c>
      <c r="O54" s="14">
        <v>2.1869999999999998</v>
      </c>
      <c r="P54" s="14">
        <v>13.672000000000001</v>
      </c>
    </row>
    <row r="55" spans="1:16" x14ac:dyDescent="0.3">
      <c r="A55" s="14">
        <v>620</v>
      </c>
      <c r="B55" s="14" t="s">
        <v>21</v>
      </c>
      <c r="C55" s="14" t="s">
        <v>18</v>
      </c>
      <c r="D55" s="14" t="s">
        <v>19</v>
      </c>
      <c r="E55" s="14">
        <v>1</v>
      </c>
      <c r="F55" s="14" t="s">
        <v>17</v>
      </c>
      <c r="G55" s="14">
        <v>1</v>
      </c>
      <c r="H55" s="14">
        <v>27.097999999999999</v>
      </c>
      <c r="I55" s="14">
        <v>21.617831574285926</v>
      </c>
      <c r="J55" s="14">
        <v>7.07</v>
      </c>
      <c r="K55" s="14">
        <v>5.8579999999999997</v>
      </c>
      <c r="L55" s="14">
        <f t="shared" si="0"/>
        <v>17.142857142857153</v>
      </c>
      <c r="M55" s="14">
        <f t="shared" si="1"/>
        <v>0.18805223150293973</v>
      </c>
      <c r="N55" s="14">
        <v>48.09</v>
      </c>
      <c r="O55" s="14">
        <v>0.80400000000000005</v>
      </c>
      <c r="P55" s="14">
        <v>5.0259999999999998</v>
      </c>
    </row>
    <row r="56" spans="1:16" x14ac:dyDescent="0.3">
      <c r="A56" s="14">
        <v>622</v>
      </c>
      <c r="B56" s="14" t="s">
        <v>21</v>
      </c>
      <c r="C56" s="14" t="s">
        <v>18</v>
      </c>
      <c r="D56" s="14" t="s">
        <v>19</v>
      </c>
      <c r="E56" s="14">
        <v>3</v>
      </c>
      <c r="F56" s="14" t="s">
        <v>17</v>
      </c>
      <c r="G56" s="14">
        <v>1</v>
      </c>
      <c r="H56" s="14">
        <v>35.853999999999999</v>
      </c>
      <c r="I56" s="14">
        <v>16.265967535003067</v>
      </c>
      <c r="J56" s="14">
        <v>6.98</v>
      </c>
      <c r="K56" s="14">
        <v>5.8319999999999999</v>
      </c>
      <c r="L56" s="14">
        <f t="shared" si="0"/>
        <v>16.44699140401147</v>
      </c>
      <c r="M56" s="14">
        <f t="shared" si="1"/>
        <v>0.17968892206792417</v>
      </c>
      <c r="N56" s="14">
        <v>47.69</v>
      </c>
      <c r="O56" s="14">
        <v>0.80600000000000005</v>
      </c>
      <c r="P56" s="14">
        <v>5.0350000000000001</v>
      </c>
    </row>
    <row r="57" spans="1:16" x14ac:dyDescent="0.3">
      <c r="A57" s="14">
        <v>624</v>
      </c>
      <c r="B57" s="14" t="s">
        <v>21</v>
      </c>
      <c r="C57" s="14" t="s">
        <v>15</v>
      </c>
      <c r="D57" s="14" t="s">
        <v>19</v>
      </c>
      <c r="E57" s="14">
        <v>1</v>
      </c>
      <c r="F57" s="14" t="s">
        <v>17</v>
      </c>
      <c r="G57" s="14">
        <v>1</v>
      </c>
      <c r="H57" s="14">
        <v>23.481999999999999</v>
      </c>
      <c r="I57" s="14">
        <v>24.993612128438805</v>
      </c>
      <c r="J57" s="14">
        <v>7</v>
      </c>
      <c r="K57" s="14">
        <v>5.8689999999999998</v>
      </c>
      <c r="L57" s="14">
        <f t="shared" si="0"/>
        <v>16.157142857142862</v>
      </c>
      <c r="M57" s="14">
        <f t="shared" si="1"/>
        <v>0.17622588747911588</v>
      </c>
      <c r="N57" s="14">
        <v>48.32</v>
      </c>
      <c r="O57" s="14">
        <v>0.86699999999999999</v>
      </c>
      <c r="P57" s="14">
        <v>5.4210000000000003</v>
      </c>
    </row>
    <row r="58" spans="1:16" x14ac:dyDescent="0.3">
      <c r="A58" s="14">
        <v>629</v>
      </c>
      <c r="B58" s="14" t="s">
        <v>21</v>
      </c>
      <c r="C58" s="14" t="s">
        <v>18</v>
      </c>
      <c r="D58" s="14" t="s">
        <v>19</v>
      </c>
      <c r="E58" s="14">
        <v>5</v>
      </c>
      <c r="F58" s="14" t="s">
        <v>17</v>
      </c>
      <c r="G58" s="14">
        <v>1</v>
      </c>
      <c r="H58" s="14">
        <v>21.82</v>
      </c>
      <c r="I58" s="14">
        <v>27.108157653528874</v>
      </c>
      <c r="J58" s="14">
        <v>6.93</v>
      </c>
      <c r="K58" s="14">
        <v>5.915</v>
      </c>
      <c r="L58" s="14">
        <f t="shared" si="0"/>
        <v>14.646464646464644</v>
      </c>
      <c r="M58" s="14">
        <f t="shared" si="1"/>
        <v>0.15836831577146171</v>
      </c>
      <c r="N58" s="14">
        <v>48.59</v>
      </c>
      <c r="O58" s="14">
        <v>0.66800000000000004</v>
      </c>
      <c r="P58" s="14">
        <v>4.173</v>
      </c>
    </row>
    <row r="59" spans="1:16" x14ac:dyDescent="0.3">
      <c r="A59" s="14">
        <v>637</v>
      </c>
      <c r="B59" s="14" t="s">
        <v>21</v>
      </c>
      <c r="C59" s="14" t="s">
        <v>15</v>
      </c>
      <c r="D59" s="14" t="s">
        <v>19</v>
      </c>
      <c r="E59" s="14">
        <v>4</v>
      </c>
      <c r="F59" s="14" t="s">
        <v>17</v>
      </c>
      <c r="G59" s="14">
        <v>1</v>
      </c>
      <c r="H59" s="14">
        <v>27.923999999999999</v>
      </c>
      <c r="I59" s="14">
        <v>18.557513250250683</v>
      </c>
      <c r="J59" s="14">
        <v>6.99</v>
      </c>
      <c r="K59" s="14">
        <v>5.1820000000000004</v>
      </c>
      <c r="L59" s="14">
        <f t="shared" si="0"/>
        <v>25.865522174535048</v>
      </c>
      <c r="M59" s="14">
        <f t="shared" si="1"/>
        <v>0.29928947410580065</v>
      </c>
      <c r="N59" s="14">
        <v>49.08</v>
      </c>
      <c r="O59" s="14">
        <v>1.589</v>
      </c>
      <c r="P59" s="14">
        <v>9.93</v>
      </c>
    </row>
    <row r="60" spans="1:16" x14ac:dyDescent="0.3">
      <c r="A60" s="14">
        <v>643</v>
      </c>
      <c r="B60" s="14" t="s">
        <v>21</v>
      </c>
      <c r="C60" s="14" t="s">
        <v>15</v>
      </c>
      <c r="D60" s="14" t="s">
        <v>19</v>
      </c>
      <c r="E60" s="14">
        <v>5</v>
      </c>
      <c r="F60" s="14" t="s">
        <v>17</v>
      </c>
      <c r="G60" s="14">
        <v>1</v>
      </c>
      <c r="H60" s="14">
        <v>18.286000000000001</v>
      </c>
      <c r="I60" s="14">
        <v>33.074483211199826</v>
      </c>
      <c r="J60" s="14">
        <v>6.91</v>
      </c>
      <c r="K60" s="14">
        <v>6.048</v>
      </c>
      <c r="L60" s="14">
        <f t="shared" si="0"/>
        <v>12.474674384949349</v>
      </c>
      <c r="M60" s="14">
        <f t="shared" si="1"/>
        <v>0.13324199890234664</v>
      </c>
      <c r="N60" s="14">
        <v>48.81</v>
      </c>
      <c r="O60" s="14">
        <v>1.097</v>
      </c>
      <c r="P60" s="14">
        <v>6.8579999999999997</v>
      </c>
    </row>
    <row r="61" spans="1:16" x14ac:dyDescent="0.3">
      <c r="A61" s="14">
        <v>647</v>
      </c>
      <c r="B61" s="14" t="s">
        <v>21</v>
      </c>
      <c r="C61" s="14" t="s">
        <v>15</v>
      </c>
      <c r="D61" s="14" t="s">
        <v>19</v>
      </c>
      <c r="E61" s="14">
        <v>3</v>
      </c>
      <c r="F61" s="14" t="s">
        <v>17</v>
      </c>
      <c r="G61" s="14">
        <v>1</v>
      </c>
      <c r="H61" s="14">
        <v>23.213999999999999</v>
      </c>
      <c r="I61" s="14">
        <v>24.02860342896528</v>
      </c>
      <c r="J61" s="14">
        <v>6.96</v>
      </c>
      <c r="K61" s="14">
        <v>5.5780000000000003</v>
      </c>
      <c r="L61" s="14">
        <f t="shared" si="0"/>
        <v>19.856321839080454</v>
      </c>
      <c r="M61" s="14">
        <f t="shared" si="1"/>
        <v>0.22134918514103108</v>
      </c>
      <c r="N61" s="14">
        <v>48.17</v>
      </c>
      <c r="O61" s="14">
        <v>1.796</v>
      </c>
      <c r="P61" s="14">
        <v>11.225</v>
      </c>
    </row>
    <row r="62" spans="1:16" x14ac:dyDescent="0.3">
      <c r="A62" s="7">
        <v>70</v>
      </c>
      <c r="B62" s="7" t="s">
        <v>14</v>
      </c>
      <c r="C62" s="7" t="s">
        <v>15</v>
      </c>
      <c r="D62" s="7" t="s">
        <v>16</v>
      </c>
      <c r="E62" s="7">
        <v>5</v>
      </c>
      <c r="F62" s="7" t="s">
        <v>22</v>
      </c>
      <c r="G62" s="7">
        <v>1</v>
      </c>
      <c r="H62" s="7">
        <v>18.289000000000001</v>
      </c>
      <c r="I62" s="7">
        <v>66.455246322926357</v>
      </c>
      <c r="J62" s="7">
        <v>7.01</v>
      </c>
      <c r="K62" s="7">
        <v>6.1349999999999998</v>
      </c>
      <c r="L62" s="7">
        <f t="shared" si="0"/>
        <v>12.482168330955778</v>
      </c>
      <c r="M62" s="7">
        <f t="shared" si="1"/>
        <v>0.13332762288362399</v>
      </c>
      <c r="N62" s="7">
        <v>48.51</v>
      </c>
      <c r="O62" s="7">
        <v>0.90200000000000002</v>
      </c>
      <c r="P62" s="7">
        <v>5.6369999999999996</v>
      </c>
    </row>
    <row r="63" spans="1:16" x14ac:dyDescent="0.3">
      <c r="A63" s="7">
        <v>73</v>
      </c>
      <c r="B63" s="7" t="s">
        <v>14</v>
      </c>
      <c r="C63" s="7" t="s">
        <v>18</v>
      </c>
      <c r="D63" s="7" t="s">
        <v>16</v>
      </c>
      <c r="E63" s="7">
        <v>5</v>
      </c>
      <c r="F63" s="7" t="s">
        <v>22</v>
      </c>
      <c r="G63" s="7">
        <v>1</v>
      </c>
      <c r="H63" s="7">
        <v>20.222000000000001</v>
      </c>
      <c r="I63" s="7">
        <v>69.968351300563754</v>
      </c>
      <c r="J63" s="7">
        <v>6.98</v>
      </c>
      <c r="K63" s="7">
        <v>6.0730000000000004</v>
      </c>
      <c r="L63" s="7">
        <f t="shared" si="0"/>
        <v>12.994269340974213</v>
      </c>
      <c r="M63" s="7">
        <f t="shared" si="1"/>
        <v>0.13919619985884277</v>
      </c>
      <c r="N63" s="7">
        <v>46.65</v>
      </c>
      <c r="O63" s="7">
        <v>1.073</v>
      </c>
      <c r="P63" s="7">
        <v>6.7080000000000002</v>
      </c>
    </row>
    <row r="64" spans="1:16" x14ac:dyDescent="0.3">
      <c r="A64" s="7">
        <v>80</v>
      </c>
      <c r="B64" s="7" t="s">
        <v>14</v>
      </c>
      <c r="C64" s="7" t="s">
        <v>15</v>
      </c>
      <c r="D64" s="7" t="s">
        <v>16</v>
      </c>
      <c r="E64" s="7">
        <v>4</v>
      </c>
      <c r="F64" s="7" t="s">
        <v>22</v>
      </c>
      <c r="G64" s="7">
        <v>1</v>
      </c>
      <c r="H64" s="7">
        <v>21.581</v>
      </c>
      <c r="I64" s="7">
        <v>72.364579954589686</v>
      </c>
      <c r="J64" s="7">
        <v>6.97</v>
      </c>
      <c r="K64" s="7">
        <v>5.9640000000000004</v>
      </c>
      <c r="L64" s="7">
        <f t="shared" si="0"/>
        <v>14.433285509325671</v>
      </c>
      <c r="M64" s="7">
        <f t="shared" si="1"/>
        <v>0.15587382786994047</v>
      </c>
      <c r="N64" s="7">
        <v>48.62</v>
      </c>
      <c r="O64" s="7">
        <v>0.91500000000000004</v>
      </c>
      <c r="P64" s="7">
        <v>5.7190000000000003</v>
      </c>
    </row>
    <row r="65" spans="1:16" x14ac:dyDescent="0.3">
      <c r="A65" s="7">
        <v>83</v>
      </c>
      <c r="B65" s="7" t="s">
        <v>14</v>
      </c>
      <c r="C65" s="7" t="s">
        <v>18</v>
      </c>
      <c r="D65" s="7" t="s">
        <v>16</v>
      </c>
      <c r="E65" s="7">
        <v>4</v>
      </c>
      <c r="F65" s="7" t="s">
        <v>22</v>
      </c>
      <c r="G65" s="7">
        <v>1</v>
      </c>
      <c r="H65" s="7">
        <v>21.952000000000002</v>
      </c>
      <c r="I65" s="7">
        <v>72.972849854227405</v>
      </c>
      <c r="J65" s="7">
        <v>7</v>
      </c>
      <c r="K65" s="7">
        <v>5.9329999999999998</v>
      </c>
      <c r="L65" s="7">
        <f t="shared" si="0"/>
        <v>15.242857142857144</v>
      </c>
      <c r="M65" s="7">
        <f t="shared" si="1"/>
        <v>0.16538016177880716</v>
      </c>
      <c r="N65" s="7">
        <v>48</v>
      </c>
      <c r="O65" s="7">
        <v>0.82699999999999996</v>
      </c>
      <c r="P65" s="7">
        <v>5.17</v>
      </c>
    </row>
    <row r="66" spans="1:16" x14ac:dyDescent="0.3">
      <c r="A66" s="7">
        <v>92</v>
      </c>
      <c r="B66" s="7" t="s">
        <v>14</v>
      </c>
      <c r="C66" s="7" t="s">
        <v>18</v>
      </c>
      <c r="D66" s="7" t="s">
        <v>16</v>
      </c>
      <c r="E66" s="7">
        <v>2</v>
      </c>
      <c r="F66" s="7" t="s">
        <v>22</v>
      </c>
      <c r="G66" s="7">
        <v>1</v>
      </c>
      <c r="H66" s="7">
        <v>8.6419999999999995</v>
      </c>
      <c r="I66" s="7">
        <v>30.571626938208745</v>
      </c>
      <c r="J66" s="7">
        <v>6.98</v>
      </c>
      <c r="K66" s="7">
        <v>6</v>
      </c>
      <c r="L66" s="7">
        <f t="shared" si="0"/>
        <v>14.040114613180521</v>
      </c>
      <c r="M66" s="7">
        <f t="shared" si="1"/>
        <v>0.15128944754622617</v>
      </c>
      <c r="N66" s="7">
        <v>48.12</v>
      </c>
      <c r="O66" s="7">
        <v>1.0189999999999999</v>
      </c>
      <c r="P66" s="7">
        <v>6.367</v>
      </c>
    </row>
    <row r="67" spans="1:16" x14ac:dyDescent="0.3">
      <c r="A67" s="7">
        <v>94</v>
      </c>
      <c r="B67" s="7" t="s">
        <v>14</v>
      </c>
      <c r="C67" s="7" t="s">
        <v>18</v>
      </c>
      <c r="D67" s="7" t="s">
        <v>16</v>
      </c>
      <c r="E67" s="7">
        <v>1</v>
      </c>
      <c r="F67" s="7" t="s">
        <v>22</v>
      </c>
      <c r="G67" s="7">
        <v>1</v>
      </c>
      <c r="H67" s="7">
        <v>23.768000000000001</v>
      </c>
      <c r="I67" s="7">
        <v>74.68024234264557</v>
      </c>
      <c r="J67" s="7">
        <v>7.05</v>
      </c>
      <c r="K67" s="7">
        <v>6.0179999999999998</v>
      </c>
      <c r="L67" s="7">
        <f t="shared" ref="L67:L130" si="2">((J67-K67)/J67)*100</f>
        <v>14.638297872340425</v>
      </c>
      <c r="M67" s="7">
        <f t="shared" ref="M67:M130" si="3">-LN((K67/J67)/G67)</f>
        <v>0.15827263861632376</v>
      </c>
      <c r="N67" s="7">
        <v>47.64</v>
      </c>
      <c r="O67" s="7">
        <v>1.117</v>
      </c>
      <c r="P67" s="7">
        <v>6.9809999999999999</v>
      </c>
    </row>
    <row r="68" spans="1:16" x14ac:dyDescent="0.3">
      <c r="A68" s="7">
        <v>98</v>
      </c>
      <c r="B68" s="7" t="s">
        <v>14</v>
      </c>
      <c r="C68" s="7" t="s">
        <v>18</v>
      </c>
      <c r="D68" s="7" t="s">
        <v>16</v>
      </c>
      <c r="E68" s="7">
        <v>3</v>
      </c>
      <c r="F68" s="7" t="s">
        <v>22</v>
      </c>
      <c r="G68" s="7">
        <v>1</v>
      </c>
      <c r="H68" s="7">
        <v>18.914000000000001</v>
      </c>
      <c r="I68" s="7">
        <v>69.186845722745062</v>
      </c>
      <c r="J68" s="7">
        <v>7</v>
      </c>
      <c r="K68" s="7">
        <v>5.8280000000000003</v>
      </c>
      <c r="L68" s="7">
        <f t="shared" si="2"/>
        <v>16.74285714285714</v>
      </c>
      <c r="M68" s="7">
        <f t="shared" si="3"/>
        <v>0.18323626072235483</v>
      </c>
      <c r="N68" s="7">
        <v>48.31</v>
      </c>
      <c r="O68" s="7">
        <v>1.0549999999999999</v>
      </c>
      <c r="P68" s="7">
        <v>6.5940000000000003</v>
      </c>
    </row>
    <row r="69" spans="1:16" x14ac:dyDescent="0.3">
      <c r="A69" s="7">
        <v>105</v>
      </c>
      <c r="B69" s="7" t="s">
        <v>14</v>
      </c>
      <c r="C69" s="7" t="s">
        <v>15</v>
      </c>
      <c r="D69" s="7" t="s">
        <v>16</v>
      </c>
      <c r="E69" s="7">
        <v>3</v>
      </c>
      <c r="F69" s="7" t="s">
        <v>22</v>
      </c>
      <c r="G69" s="7">
        <v>1</v>
      </c>
      <c r="H69" s="7">
        <v>16.603999999999999</v>
      </c>
      <c r="I69" s="7">
        <v>64.12912551192484</v>
      </c>
      <c r="J69" s="7">
        <v>6.98</v>
      </c>
      <c r="K69" s="7">
        <v>5.9560000000000004</v>
      </c>
      <c r="L69" s="7">
        <f t="shared" si="2"/>
        <v>14.670487106017191</v>
      </c>
      <c r="M69" s="7">
        <f t="shared" si="3"/>
        <v>0.15864980195251857</v>
      </c>
      <c r="N69" s="7">
        <v>47.44</v>
      </c>
      <c r="O69" s="7">
        <v>0.98799999999999999</v>
      </c>
      <c r="P69" s="7">
        <v>6.1769999999999996</v>
      </c>
    </row>
    <row r="70" spans="1:16" x14ac:dyDescent="0.3">
      <c r="A70" s="7">
        <v>107</v>
      </c>
      <c r="B70" s="7" t="s">
        <v>14</v>
      </c>
      <c r="C70" s="7" t="s">
        <v>15</v>
      </c>
      <c r="D70" s="7" t="s">
        <v>16</v>
      </c>
      <c r="E70" s="7">
        <v>1</v>
      </c>
      <c r="F70" s="7" t="s">
        <v>22</v>
      </c>
      <c r="G70" s="7">
        <v>1</v>
      </c>
      <c r="H70" s="7">
        <v>27.981000000000002</v>
      </c>
      <c r="I70" s="7">
        <v>79.271648618705541</v>
      </c>
      <c r="J70" s="7">
        <v>6.97</v>
      </c>
      <c r="K70" s="7">
        <v>5.8</v>
      </c>
      <c r="L70" s="7">
        <f t="shared" si="2"/>
        <v>16.786226685796269</v>
      </c>
      <c r="M70" s="7">
        <f t="shared" si="3"/>
        <v>0.18375730722005884</v>
      </c>
      <c r="N70" s="7">
        <v>48.22</v>
      </c>
      <c r="O70" s="7">
        <v>0.90300000000000002</v>
      </c>
      <c r="P70" s="7">
        <v>5.6459999999999999</v>
      </c>
    </row>
    <row r="71" spans="1:16" x14ac:dyDescent="0.3">
      <c r="A71" s="7">
        <v>108</v>
      </c>
      <c r="B71" s="7" t="s">
        <v>14</v>
      </c>
      <c r="C71" s="7" t="s">
        <v>15</v>
      </c>
      <c r="D71" s="7" t="s">
        <v>16</v>
      </c>
      <c r="E71" s="7">
        <v>2</v>
      </c>
      <c r="F71" s="7" t="s">
        <v>22</v>
      </c>
      <c r="G71" s="7">
        <v>1</v>
      </c>
      <c r="H71" s="7">
        <v>20.465</v>
      </c>
      <c r="I71" s="7">
        <v>70.965062301490349</v>
      </c>
      <c r="J71" s="7">
        <v>7.04</v>
      </c>
      <c r="K71" s="7">
        <v>5.9420000000000002</v>
      </c>
      <c r="L71" s="7">
        <f t="shared" si="2"/>
        <v>15.596590909090907</v>
      </c>
      <c r="M71" s="7">
        <f t="shared" si="3"/>
        <v>0.16956239312953506</v>
      </c>
      <c r="N71" s="7">
        <v>47.37</v>
      </c>
      <c r="O71" s="7">
        <v>1.0209999999999999</v>
      </c>
      <c r="P71" s="7">
        <v>6.3810000000000002</v>
      </c>
    </row>
    <row r="72" spans="1:16" x14ac:dyDescent="0.3">
      <c r="A72" s="7">
        <v>190</v>
      </c>
      <c r="B72" s="7" t="s">
        <v>14</v>
      </c>
      <c r="C72" s="7" t="s">
        <v>15</v>
      </c>
      <c r="D72" s="7" t="s">
        <v>19</v>
      </c>
      <c r="E72" s="7">
        <v>4</v>
      </c>
      <c r="F72" s="7" t="s">
        <v>22</v>
      </c>
      <c r="G72" s="7">
        <v>1</v>
      </c>
      <c r="H72" s="7">
        <v>19.683</v>
      </c>
      <c r="I72" s="7">
        <v>69.567647208250776</v>
      </c>
      <c r="J72" s="7">
        <v>7.03</v>
      </c>
      <c r="K72" s="7">
        <v>5.99</v>
      </c>
      <c r="L72" s="7">
        <f t="shared" si="2"/>
        <v>14.793741109530584</v>
      </c>
      <c r="M72" s="7">
        <f t="shared" si="3"/>
        <v>0.1600952936952155</v>
      </c>
      <c r="N72" s="7">
        <v>47.61</v>
      </c>
      <c r="O72" s="7">
        <v>0.71399999999999997</v>
      </c>
      <c r="P72" s="7">
        <v>4.4630000000000001</v>
      </c>
    </row>
    <row r="73" spans="1:16" x14ac:dyDescent="0.3">
      <c r="A73" s="7">
        <v>192</v>
      </c>
      <c r="B73" s="7" t="s">
        <v>14</v>
      </c>
      <c r="C73" s="7" t="s">
        <v>18</v>
      </c>
      <c r="D73" s="7" t="s">
        <v>19</v>
      </c>
      <c r="E73" s="7">
        <v>5</v>
      </c>
      <c r="F73" s="7" t="s">
        <v>22</v>
      </c>
      <c r="G73" s="7">
        <v>1</v>
      </c>
      <c r="H73" s="7">
        <v>17.946999999999999</v>
      </c>
      <c r="I73" s="7">
        <v>66.646236139744801</v>
      </c>
      <c r="J73" s="7">
        <v>6.98</v>
      </c>
      <c r="K73" s="7">
        <v>5.9859999999999998</v>
      </c>
      <c r="L73" s="7">
        <f t="shared" si="2"/>
        <v>14.240687679083102</v>
      </c>
      <c r="M73" s="7">
        <f t="shared" si="3"/>
        <v>0.15362550734377409</v>
      </c>
      <c r="N73" s="7">
        <v>48.72</v>
      </c>
      <c r="O73" s="7">
        <v>0.68600000000000005</v>
      </c>
      <c r="P73" s="7">
        <v>4.2859999999999996</v>
      </c>
    </row>
    <row r="74" spans="1:16" x14ac:dyDescent="0.3">
      <c r="A74" s="7">
        <v>196</v>
      </c>
      <c r="B74" s="7" t="s">
        <v>14</v>
      </c>
      <c r="C74" s="7" t="s">
        <v>18</v>
      </c>
      <c r="D74" s="7" t="s">
        <v>19</v>
      </c>
      <c r="E74" s="7">
        <v>3</v>
      </c>
      <c r="F74" s="7" t="s">
        <v>22</v>
      </c>
      <c r="G74" s="7">
        <v>1</v>
      </c>
      <c r="H74" s="7">
        <v>17.068999999999999</v>
      </c>
      <c r="I74" s="7">
        <v>64.22754701505653</v>
      </c>
      <c r="J74" s="7">
        <v>7.04</v>
      </c>
      <c r="K74" s="7">
        <v>6.1059999999999999</v>
      </c>
      <c r="L74" s="7">
        <f t="shared" si="2"/>
        <v>13.267045454545457</v>
      </c>
      <c r="M74" s="7">
        <f t="shared" si="3"/>
        <v>0.14233627585726494</v>
      </c>
      <c r="N74" s="7">
        <v>48.02</v>
      </c>
      <c r="O74" s="7">
        <v>0.69899999999999995</v>
      </c>
      <c r="P74" s="7">
        <v>4.3680000000000003</v>
      </c>
    </row>
    <row r="75" spans="1:16" x14ac:dyDescent="0.3">
      <c r="A75" s="7">
        <v>198</v>
      </c>
      <c r="B75" s="7" t="s">
        <v>14</v>
      </c>
      <c r="C75" s="7" t="s">
        <v>15</v>
      </c>
      <c r="D75" s="7" t="s">
        <v>19</v>
      </c>
      <c r="E75" s="7">
        <v>5</v>
      </c>
      <c r="F75" s="7" t="s">
        <v>22</v>
      </c>
      <c r="G75" s="7">
        <v>1</v>
      </c>
      <c r="H75" s="7">
        <v>15.196</v>
      </c>
      <c r="I75" s="7">
        <v>60.851539878915503</v>
      </c>
      <c r="J75" s="7">
        <v>6.96</v>
      </c>
      <c r="K75" s="7">
        <v>5.9489999999999998</v>
      </c>
      <c r="L75" s="7">
        <f t="shared" si="2"/>
        <v>14.52586206896552</v>
      </c>
      <c r="M75" s="7">
        <f t="shared" si="3"/>
        <v>0.15695633614055973</v>
      </c>
      <c r="N75" s="7">
        <v>47.45</v>
      </c>
      <c r="O75" s="7">
        <v>0.68400000000000005</v>
      </c>
      <c r="P75" s="7">
        <v>4.2729999999999997</v>
      </c>
    </row>
    <row r="76" spans="1:16" x14ac:dyDescent="0.3">
      <c r="A76" s="7">
        <v>209</v>
      </c>
      <c r="B76" s="7" t="s">
        <v>14</v>
      </c>
      <c r="C76" s="7" t="s">
        <v>18</v>
      </c>
      <c r="D76" s="7" t="s">
        <v>19</v>
      </c>
      <c r="E76" s="7">
        <v>1</v>
      </c>
      <c r="F76" s="7" t="s">
        <v>22</v>
      </c>
      <c r="G76" s="7">
        <v>1</v>
      </c>
      <c r="H76" s="7">
        <v>20.204999999999998</v>
      </c>
      <c r="I76" s="7">
        <v>70.106409304627576</v>
      </c>
      <c r="J76" s="7">
        <v>6.95</v>
      </c>
      <c r="K76" s="7">
        <v>6.04</v>
      </c>
      <c r="L76" s="7">
        <f t="shared" si="2"/>
        <v>13.093525179856117</v>
      </c>
      <c r="M76" s="7">
        <f t="shared" si="3"/>
        <v>0.14033764762997716</v>
      </c>
      <c r="N76" s="7">
        <v>47.32</v>
      </c>
      <c r="O76" s="7">
        <v>0.62</v>
      </c>
      <c r="P76" s="7">
        <v>3.8769999999999998</v>
      </c>
    </row>
    <row r="77" spans="1:16" x14ac:dyDescent="0.3">
      <c r="A77" s="7">
        <v>211</v>
      </c>
      <c r="B77" s="7" t="s">
        <v>14</v>
      </c>
      <c r="C77" s="7" t="s">
        <v>15</v>
      </c>
      <c r="D77" s="7" t="s">
        <v>19</v>
      </c>
      <c r="E77" s="7">
        <v>2</v>
      </c>
      <c r="F77" s="7" t="s">
        <v>22</v>
      </c>
      <c r="G77" s="7">
        <v>1</v>
      </c>
      <c r="H77" s="7">
        <v>17.018999999999998</v>
      </c>
      <c r="I77" s="7">
        <v>64.140078735530864</v>
      </c>
      <c r="J77" s="7">
        <v>7.07</v>
      </c>
      <c r="K77" s="7">
        <v>6.1029999999999998</v>
      </c>
      <c r="L77" s="7">
        <f t="shared" si="2"/>
        <v>13.677510608203686</v>
      </c>
      <c r="M77" s="7">
        <f t="shared" si="3"/>
        <v>0.14708002634612352</v>
      </c>
      <c r="N77" s="7">
        <v>47.89</v>
      </c>
      <c r="O77" s="7">
        <v>0.90400000000000003</v>
      </c>
      <c r="P77" s="7">
        <v>5.6479999999999997</v>
      </c>
    </row>
    <row r="78" spans="1:16" x14ac:dyDescent="0.3">
      <c r="A78" s="7">
        <v>212</v>
      </c>
      <c r="B78" s="7" t="s">
        <v>14</v>
      </c>
      <c r="C78" s="7" t="s">
        <v>18</v>
      </c>
      <c r="D78" s="7" t="s">
        <v>19</v>
      </c>
      <c r="E78" s="7">
        <v>4</v>
      </c>
      <c r="F78" s="7" t="s">
        <v>22</v>
      </c>
      <c r="G78" s="7">
        <v>1</v>
      </c>
      <c r="H78" s="7">
        <v>23.971</v>
      </c>
      <c r="I78" s="7">
        <v>75.411956113637302</v>
      </c>
      <c r="J78" s="7">
        <v>6.95</v>
      </c>
      <c r="K78" s="7">
        <v>5.8940000000000001</v>
      </c>
      <c r="L78" s="7">
        <f t="shared" si="2"/>
        <v>15.194244604316548</v>
      </c>
      <c r="M78" s="7">
        <f t="shared" si="3"/>
        <v>0.16480677526119775</v>
      </c>
      <c r="N78" s="7">
        <v>47.93</v>
      </c>
      <c r="O78" s="7">
        <v>0.81200000000000006</v>
      </c>
      <c r="P78" s="7">
        <v>5.077</v>
      </c>
    </row>
    <row r="79" spans="1:16" x14ac:dyDescent="0.3">
      <c r="A79" s="7">
        <v>222</v>
      </c>
      <c r="B79" s="7" t="s">
        <v>14</v>
      </c>
      <c r="C79" s="7" t="s">
        <v>15</v>
      </c>
      <c r="D79" s="7" t="s">
        <v>19</v>
      </c>
      <c r="E79" s="7">
        <v>3</v>
      </c>
      <c r="F79" s="7" t="s">
        <v>22</v>
      </c>
      <c r="G79" s="7">
        <v>1</v>
      </c>
      <c r="H79" s="7">
        <v>15.645</v>
      </c>
      <c r="I79" s="7">
        <v>61.035474592521567</v>
      </c>
      <c r="J79" s="7">
        <v>7.04</v>
      </c>
      <c r="K79" s="7">
        <v>6.0960000000000001</v>
      </c>
      <c r="L79" s="7">
        <f t="shared" si="2"/>
        <v>13.40909090909091</v>
      </c>
      <c r="M79" s="7">
        <f t="shared" si="3"/>
        <v>0.14397535178560583</v>
      </c>
      <c r="N79" s="7">
        <v>47.85</v>
      </c>
      <c r="O79" s="7">
        <v>0.92300000000000004</v>
      </c>
      <c r="P79" s="7">
        <v>5.7709999999999999</v>
      </c>
    </row>
    <row r="80" spans="1:16" x14ac:dyDescent="0.3">
      <c r="A80" s="7">
        <v>231</v>
      </c>
      <c r="B80" s="7" t="s">
        <v>14</v>
      </c>
      <c r="C80" s="7" t="s">
        <v>15</v>
      </c>
      <c r="D80" s="7" t="s">
        <v>19</v>
      </c>
      <c r="E80" s="7">
        <v>1</v>
      </c>
      <c r="F80" s="7" t="s">
        <v>22</v>
      </c>
      <c r="G80" s="7">
        <v>1</v>
      </c>
      <c r="H80" s="7">
        <v>23.359000000000002</v>
      </c>
      <c r="I80" s="7">
        <v>74.656449334303687</v>
      </c>
      <c r="J80" s="7">
        <v>6.94</v>
      </c>
      <c r="K80" s="7">
        <v>5.92</v>
      </c>
      <c r="L80" s="7">
        <f t="shared" si="2"/>
        <v>14.697406340057642</v>
      </c>
      <c r="M80" s="7">
        <f t="shared" si="3"/>
        <v>0.15896532562279886</v>
      </c>
      <c r="N80" s="7">
        <v>47.35</v>
      </c>
      <c r="O80" s="7">
        <v>0.67300000000000004</v>
      </c>
      <c r="P80" s="7">
        <v>4.2080000000000002</v>
      </c>
    </row>
    <row r="81" spans="1:16" x14ac:dyDescent="0.3">
      <c r="A81" s="7">
        <v>238</v>
      </c>
      <c r="B81" s="7" t="s">
        <v>14</v>
      </c>
      <c r="C81" s="7" t="s">
        <v>18</v>
      </c>
      <c r="D81" s="7" t="s">
        <v>19</v>
      </c>
      <c r="E81" s="7">
        <v>2</v>
      </c>
      <c r="F81" s="7" t="s">
        <v>22</v>
      </c>
      <c r="G81" s="7">
        <v>1</v>
      </c>
      <c r="H81" s="7">
        <v>21.952000000000002</v>
      </c>
      <c r="I81" s="7">
        <v>72.872631195335273</v>
      </c>
      <c r="J81" s="7">
        <v>7</v>
      </c>
      <c r="K81" s="7">
        <v>5.9550000000000001</v>
      </c>
      <c r="L81" s="7">
        <f t="shared" si="2"/>
        <v>14.928571428571427</v>
      </c>
      <c r="M81" s="7">
        <f t="shared" si="3"/>
        <v>0.16167894624804982</v>
      </c>
      <c r="N81" s="7">
        <v>47.99</v>
      </c>
      <c r="O81" s="7">
        <v>0.77</v>
      </c>
      <c r="P81" s="7">
        <v>4.8150000000000004</v>
      </c>
    </row>
    <row r="82" spans="1:16" x14ac:dyDescent="0.3">
      <c r="A82" s="7">
        <v>302</v>
      </c>
      <c r="B82" s="7" t="s">
        <v>20</v>
      </c>
      <c r="C82" s="7" t="s">
        <v>15</v>
      </c>
      <c r="D82" s="7" t="s">
        <v>16</v>
      </c>
      <c r="E82" s="7">
        <v>2</v>
      </c>
      <c r="F82" s="7" t="s">
        <v>22</v>
      </c>
      <c r="G82" s="7">
        <v>1</v>
      </c>
      <c r="H82" s="7">
        <v>27.716000000000001</v>
      </c>
      <c r="I82" s="7">
        <v>76.944725068552458</v>
      </c>
      <c r="J82" s="7">
        <v>7.02</v>
      </c>
      <c r="K82" s="7">
        <v>6.39</v>
      </c>
      <c r="L82" s="7">
        <f t="shared" si="2"/>
        <v>8.9743589743589727</v>
      </c>
      <c r="M82" s="7">
        <f t="shared" si="3"/>
        <v>9.4028949648276336E-2</v>
      </c>
      <c r="N82" s="7">
        <v>48.4</v>
      </c>
      <c r="O82" s="7">
        <v>1.097</v>
      </c>
      <c r="P82" s="7">
        <v>6.8559999999999999</v>
      </c>
    </row>
    <row r="83" spans="1:16" x14ac:dyDescent="0.3">
      <c r="A83" s="7">
        <v>307</v>
      </c>
      <c r="B83" s="7" t="s">
        <v>20</v>
      </c>
      <c r="C83" s="7" t="s">
        <v>15</v>
      </c>
      <c r="D83" s="7" t="s">
        <v>16</v>
      </c>
      <c r="E83" s="7">
        <v>4</v>
      </c>
      <c r="F83" s="7" t="s">
        <v>22</v>
      </c>
      <c r="G83" s="7">
        <v>1</v>
      </c>
      <c r="H83" s="7">
        <v>28.766999999999999</v>
      </c>
      <c r="I83" s="7">
        <v>78.45100288525046</v>
      </c>
      <c r="J83" s="7">
        <v>7</v>
      </c>
      <c r="K83" s="7">
        <v>6.1989999999999998</v>
      </c>
      <c r="L83" s="7">
        <f t="shared" si="2"/>
        <v>11.442857142857145</v>
      </c>
      <c r="M83" s="7">
        <f t="shared" si="3"/>
        <v>0.12152216033553097</v>
      </c>
      <c r="N83" s="7">
        <v>48.31</v>
      </c>
      <c r="O83" s="7">
        <v>1.3069999999999999</v>
      </c>
      <c r="P83" s="7">
        <v>8.1669999999999998</v>
      </c>
    </row>
    <row r="84" spans="1:16" x14ac:dyDescent="0.3">
      <c r="A84" s="7">
        <v>308</v>
      </c>
      <c r="B84" s="7" t="s">
        <v>20</v>
      </c>
      <c r="C84" s="7" t="s">
        <v>15</v>
      </c>
      <c r="D84" s="7" t="s">
        <v>16</v>
      </c>
      <c r="E84" s="7">
        <v>1</v>
      </c>
      <c r="F84" s="7" t="s">
        <v>22</v>
      </c>
      <c r="G84" s="7">
        <v>1</v>
      </c>
      <c r="H84" s="7">
        <v>24.562999999999999</v>
      </c>
      <c r="I84" s="7">
        <v>74.64071978178562</v>
      </c>
      <c r="J84" s="7">
        <v>7.03</v>
      </c>
      <c r="K84" s="7">
        <v>6.2290000000000001</v>
      </c>
      <c r="L84" s="7">
        <f t="shared" si="2"/>
        <v>11.394025604551922</v>
      </c>
      <c r="M84" s="7">
        <f t="shared" si="3"/>
        <v>0.12097089955056514</v>
      </c>
      <c r="N84" s="7">
        <v>48.51</v>
      </c>
      <c r="O84" s="7">
        <v>1.2909999999999999</v>
      </c>
      <c r="P84" s="7">
        <v>8.07</v>
      </c>
    </row>
    <row r="85" spans="1:16" x14ac:dyDescent="0.3">
      <c r="A85" s="7">
        <v>309</v>
      </c>
      <c r="B85" s="7" t="s">
        <v>20</v>
      </c>
      <c r="C85" s="7" t="s">
        <v>18</v>
      </c>
      <c r="D85" s="7" t="s">
        <v>16</v>
      </c>
      <c r="E85" s="7">
        <v>4</v>
      </c>
      <c r="F85" s="7" t="s">
        <v>22</v>
      </c>
      <c r="G85" s="7">
        <v>1</v>
      </c>
      <c r="H85" s="7">
        <v>23.59</v>
      </c>
      <c r="I85" s="7">
        <v>73.162356930902931</v>
      </c>
      <c r="J85" s="7">
        <v>6.98</v>
      </c>
      <c r="K85" s="7">
        <v>6.3310000000000004</v>
      </c>
      <c r="L85" s="7">
        <f t="shared" si="2"/>
        <v>9.2979942693409736</v>
      </c>
      <c r="M85" s="7">
        <f t="shared" si="3"/>
        <v>9.7590715212291582E-2</v>
      </c>
      <c r="N85" s="7">
        <v>48.03</v>
      </c>
      <c r="O85" s="7">
        <v>1.1950000000000001</v>
      </c>
      <c r="P85" s="7">
        <v>7.4720000000000004</v>
      </c>
    </row>
    <row r="86" spans="1:16" x14ac:dyDescent="0.3">
      <c r="A86" s="7">
        <v>330</v>
      </c>
      <c r="B86" s="7" t="s">
        <v>20</v>
      </c>
      <c r="C86" s="7" t="s">
        <v>18</v>
      </c>
      <c r="D86" s="7" t="s">
        <v>16</v>
      </c>
      <c r="E86" s="7">
        <v>1</v>
      </c>
      <c r="F86" s="7" t="s">
        <v>22</v>
      </c>
      <c r="G86" s="7">
        <v>1</v>
      </c>
      <c r="H86" s="7">
        <v>26.466999999999999</v>
      </c>
      <c r="I86" s="7">
        <v>76.415914157252416</v>
      </c>
      <c r="J86" s="7">
        <v>7</v>
      </c>
      <c r="K86" s="7">
        <v>6.242</v>
      </c>
      <c r="L86" s="7">
        <f t="shared" si="2"/>
        <v>10.828571428571429</v>
      </c>
      <c r="M86" s="7">
        <f t="shared" si="3"/>
        <v>0.11460950520672565</v>
      </c>
      <c r="N86" s="7">
        <v>47.99</v>
      </c>
      <c r="O86" s="7">
        <v>1.4930000000000001</v>
      </c>
      <c r="P86" s="7">
        <v>9.3309999999999995</v>
      </c>
    </row>
    <row r="87" spans="1:16" x14ac:dyDescent="0.3">
      <c r="A87" s="7">
        <v>342</v>
      </c>
      <c r="B87" s="7" t="s">
        <v>20</v>
      </c>
      <c r="C87" s="7" t="s">
        <v>18</v>
      </c>
      <c r="D87" s="7" t="s">
        <v>16</v>
      </c>
      <c r="E87" s="7">
        <v>3</v>
      </c>
      <c r="F87" s="7" t="s">
        <v>22</v>
      </c>
      <c r="G87" s="7">
        <v>1</v>
      </c>
      <c r="H87" s="7">
        <v>22.521000000000001</v>
      </c>
      <c r="I87" s="7">
        <v>71.910661160694474</v>
      </c>
      <c r="J87" s="7">
        <v>7.03</v>
      </c>
      <c r="K87" s="7">
        <v>6.3259999999999996</v>
      </c>
      <c r="L87" s="7">
        <f t="shared" si="2"/>
        <v>10.014224751066864</v>
      </c>
      <c r="M87" s="7">
        <f t="shared" si="3"/>
        <v>0.10551858093911658</v>
      </c>
      <c r="N87" s="7">
        <v>48.38</v>
      </c>
      <c r="O87" s="7">
        <v>0.83399999999999996</v>
      </c>
      <c r="P87" s="7">
        <v>5.2119999999999997</v>
      </c>
    </row>
    <row r="88" spans="1:16" x14ac:dyDescent="0.3">
      <c r="A88" s="7">
        <v>344</v>
      </c>
      <c r="B88" s="7" t="s">
        <v>20</v>
      </c>
      <c r="C88" s="7" t="s">
        <v>15</v>
      </c>
      <c r="D88" s="7" t="s">
        <v>16</v>
      </c>
      <c r="E88" s="7">
        <v>3</v>
      </c>
      <c r="F88" s="7" t="s">
        <v>22</v>
      </c>
      <c r="G88" s="7">
        <v>1</v>
      </c>
      <c r="H88" s="7">
        <v>22.056000000000001</v>
      </c>
      <c r="I88" s="7">
        <v>71.563293434893012</v>
      </c>
      <c r="J88" s="7">
        <v>7.03</v>
      </c>
      <c r="K88" s="7">
        <v>6.2720000000000002</v>
      </c>
      <c r="L88" s="7">
        <f t="shared" si="2"/>
        <v>10.782361308677098</v>
      </c>
      <c r="M88" s="7">
        <f t="shared" si="3"/>
        <v>0.11409142277446685</v>
      </c>
      <c r="N88" s="7">
        <v>47.72</v>
      </c>
      <c r="O88" s="7">
        <v>0.98899999999999999</v>
      </c>
      <c r="P88" s="7">
        <v>6.1779999999999999</v>
      </c>
    </row>
    <row r="89" spans="1:16" x14ac:dyDescent="0.3">
      <c r="A89" s="7">
        <v>349</v>
      </c>
      <c r="B89" s="7" t="s">
        <v>20</v>
      </c>
      <c r="C89" s="7" t="s">
        <v>18</v>
      </c>
      <c r="D89" s="7" t="s">
        <v>16</v>
      </c>
      <c r="E89" s="7">
        <v>5</v>
      </c>
      <c r="F89" s="7" t="s">
        <v>22</v>
      </c>
      <c r="G89" s="7">
        <v>1</v>
      </c>
      <c r="H89" s="7">
        <v>25.251999999999999</v>
      </c>
      <c r="I89" s="7">
        <v>75.130682718200532</v>
      </c>
      <c r="J89" s="7">
        <v>7.05</v>
      </c>
      <c r="K89" s="7">
        <v>6.28</v>
      </c>
      <c r="L89" s="7">
        <f t="shared" si="2"/>
        <v>10.921985815602831</v>
      </c>
      <c r="M89" s="7">
        <f t="shared" si="3"/>
        <v>0.11565763634406991</v>
      </c>
      <c r="N89" s="7">
        <v>48.01</v>
      </c>
      <c r="O89" s="7">
        <v>1.131</v>
      </c>
      <c r="P89" s="7">
        <v>7.0679999999999996</v>
      </c>
    </row>
    <row r="90" spans="1:16" x14ac:dyDescent="0.3">
      <c r="A90" s="7">
        <v>357</v>
      </c>
      <c r="B90" s="7" t="s">
        <v>20</v>
      </c>
      <c r="C90" s="7" t="s">
        <v>15</v>
      </c>
      <c r="D90" s="7" t="s">
        <v>16</v>
      </c>
      <c r="E90" s="7">
        <v>5</v>
      </c>
      <c r="F90" s="7" t="s">
        <v>22</v>
      </c>
      <c r="G90" s="7">
        <v>1</v>
      </c>
      <c r="H90" s="7">
        <v>27.899000000000001</v>
      </c>
      <c r="I90" s="7">
        <v>77.594179002831638</v>
      </c>
      <c r="J90" s="7">
        <v>6.97</v>
      </c>
      <c r="K90" s="7">
        <v>6.2510000000000003</v>
      </c>
      <c r="L90" s="7">
        <f t="shared" si="2"/>
        <v>10.315638450502144</v>
      </c>
      <c r="M90" s="7">
        <f t="shared" si="3"/>
        <v>0.10887377382275709</v>
      </c>
      <c r="N90" s="7">
        <v>49.9</v>
      </c>
      <c r="O90" s="7">
        <v>0.84899999999999998</v>
      </c>
      <c r="P90" s="7">
        <v>5.3090000000000002</v>
      </c>
    </row>
    <row r="91" spans="1:16" x14ac:dyDescent="0.3">
      <c r="A91" s="7">
        <v>359</v>
      </c>
      <c r="B91" s="7" t="s">
        <v>20</v>
      </c>
      <c r="C91" s="7" t="s">
        <v>18</v>
      </c>
      <c r="D91" s="7" t="s">
        <v>16</v>
      </c>
      <c r="E91" s="7">
        <v>2</v>
      </c>
      <c r="F91" s="7" t="s">
        <v>22</v>
      </c>
      <c r="G91" s="7">
        <v>1</v>
      </c>
      <c r="H91" s="7">
        <v>22.178999999999998</v>
      </c>
      <c r="I91" s="7">
        <v>72.230488299743001</v>
      </c>
      <c r="J91" s="7">
        <v>6.95</v>
      </c>
      <c r="K91" s="7">
        <v>6.1589999999999998</v>
      </c>
      <c r="L91" s="7">
        <f t="shared" si="2"/>
        <v>11.381294964028783</v>
      </c>
      <c r="M91" s="7">
        <f t="shared" si="3"/>
        <v>0.12082723287179467</v>
      </c>
      <c r="N91" s="7">
        <v>48.02</v>
      </c>
      <c r="O91" s="7">
        <v>0.82499999999999996</v>
      </c>
      <c r="P91" s="7">
        <v>5.1539999999999999</v>
      </c>
    </row>
    <row r="92" spans="1:16" x14ac:dyDescent="0.3">
      <c r="A92" s="7">
        <v>421</v>
      </c>
      <c r="B92" s="7" t="s">
        <v>20</v>
      </c>
      <c r="C92" s="7" t="s">
        <v>18</v>
      </c>
      <c r="D92" s="7" t="s">
        <v>19</v>
      </c>
      <c r="E92" s="7">
        <v>3</v>
      </c>
      <c r="F92" s="7" t="s">
        <v>22</v>
      </c>
      <c r="G92" s="7">
        <v>1</v>
      </c>
      <c r="H92" s="7">
        <v>15.962999999999999</v>
      </c>
      <c r="I92" s="7">
        <v>60.18292300945938</v>
      </c>
      <c r="J92" s="7">
        <v>6.92</v>
      </c>
      <c r="K92" s="7">
        <v>6.3559999999999999</v>
      </c>
      <c r="L92" s="7">
        <f t="shared" si="2"/>
        <v>8.1502890173410414</v>
      </c>
      <c r="M92" s="7">
        <f t="shared" si="3"/>
        <v>8.5016520955108643E-2</v>
      </c>
      <c r="N92" s="7">
        <v>47.45</v>
      </c>
      <c r="O92" s="7">
        <v>0.84399999999999997</v>
      </c>
      <c r="P92" s="7">
        <v>5.2729999999999997</v>
      </c>
    </row>
    <row r="93" spans="1:16" x14ac:dyDescent="0.3">
      <c r="A93" s="7">
        <v>428</v>
      </c>
      <c r="B93" s="7" t="s">
        <v>20</v>
      </c>
      <c r="C93" s="7" t="s">
        <v>15</v>
      </c>
      <c r="D93" s="7" t="s">
        <v>19</v>
      </c>
      <c r="E93" s="7">
        <v>2</v>
      </c>
      <c r="F93" s="7" t="s">
        <v>22</v>
      </c>
      <c r="G93" s="7">
        <v>1</v>
      </c>
      <c r="H93" s="7">
        <v>17.213000000000001</v>
      </c>
      <c r="I93" s="7">
        <v>62.807180619299366</v>
      </c>
      <c r="J93" s="7">
        <v>7.02</v>
      </c>
      <c r="K93" s="7">
        <v>6.4020000000000001</v>
      </c>
      <c r="L93" s="7">
        <f t="shared" si="2"/>
        <v>8.8034188034187952</v>
      </c>
      <c r="M93" s="7">
        <f t="shared" si="3"/>
        <v>9.2152776490048341E-2</v>
      </c>
      <c r="N93" s="7">
        <v>47.49</v>
      </c>
      <c r="O93" s="7">
        <v>0.91900000000000004</v>
      </c>
      <c r="P93" s="7">
        <v>5.7409999999999997</v>
      </c>
    </row>
    <row r="94" spans="1:16" x14ac:dyDescent="0.3">
      <c r="A94" s="7">
        <v>432</v>
      </c>
      <c r="B94" s="7" t="s">
        <v>20</v>
      </c>
      <c r="C94" s="7" t="s">
        <v>15</v>
      </c>
      <c r="D94" s="7" t="s">
        <v>19</v>
      </c>
      <c r="E94" s="7">
        <v>4</v>
      </c>
      <c r="F94" s="7" t="s">
        <v>22</v>
      </c>
      <c r="G94" s="7">
        <v>1</v>
      </c>
      <c r="H94" s="7">
        <v>20.782</v>
      </c>
      <c r="I94" s="7">
        <v>68.535270907516121</v>
      </c>
      <c r="J94" s="7">
        <v>6.98</v>
      </c>
      <c r="K94" s="7">
        <v>6.5389999999999997</v>
      </c>
      <c r="L94" s="7">
        <f t="shared" si="2"/>
        <v>6.3180515759312428</v>
      </c>
      <c r="M94" s="7">
        <f t="shared" si="3"/>
        <v>6.5264668195142275E-2</v>
      </c>
      <c r="N94" s="7">
        <v>47.81</v>
      </c>
      <c r="O94" s="7">
        <v>0.61099999999999999</v>
      </c>
      <c r="P94" s="7">
        <v>3.8210000000000002</v>
      </c>
    </row>
    <row r="95" spans="1:16" x14ac:dyDescent="0.3">
      <c r="A95" s="7">
        <v>437</v>
      </c>
      <c r="B95" s="7" t="s">
        <v>20</v>
      </c>
      <c r="C95" s="7" t="s">
        <v>15</v>
      </c>
      <c r="D95" s="7" t="s">
        <v>19</v>
      </c>
      <c r="E95" s="7">
        <v>5</v>
      </c>
      <c r="F95" s="7" t="s">
        <v>22</v>
      </c>
      <c r="G95" s="7">
        <v>1</v>
      </c>
      <c r="H95" s="7">
        <v>25.393000000000001</v>
      </c>
      <c r="I95" s="7">
        <v>74.496908596857409</v>
      </c>
      <c r="J95" s="7">
        <v>7.08</v>
      </c>
      <c r="K95" s="7">
        <v>6.476</v>
      </c>
      <c r="L95" s="7">
        <f t="shared" si="2"/>
        <v>8.5310734463276852</v>
      </c>
      <c r="M95" s="7">
        <f t="shared" si="3"/>
        <v>8.9170871890239728E-2</v>
      </c>
      <c r="N95" s="7">
        <v>47.42</v>
      </c>
      <c r="O95" s="7">
        <v>0.745</v>
      </c>
      <c r="P95" s="7">
        <v>4.6589999999999998</v>
      </c>
    </row>
    <row r="96" spans="1:16" x14ac:dyDescent="0.3">
      <c r="A96" s="7">
        <v>446</v>
      </c>
      <c r="B96" s="7" t="s">
        <v>20</v>
      </c>
      <c r="C96" s="7" t="s">
        <v>18</v>
      </c>
      <c r="D96" s="7" t="s">
        <v>19</v>
      </c>
      <c r="E96" s="7">
        <v>2</v>
      </c>
      <c r="F96" s="7" t="s">
        <v>22</v>
      </c>
      <c r="G96" s="7">
        <v>1</v>
      </c>
      <c r="H96" s="7">
        <v>18.815999999999999</v>
      </c>
      <c r="I96" s="7">
        <v>66.028911564625844</v>
      </c>
      <c r="J96" s="7">
        <v>6.93</v>
      </c>
      <c r="K96" s="7">
        <v>6.3920000000000003</v>
      </c>
      <c r="L96" s="7">
        <f t="shared" si="2"/>
        <v>7.7633477633477543</v>
      </c>
      <c r="M96" s="7">
        <f t="shared" si="3"/>
        <v>8.0812604737838176E-2</v>
      </c>
      <c r="N96" s="7">
        <v>47.2</v>
      </c>
      <c r="O96" s="7">
        <v>0.70699999999999996</v>
      </c>
      <c r="P96" s="7">
        <v>4.4180000000000001</v>
      </c>
    </row>
    <row r="97" spans="1:16" x14ac:dyDescent="0.3">
      <c r="A97" s="7">
        <v>449</v>
      </c>
      <c r="B97" s="7" t="s">
        <v>20</v>
      </c>
      <c r="C97" s="7" t="s">
        <v>18</v>
      </c>
      <c r="D97" s="7" t="s">
        <v>19</v>
      </c>
      <c r="E97" s="7">
        <v>1</v>
      </c>
      <c r="F97" s="7" t="s">
        <v>22</v>
      </c>
      <c r="G97" s="7">
        <v>1</v>
      </c>
      <c r="H97" s="7">
        <v>18.440000000000001</v>
      </c>
      <c r="I97" s="7">
        <v>65.0650759219089</v>
      </c>
      <c r="J97" s="7">
        <v>7.03</v>
      </c>
      <c r="K97" s="7">
        <v>6.4420000000000002</v>
      </c>
      <c r="L97" s="7">
        <f t="shared" si="2"/>
        <v>8.3641536273115236</v>
      </c>
      <c r="M97" s="7">
        <f t="shared" si="3"/>
        <v>8.7347654913566442E-2</v>
      </c>
      <c r="N97" s="7">
        <v>48.1</v>
      </c>
      <c r="O97" s="7">
        <v>0.82599999999999996</v>
      </c>
      <c r="P97" s="7">
        <v>5.1619999999999999</v>
      </c>
    </row>
    <row r="98" spans="1:16" x14ac:dyDescent="0.3">
      <c r="A98" s="7">
        <v>451</v>
      </c>
      <c r="B98" s="7" t="s">
        <v>20</v>
      </c>
      <c r="C98" s="7" t="s">
        <v>18</v>
      </c>
      <c r="D98" s="7" t="s">
        <v>19</v>
      </c>
      <c r="E98" s="7">
        <v>5</v>
      </c>
      <c r="F98" s="7" t="s">
        <v>22</v>
      </c>
      <c r="G98" s="7">
        <v>1</v>
      </c>
      <c r="H98" s="7">
        <v>21.248000000000001</v>
      </c>
      <c r="I98" s="7">
        <v>69.310052710843379</v>
      </c>
      <c r="J98" s="7">
        <v>7.01</v>
      </c>
      <c r="K98" s="7">
        <v>6.5209999999999999</v>
      </c>
      <c r="L98" s="7">
        <f t="shared" si="2"/>
        <v>6.9757489300998561</v>
      </c>
      <c r="M98" s="7">
        <f t="shared" si="3"/>
        <v>7.2309962635433489E-2</v>
      </c>
      <c r="N98" s="7">
        <v>47.99</v>
      </c>
      <c r="O98" s="7">
        <v>0.871</v>
      </c>
      <c r="P98" s="7">
        <v>5.4459999999999997</v>
      </c>
    </row>
    <row r="99" spans="1:16" x14ac:dyDescent="0.3">
      <c r="A99" s="7">
        <v>461</v>
      </c>
      <c r="B99" s="7" t="s">
        <v>20</v>
      </c>
      <c r="C99" s="7" t="s">
        <v>15</v>
      </c>
      <c r="D99" s="7" t="s">
        <v>19</v>
      </c>
      <c r="E99" s="7">
        <v>1</v>
      </c>
      <c r="F99" s="7" t="s">
        <v>22</v>
      </c>
      <c r="G99" s="7">
        <v>1</v>
      </c>
      <c r="H99" s="7">
        <v>21.41</v>
      </c>
      <c r="I99" s="7">
        <v>70.990191499299399</v>
      </c>
      <c r="J99" s="7">
        <v>6.95</v>
      </c>
      <c r="K99" s="7">
        <v>6.2110000000000003</v>
      </c>
      <c r="L99" s="7">
        <f t="shared" si="2"/>
        <v>10.633093525179854</v>
      </c>
      <c r="M99" s="7">
        <f t="shared" si="3"/>
        <v>0.11241974599953475</v>
      </c>
      <c r="N99" s="7">
        <v>47.39</v>
      </c>
      <c r="O99" s="7">
        <v>0.89100000000000001</v>
      </c>
      <c r="P99" s="7">
        <v>5.5679999999999996</v>
      </c>
    </row>
    <row r="100" spans="1:16" x14ac:dyDescent="0.3">
      <c r="A100" s="7">
        <v>465</v>
      </c>
      <c r="B100" s="7" t="s">
        <v>20</v>
      </c>
      <c r="C100" s="7" t="s">
        <v>18</v>
      </c>
      <c r="D100" s="7" t="s">
        <v>19</v>
      </c>
      <c r="E100" s="7">
        <v>4</v>
      </c>
      <c r="F100" s="7" t="s">
        <v>22</v>
      </c>
      <c r="G100" s="7">
        <v>1</v>
      </c>
      <c r="H100" s="7">
        <v>21.876000000000001</v>
      </c>
      <c r="I100" s="7">
        <v>71.050466264399347</v>
      </c>
      <c r="J100" s="7">
        <v>6.96</v>
      </c>
      <c r="K100" s="7">
        <v>6.3330000000000002</v>
      </c>
      <c r="L100" s="7">
        <f t="shared" si="2"/>
        <v>9.008620689655169</v>
      </c>
      <c r="M100" s="7">
        <f t="shared" si="3"/>
        <v>9.4405416812034973E-2</v>
      </c>
      <c r="N100" s="7">
        <v>48.69</v>
      </c>
      <c r="O100" s="7">
        <v>0.84199999999999997</v>
      </c>
      <c r="P100" s="7">
        <v>5.2610000000000001</v>
      </c>
    </row>
    <row r="101" spans="1:16" x14ac:dyDescent="0.3">
      <c r="A101" s="7">
        <v>468</v>
      </c>
      <c r="B101" s="7" t="s">
        <v>20</v>
      </c>
      <c r="C101" s="7" t="s">
        <v>15</v>
      </c>
      <c r="D101" s="7" t="s">
        <v>19</v>
      </c>
      <c r="E101" s="7">
        <v>3</v>
      </c>
      <c r="F101" s="7" t="s">
        <v>22</v>
      </c>
      <c r="G101" s="7">
        <v>1</v>
      </c>
      <c r="H101" s="7">
        <v>16.457999999999998</v>
      </c>
      <c r="I101" s="7">
        <v>61.33187507595089</v>
      </c>
      <c r="J101" s="7">
        <v>7.01</v>
      </c>
      <c r="K101" s="7">
        <v>6.3639999999999999</v>
      </c>
      <c r="L101" s="7">
        <f t="shared" si="2"/>
        <v>9.2154065620542074</v>
      </c>
      <c r="M101" s="7">
        <f t="shared" si="3"/>
        <v>9.6680590570958277E-2</v>
      </c>
      <c r="N101" s="7">
        <v>47.23</v>
      </c>
      <c r="O101" s="7">
        <v>0.72299999999999998</v>
      </c>
      <c r="P101" s="7">
        <v>4.5170000000000003</v>
      </c>
    </row>
    <row r="102" spans="1:16" x14ac:dyDescent="0.3">
      <c r="A102" s="7">
        <v>555</v>
      </c>
      <c r="B102" s="7" t="s">
        <v>21</v>
      </c>
      <c r="C102" s="7" t="s">
        <v>18</v>
      </c>
      <c r="D102" s="7" t="s">
        <v>16</v>
      </c>
      <c r="E102" s="7">
        <v>1</v>
      </c>
      <c r="F102" s="7" t="s">
        <v>22</v>
      </c>
      <c r="G102" s="7">
        <v>1</v>
      </c>
      <c r="H102" s="7">
        <v>14.757999999999999</v>
      </c>
      <c r="I102" s="7">
        <v>40.994714730993358</v>
      </c>
      <c r="J102" s="7">
        <v>6.95</v>
      </c>
      <c r="K102" s="7">
        <v>6.05</v>
      </c>
      <c r="L102" s="7">
        <f t="shared" si="2"/>
        <v>12.949640287769789</v>
      </c>
      <c r="M102" s="7">
        <f t="shared" si="3"/>
        <v>0.13868338753395076</v>
      </c>
      <c r="N102" s="7">
        <v>47.78</v>
      </c>
      <c r="O102" s="7">
        <v>0.79900000000000004</v>
      </c>
      <c r="P102" s="7">
        <v>4.9930000000000003</v>
      </c>
    </row>
    <row r="103" spans="1:16" x14ac:dyDescent="0.3">
      <c r="A103" s="7">
        <v>558</v>
      </c>
      <c r="B103" s="7" t="s">
        <v>21</v>
      </c>
      <c r="C103" s="7" t="s">
        <v>18</v>
      </c>
      <c r="D103" s="7" t="s">
        <v>19</v>
      </c>
      <c r="E103" s="7">
        <v>4</v>
      </c>
      <c r="F103" s="7" t="s">
        <v>22</v>
      </c>
      <c r="G103" s="7">
        <v>1</v>
      </c>
      <c r="H103" s="7">
        <v>27.637</v>
      </c>
      <c r="I103" s="7">
        <v>22.231067047798241</v>
      </c>
      <c r="J103" s="7">
        <v>6.94</v>
      </c>
      <c r="K103" s="7">
        <v>6.1440000000000001</v>
      </c>
      <c r="L103" s="7">
        <f t="shared" si="2"/>
        <v>11.469740634005767</v>
      </c>
      <c r="M103" s="7">
        <f t="shared" si="3"/>
        <v>0.1218257786733421</v>
      </c>
      <c r="N103" s="7">
        <v>46.92</v>
      </c>
      <c r="O103" s="7">
        <v>0.94599999999999995</v>
      </c>
      <c r="P103" s="7">
        <v>5.9109999999999996</v>
      </c>
    </row>
    <row r="104" spans="1:16" x14ac:dyDescent="0.3">
      <c r="A104" s="7">
        <v>559</v>
      </c>
      <c r="B104" s="7" t="s">
        <v>21</v>
      </c>
      <c r="C104" s="7" t="s">
        <v>15</v>
      </c>
      <c r="D104" s="7" t="s">
        <v>19</v>
      </c>
      <c r="E104" s="7">
        <v>4</v>
      </c>
      <c r="F104" s="7" t="s">
        <v>22</v>
      </c>
      <c r="G104" s="7">
        <v>1</v>
      </c>
      <c r="H104" s="7">
        <v>22.611999999999998</v>
      </c>
      <c r="I104" s="7">
        <v>27.755174243764376</v>
      </c>
      <c r="J104" s="7">
        <v>7.09</v>
      </c>
      <c r="K104" s="7">
        <v>6.2759999999999998</v>
      </c>
      <c r="L104" s="7">
        <f t="shared" si="2"/>
        <v>11.48095909732017</v>
      </c>
      <c r="M104" s="7">
        <f t="shared" si="3"/>
        <v>0.12195250567325004</v>
      </c>
      <c r="N104" s="7">
        <v>47.11</v>
      </c>
      <c r="O104" s="7">
        <v>1.0269999999999999</v>
      </c>
      <c r="P104" s="7">
        <v>6.4210000000000003</v>
      </c>
    </row>
    <row r="105" spans="1:16" x14ac:dyDescent="0.3">
      <c r="A105" s="7">
        <v>567</v>
      </c>
      <c r="B105" s="7" t="s">
        <v>21</v>
      </c>
      <c r="C105" s="7" t="s">
        <v>18</v>
      </c>
      <c r="D105" s="7" t="s">
        <v>16</v>
      </c>
      <c r="E105" s="7">
        <v>2</v>
      </c>
      <c r="F105" s="7" t="s">
        <v>22</v>
      </c>
      <c r="G105" s="7">
        <v>1</v>
      </c>
      <c r="H105" s="7">
        <v>23.297999999999998</v>
      </c>
      <c r="I105" s="7">
        <v>26.182504936046016</v>
      </c>
      <c r="J105" s="7">
        <v>7.02</v>
      </c>
      <c r="K105" s="7">
        <v>6.1</v>
      </c>
      <c r="L105" s="7">
        <f t="shared" si="2"/>
        <v>13.105413105413104</v>
      </c>
      <c r="M105" s="7">
        <f t="shared" si="3"/>
        <v>0.14047444685845425</v>
      </c>
      <c r="N105" s="7">
        <v>47.88</v>
      </c>
      <c r="O105" s="7">
        <v>0.875</v>
      </c>
      <c r="P105" s="7">
        <v>5.4720000000000004</v>
      </c>
    </row>
    <row r="106" spans="1:16" x14ac:dyDescent="0.3">
      <c r="A106" s="7">
        <v>575</v>
      </c>
      <c r="B106" s="7" t="s">
        <v>21</v>
      </c>
      <c r="C106" s="7" t="s">
        <v>18</v>
      </c>
      <c r="D106" s="7" t="s">
        <v>19</v>
      </c>
      <c r="E106" s="7">
        <v>3</v>
      </c>
      <c r="F106" s="7" t="s">
        <v>22</v>
      </c>
      <c r="G106" s="7">
        <v>1</v>
      </c>
      <c r="H106" s="7">
        <v>21.145</v>
      </c>
      <c r="I106" s="7">
        <v>28.890990777961694</v>
      </c>
      <c r="J106" s="7">
        <v>7.03</v>
      </c>
      <c r="K106" s="7">
        <v>6.109</v>
      </c>
      <c r="L106" s="7">
        <f t="shared" si="2"/>
        <v>13.100995732574683</v>
      </c>
      <c r="M106" s="7">
        <f t="shared" si="3"/>
        <v>0.14042361215494367</v>
      </c>
      <c r="N106" s="7">
        <v>47.12</v>
      </c>
      <c r="O106" s="7">
        <v>1.0029999999999999</v>
      </c>
      <c r="P106" s="7">
        <v>6.2679999999999998</v>
      </c>
    </row>
    <row r="107" spans="1:16" x14ac:dyDescent="0.3">
      <c r="A107" s="7">
        <v>577</v>
      </c>
      <c r="B107" s="7" t="s">
        <v>21</v>
      </c>
      <c r="C107" s="7" t="s">
        <v>15</v>
      </c>
      <c r="D107" s="7" t="s">
        <v>16</v>
      </c>
      <c r="E107" s="7">
        <v>1</v>
      </c>
      <c r="F107" s="7" t="s">
        <v>22</v>
      </c>
      <c r="G107" s="7">
        <v>1</v>
      </c>
      <c r="H107" s="7">
        <v>20.315999999999999</v>
      </c>
      <c r="I107" s="7">
        <v>30.084662335105339</v>
      </c>
      <c r="J107" s="7">
        <v>7.08</v>
      </c>
      <c r="K107" s="7">
        <v>6.1120000000000001</v>
      </c>
      <c r="L107" s="7">
        <f t="shared" si="2"/>
        <v>13.672316384180791</v>
      </c>
      <c r="M107" s="7">
        <f t="shared" si="3"/>
        <v>0.14701985584140906</v>
      </c>
      <c r="N107" s="7">
        <v>48.89</v>
      </c>
      <c r="O107" s="7">
        <v>0.93600000000000005</v>
      </c>
      <c r="P107" s="7">
        <v>5.8470000000000004</v>
      </c>
    </row>
    <row r="108" spans="1:16" x14ac:dyDescent="0.3">
      <c r="A108" s="7">
        <v>579</v>
      </c>
      <c r="B108" s="7" t="s">
        <v>21</v>
      </c>
      <c r="C108" s="7" t="s">
        <v>18</v>
      </c>
      <c r="D108" s="7" t="s">
        <v>16</v>
      </c>
      <c r="E108" s="7">
        <v>5</v>
      </c>
      <c r="F108" s="7" t="s">
        <v>22</v>
      </c>
      <c r="G108" s="7">
        <v>1</v>
      </c>
      <c r="H108" s="7">
        <v>21.105</v>
      </c>
      <c r="I108" s="7">
        <v>29.433783463634207</v>
      </c>
      <c r="J108" s="7">
        <v>7.03</v>
      </c>
      <c r="K108" s="7">
        <v>6.2119999999999997</v>
      </c>
      <c r="L108" s="7">
        <f t="shared" si="2"/>
        <v>11.635846372688485</v>
      </c>
      <c r="M108" s="7">
        <f t="shared" si="3"/>
        <v>0.12370380053613299</v>
      </c>
      <c r="N108" s="7">
        <v>48</v>
      </c>
      <c r="O108" s="7">
        <v>0.94199999999999995</v>
      </c>
      <c r="P108" s="7">
        <v>5.8879999999999999</v>
      </c>
    </row>
    <row r="109" spans="1:16" x14ac:dyDescent="0.3">
      <c r="A109" s="7">
        <v>590</v>
      </c>
      <c r="B109" s="7" t="s">
        <v>21</v>
      </c>
      <c r="C109" s="7" t="s">
        <v>15</v>
      </c>
      <c r="D109" s="7" t="s">
        <v>16</v>
      </c>
      <c r="E109" s="7">
        <v>2</v>
      </c>
      <c r="F109" s="7" t="s">
        <v>22</v>
      </c>
      <c r="G109" s="7">
        <v>1</v>
      </c>
      <c r="H109" s="7">
        <v>19.54</v>
      </c>
      <c r="I109" s="7">
        <v>32.354145342886383</v>
      </c>
      <c r="J109" s="7">
        <v>7.02</v>
      </c>
      <c r="K109" s="7">
        <v>6.3220000000000001</v>
      </c>
      <c r="L109" s="7">
        <f t="shared" si="2"/>
        <v>9.9430199430199373</v>
      </c>
      <c r="M109" s="7">
        <f t="shared" si="3"/>
        <v>0.1047276042442937</v>
      </c>
      <c r="N109" s="7">
        <v>48.19</v>
      </c>
      <c r="O109" s="7">
        <v>1.054</v>
      </c>
      <c r="P109" s="7">
        <v>6.5890000000000004</v>
      </c>
    </row>
    <row r="110" spans="1:16" x14ac:dyDescent="0.3">
      <c r="A110" s="7">
        <v>595</v>
      </c>
      <c r="B110" s="7" t="s">
        <v>21</v>
      </c>
      <c r="C110" s="7" t="s">
        <v>15</v>
      </c>
      <c r="D110" s="7" t="s">
        <v>16</v>
      </c>
      <c r="E110" s="7">
        <v>3</v>
      </c>
      <c r="F110" s="7" t="s">
        <v>22</v>
      </c>
      <c r="G110" s="7">
        <v>1</v>
      </c>
      <c r="H110" s="7">
        <v>23.844999999999999</v>
      </c>
      <c r="I110" s="7">
        <v>24.504088907527784</v>
      </c>
      <c r="J110" s="7">
        <v>6.95</v>
      </c>
      <c r="K110" s="7">
        <v>5.843</v>
      </c>
      <c r="L110" s="7">
        <f t="shared" si="2"/>
        <v>15.928057553956837</v>
      </c>
      <c r="M110" s="7">
        <f t="shared" si="3"/>
        <v>0.17349729600440089</v>
      </c>
      <c r="N110" s="7">
        <v>48.65</v>
      </c>
      <c r="O110" s="7">
        <v>1.006</v>
      </c>
      <c r="P110" s="7">
        <v>6.2889999999999997</v>
      </c>
    </row>
    <row r="111" spans="1:16" x14ac:dyDescent="0.3">
      <c r="A111" s="7">
        <v>596</v>
      </c>
      <c r="B111" s="7" t="s">
        <v>21</v>
      </c>
      <c r="C111" s="7" t="s">
        <v>15</v>
      </c>
      <c r="D111" s="7" t="s">
        <v>16</v>
      </c>
      <c r="E111" s="7">
        <v>2</v>
      </c>
      <c r="F111" s="7" t="s">
        <v>22</v>
      </c>
      <c r="G111" s="7">
        <v>1</v>
      </c>
      <c r="H111" s="7">
        <v>21.634</v>
      </c>
      <c r="I111" s="7">
        <v>29.051493020245911</v>
      </c>
      <c r="J111" s="7">
        <v>6.93</v>
      </c>
      <c r="K111" s="7">
        <v>6.2850000000000001</v>
      </c>
      <c r="L111" s="7">
        <f t="shared" si="2"/>
        <v>9.3073593073593024</v>
      </c>
      <c r="M111" s="7">
        <f t="shared" si="3"/>
        <v>9.7693971159601004E-2</v>
      </c>
      <c r="N111" s="7">
        <v>47.58</v>
      </c>
      <c r="O111" s="7">
        <v>1.0629999999999999</v>
      </c>
      <c r="P111" s="7">
        <v>6.641</v>
      </c>
    </row>
    <row r="112" spans="1:16" x14ac:dyDescent="0.3">
      <c r="A112" s="7">
        <v>661</v>
      </c>
      <c r="B112" s="7" t="s">
        <v>21</v>
      </c>
      <c r="C112" s="7" t="s">
        <v>15</v>
      </c>
      <c r="D112" s="7" t="s">
        <v>19</v>
      </c>
      <c r="E112" s="7">
        <v>3</v>
      </c>
      <c r="F112" s="7" t="s">
        <v>22</v>
      </c>
      <c r="G112" s="7">
        <v>1</v>
      </c>
      <c r="H112" s="7">
        <v>18.713000000000001</v>
      </c>
      <c r="I112" s="7">
        <v>33.260300325976594</v>
      </c>
      <c r="J112" s="7">
        <v>7.04</v>
      </c>
      <c r="K112" s="7">
        <v>6.2240000000000002</v>
      </c>
      <c r="L112" s="7">
        <f t="shared" si="2"/>
        <v>11.59090909090909</v>
      </c>
      <c r="M112" s="7">
        <f t="shared" si="3"/>
        <v>0.12319538329386048</v>
      </c>
      <c r="N112" s="7">
        <v>47.69</v>
      </c>
      <c r="O112" s="7">
        <v>0.78200000000000003</v>
      </c>
      <c r="P112" s="7">
        <v>4.8849999999999998</v>
      </c>
    </row>
    <row r="113" spans="1:16" x14ac:dyDescent="0.3">
      <c r="A113" s="7">
        <v>663</v>
      </c>
      <c r="B113" s="7" t="s">
        <v>21</v>
      </c>
      <c r="C113" s="7" t="s">
        <v>18</v>
      </c>
      <c r="D113" s="7" t="s">
        <v>19</v>
      </c>
      <c r="E113" s="7">
        <v>1</v>
      </c>
      <c r="F113" s="7" t="s">
        <v>22</v>
      </c>
      <c r="G113" s="7">
        <v>1</v>
      </c>
      <c r="H113" s="7">
        <v>16.286000000000001</v>
      </c>
      <c r="I113" s="7">
        <v>38.247574603954313</v>
      </c>
      <c r="J113" s="7">
        <v>7.03</v>
      </c>
      <c r="K113" s="7">
        <v>6.2290000000000001</v>
      </c>
      <c r="L113" s="7">
        <f t="shared" si="2"/>
        <v>11.394025604551922</v>
      </c>
      <c r="M113" s="7">
        <f t="shared" si="3"/>
        <v>0.12097089955056514</v>
      </c>
      <c r="N113" s="7">
        <v>48</v>
      </c>
      <c r="O113" s="7">
        <v>0.83499999999999996</v>
      </c>
      <c r="P113" s="7">
        <v>5.2190000000000003</v>
      </c>
    </row>
    <row r="114" spans="1:16" x14ac:dyDescent="0.3">
      <c r="A114" s="7">
        <v>669</v>
      </c>
      <c r="B114" s="7" t="s">
        <v>21</v>
      </c>
      <c r="C114" s="7" t="s">
        <v>15</v>
      </c>
      <c r="D114" s="7" t="s">
        <v>19</v>
      </c>
      <c r="E114" s="7">
        <v>1</v>
      </c>
      <c r="F114" s="7" t="s">
        <v>22</v>
      </c>
      <c r="G114" s="7">
        <v>1</v>
      </c>
      <c r="H114" s="7">
        <v>15.332000000000001</v>
      </c>
      <c r="I114" s="7">
        <v>39.838246804069918</v>
      </c>
      <c r="J114" s="7">
        <v>7.03</v>
      </c>
      <c r="K114" s="7">
        <v>6.1079999999999997</v>
      </c>
      <c r="L114" s="7">
        <f t="shared" si="2"/>
        <v>13.115220483641544</v>
      </c>
      <c r="M114" s="7">
        <f t="shared" si="3"/>
        <v>0.14058731846618761</v>
      </c>
      <c r="N114" s="7">
        <v>48.06</v>
      </c>
      <c r="O114" s="7">
        <v>0.85099999999999998</v>
      </c>
      <c r="P114" s="7">
        <v>5.3170000000000002</v>
      </c>
    </row>
    <row r="115" spans="1:16" x14ac:dyDescent="0.3">
      <c r="A115" s="7">
        <v>678</v>
      </c>
      <c r="B115" s="7" t="s">
        <v>21</v>
      </c>
      <c r="C115" s="7" t="s">
        <v>18</v>
      </c>
      <c r="D115" s="7" t="s">
        <v>16</v>
      </c>
      <c r="E115" s="7">
        <v>4</v>
      </c>
      <c r="F115" s="7" t="s">
        <v>22</v>
      </c>
      <c r="G115" s="7">
        <v>1</v>
      </c>
      <c r="H115" s="7">
        <v>18.283000000000001</v>
      </c>
      <c r="I115" s="7">
        <v>33.025214680304103</v>
      </c>
      <c r="J115" s="7">
        <v>7.02</v>
      </c>
      <c r="K115" s="7">
        <v>6.0380000000000003</v>
      </c>
      <c r="L115" s="7">
        <f t="shared" si="2"/>
        <v>13.988603988603979</v>
      </c>
      <c r="M115" s="7">
        <f t="shared" si="3"/>
        <v>0.15069038675307256</v>
      </c>
      <c r="N115" s="7">
        <v>48.29</v>
      </c>
      <c r="O115" s="7">
        <v>0.78300000000000003</v>
      </c>
      <c r="P115" s="7">
        <v>4.8920000000000003</v>
      </c>
    </row>
    <row r="116" spans="1:16" x14ac:dyDescent="0.3">
      <c r="A116" s="7">
        <v>684</v>
      </c>
      <c r="B116" s="7" t="s">
        <v>21</v>
      </c>
      <c r="C116" s="7" t="s">
        <v>15</v>
      </c>
      <c r="D116" s="7" t="s">
        <v>16</v>
      </c>
      <c r="E116" s="7">
        <v>4</v>
      </c>
      <c r="F116" s="7" t="s">
        <v>22</v>
      </c>
      <c r="G116" s="7">
        <v>1</v>
      </c>
      <c r="H116" s="7">
        <v>23.100999999999999</v>
      </c>
      <c r="I116" s="7">
        <v>26.15038310029869</v>
      </c>
      <c r="J116" s="7">
        <v>6.94</v>
      </c>
      <c r="K116" s="7">
        <v>6.0410000000000004</v>
      </c>
      <c r="L116" s="7">
        <f t="shared" si="2"/>
        <v>12.953890489913544</v>
      </c>
      <c r="M116" s="7">
        <f t="shared" si="3"/>
        <v>0.13873221336210892</v>
      </c>
      <c r="N116" s="7">
        <v>48.67</v>
      </c>
      <c r="O116" s="7">
        <v>0.84799999999999998</v>
      </c>
      <c r="P116" s="7">
        <v>5.2969999999999997</v>
      </c>
    </row>
    <row r="117" spans="1:16" x14ac:dyDescent="0.3">
      <c r="A117" s="7">
        <v>690</v>
      </c>
      <c r="B117" s="7" t="s">
        <v>21</v>
      </c>
      <c r="C117" s="7" t="s">
        <v>18</v>
      </c>
      <c r="D117" s="7" t="s">
        <v>19</v>
      </c>
      <c r="E117" s="7">
        <v>2</v>
      </c>
      <c r="F117" s="7" t="s">
        <v>22</v>
      </c>
      <c r="G117" s="7">
        <v>1</v>
      </c>
      <c r="H117" s="7">
        <v>18.225000000000001</v>
      </c>
      <c r="I117" s="7">
        <v>35.412894375857334</v>
      </c>
      <c r="J117" s="7">
        <v>7.04</v>
      </c>
      <c r="K117" s="7">
        <v>6.4539999999999997</v>
      </c>
      <c r="L117" s="7">
        <f t="shared" si="2"/>
        <v>8.3238636363636402</v>
      </c>
      <c r="M117" s="7">
        <f t="shared" si="3"/>
        <v>8.690807654018097E-2</v>
      </c>
      <c r="N117" s="7">
        <v>47.45</v>
      </c>
      <c r="O117" s="7">
        <v>0.79300000000000004</v>
      </c>
      <c r="P117" s="7">
        <v>4.9580000000000002</v>
      </c>
    </row>
    <row r="118" spans="1:16" x14ac:dyDescent="0.3">
      <c r="A118" s="7">
        <v>693</v>
      </c>
      <c r="B118" s="7" t="s">
        <v>21</v>
      </c>
      <c r="C118" s="7" t="s">
        <v>15</v>
      </c>
      <c r="D118" s="7" t="s">
        <v>19</v>
      </c>
      <c r="E118" s="7">
        <v>2</v>
      </c>
      <c r="F118" s="7" t="s">
        <v>22</v>
      </c>
      <c r="G118" s="7">
        <v>1</v>
      </c>
      <c r="H118" s="7">
        <v>17.565999999999999</v>
      </c>
      <c r="I118" s="7">
        <v>35.779346464761474</v>
      </c>
      <c r="J118" s="7">
        <v>6.94</v>
      </c>
      <c r="K118" s="7">
        <v>6.2850000000000001</v>
      </c>
      <c r="L118" s="7">
        <f t="shared" si="2"/>
        <v>9.438040345821328</v>
      </c>
      <c r="M118" s="7">
        <f t="shared" si="3"/>
        <v>9.9135932476502445E-2</v>
      </c>
      <c r="N118" s="7">
        <v>48.33</v>
      </c>
      <c r="O118" s="7">
        <v>0.77200000000000002</v>
      </c>
      <c r="P118" s="7">
        <v>4.8239999999999998</v>
      </c>
    </row>
    <row r="119" spans="1:16" x14ac:dyDescent="0.3">
      <c r="A119" s="7">
        <v>711</v>
      </c>
      <c r="B119" s="7" t="s">
        <v>21</v>
      </c>
      <c r="C119" s="7" t="s">
        <v>15</v>
      </c>
      <c r="D119" s="7" t="s">
        <v>19</v>
      </c>
      <c r="E119" s="7">
        <v>5</v>
      </c>
      <c r="F119" s="7" t="s">
        <v>22</v>
      </c>
      <c r="G119" s="7">
        <v>1</v>
      </c>
      <c r="H119" s="7">
        <v>24.475000000000001</v>
      </c>
      <c r="I119" s="7">
        <v>25.430030643513788</v>
      </c>
      <c r="J119" s="7">
        <v>7.06</v>
      </c>
      <c r="K119" s="7">
        <v>6.2240000000000002</v>
      </c>
      <c r="L119" s="7">
        <f t="shared" si="2"/>
        <v>11.841359773371098</v>
      </c>
      <c r="M119" s="7">
        <f t="shared" si="3"/>
        <v>0.12603226462906014</v>
      </c>
      <c r="N119" s="7">
        <v>47.17</v>
      </c>
      <c r="O119" s="7">
        <v>1.004</v>
      </c>
      <c r="P119" s="7">
        <v>6.2750000000000004</v>
      </c>
    </row>
    <row r="120" spans="1:16" x14ac:dyDescent="0.3">
      <c r="A120" s="7">
        <v>714</v>
      </c>
      <c r="B120" s="7" t="s">
        <v>21</v>
      </c>
      <c r="C120" s="7" t="s">
        <v>18</v>
      </c>
      <c r="D120" s="7" t="s">
        <v>16</v>
      </c>
      <c r="E120" s="7">
        <v>3</v>
      </c>
      <c r="F120" s="7" t="s">
        <v>22</v>
      </c>
      <c r="G120" s="7">
        <v>1</v>
      </c>
      <c r="H120" s="7">
        <v>20.472999999999999</v>
      </c>
      <c r="I120" s="7">
        <v>28.925902408049627</v>
      </c>
      <c r="J120" s="7">
        <v>7</v>
      </c>
      <c r="K120" s="7">
        <v>5.9219999999999997</v>
      </c>
      <c r="L120" s="7">
        <f t="shared" si="2"/>
        <v>15.400000000000006</v>
      </c>
      <c r="M120" s="7">
        <f t="shared" si="3"/>
        <v>0.16723591937591381</v>
      </c>
      <c r="N120" s="7">
        <v>45.9</v>
      </c>
      <c r="O120" s="7">
        <v>1.0620000000000001</v>
      </c>
      <c r="P120" s="7">
        <v>6.6349999999999998</v>
      </c>
    </row>
    <row r="121" spans="1:16" x14ac:dyDescent="0.3">
      <c r="A121" s="7">
        <v>717</v>
      </c>
      <c r="B121" s="7" t="s">
        <v>21</v>
      </c>
      <c r="C121" s="7" t="s">
        <v>18</v>
      </c>
      <c r="D121" s="7" t="s">
        <v>19</v>
      </c>
      <c r="E121" s="7">
        <v>5</v>
      </c>
      <c r="F121" s="7" t="s">
        <v>22</v>
      </c>
      <c r="G121" s="7">
        <v>1</v>
      </c>
      <c r="H121" s="7">
        <v>20.981999999999999</v>
      </c>
      <c r="I121" s="7">
        <v>29.687351062815747</v>
      </c>
      <c r="J121" s="7">
        <v>7.04</v>
      </c>
      <c r="K121" s="7">
        <v>6.2290000000000001</v>
      </c>
      <c r="L121" s="7">
        <f t="shared" si="2"/>
        <v>11.519886363636363</v>
      </c>
      <c r="M121" s="7">
        <f t="shared" si="3"/>
        <v>0.1223923638979426</v>
      </c>
      <c r="N121" s="7">
        <v>48.17</v>
      </c>
      <c r="O121" s="7">
        <v>0.77100000000000002</v>
      </c>
      <c r="P121" s="7">
        <v>4.8209999999999997</v>
      </c>
    </row>
    <row r="122" spans="1:16" x14ac:dyDescent="0.3">
      <c r="A122" s="8">
        <v>4</v>
      </c>
      <c r="B122" s="8" t="s">
        <v>14</v>
      </c>
      <c r="C122" s="8" t="s">
        <v>18</v>
      </c>
      <c r="D122" s="8" t="s">
        <v>16</v>
      </c>
      <c r="E122" s="8">
        <v>4</v>
      </c>
      <c r="F122" s="8" t="s">
        <v>17</v>
      </c>
      <c r="G122" s="8">
        <v>2</v>
      </c>
      <c r="H122" s="8">
        <v>7.9046000000000003</v>
      </c>
      <c r="I122" s="8">
        <v>29.429699162512975</v>
      </c>
      <c r="J122" s="8">
        <v>7.03</v>
      </c>
      <c r="K122" s="8">
        <v>5.5782999999999996</v>
      </c>
      <c r="L122" s="8">
        <f t="shared" si="2"/>
        <v>20.650071123755342</v>
      </c>
      <c r="M122" s="8">
        <f t="shared" si="3"/>
        <v>0.92444981590564024</v>
      </c>
      <c r="N122" s="8">
        <v>47.93</v>
      </c>
      <c r="O122" s="8">
        <v>0.91700000000000004</v>
      </c>
      <c r="P122" s="8">
        <v>5.7309999999999999</v>
      </c>
    </row>
    <row r="123" spans="1:16" x14ac:dyDescent="0.3">
      <c r="A123" s="8">
        <v>8</v>
      </c>
      <c r="B123" s="8" t="s">
        <v>14</v>
      </c>
      <c r="C123" s="8" t="s">
        <v>15</v>
      </c>
      <c r="D123" s="8" t="s">
        <v>16</v>
      </c>
      <c r="E123" s="8">
        <v>3</v>
      </c>
      <c r="F123" s="8" t="s">
        <v>17</v>
      </c>
      <c r="G123" s="8">
        <v>2</v>
      </c>
      <c r="H123" s="8">
        <v>6.7068000000000003</v>
      </c>
      <c r="I123" s="8">
        <v>16.459414325758935</v>
      </c>
      <c r="J123" s="8">
        <v>6.93</v>
      </c>
      <c r="K123" s="8">
        <v>5.6029</v>
      </c>
      <c r="L123" s="8">
        <f t="shared" si="2"/>
        <v>19.150072150072148</v>
      </c>
      <c r="M123" s="8">
        <f t="shared" si="3"/>
        <v>0.90572267291953235</v>
      </c>
      <c r="N123" s="8">
        <v>47.54</v>
      </c>
      <c r="O123" s="8">
        <v>0.85799999999999998</v>
      </c>
      <c r="P123" s="8">
        <v>5.3650000000000002</v>
      </c>
    </row>
    <row r="124" spans="1:16" x14ac:dyDescent="0.3">
      <c r="A124" s="8">
        <v>13</v>
      </c>
      <c r="B124" s="8" t="s">
        <v>14</v>
      </c>
      <c r="C124" s="8" t="s">
        <v>18</v>
      </c>
      <c r="D124" s="8" t="s">
        <v>16</v>
      </c>
      <c r="E124" s="8">
        <v>2</v>
      </c>
      <c r="F124" s="8" t="s">
        <v>17</v>
      </c>
      <c r="G124" s="8">
        <v>2</v>
      </c>
      <c r="H124" s="8">
        <v>7.4600999999999997</v>
      </c>
      <c r="I124" s="8">
        <v>23.242315786651645</v>
      </c>
      <c r="J124" s="8">
        <v>6.99</v>
      </c>
      <c r="K124" s="8">
        <v>5.7262000000000004</v>
      </c>
      <c r="L124" s="8">
        <f t="shared" si="2"/>
        <v>18.080114449213159</v>
      </c>
      <c r="M124" s="8">
        <f t="shared" si="3"/>
        <v>0.89257560234293654</v>
      </c>
      <c r="N124" s="8">
        <v>47.8</v>
      </c>
      <c r="O124" s="8">
        <v>0.746</v>
      </c>
      <c r="P124" s="8">
        <v>4.6630000000000003</v>
      </c>
    </row>
    <row r="125" spans="1:16" x14ac:dyDescent="0.3">
      <c r="A125" s="8">
        <v>28</v>
      </c>
      <c r="B125" s="8" t="s">
        <v>14</v>
      </c>
      <c r="C125" s="8" t="s">
        <v>15</v>
      </c>
      <c r="D125" s="8" t="s">
        <v>16</v>
      </c>
      <c r="E125" s="8">
        <v>2</v>
      </c>
      <c r="F125" s="8" t="s">
        <v>17</v>
      </c>
      <c r="G125" s="8">
        <v>2</v>
      </c>
      <c r="H125" s="8">
        <v>6.9678000000000004</v>
      </c>
      <c r="I125" s="8">
        <v>19.033267315364963</v>
      </c>
      <c r="J125" s="8">
        <v>7.03</v>
      </c>
      <c r="K125" s="8">
        <v>5.6416000000000004</v>
      </c>
      <c r="L125" s="8">
        <f t="shared" si="2"/>
        <v>19.749644381223323</v>
      </c>
      <c r="M125" s="8">
        <f t="shared" si="3"/>
        <v>0.91316617316110482</v>
      </c>
      <c r="N125" s="8">
        <v>47.5</v>
      </c>
      <c r="O125" s="8">
        <v>0.93700000000000006</v>
      </c>
      <c r="P125" s="8">
        <v>5.8540000000000001</v>
      </c>
    </row>
    <row r="126" spans="1:16" x14ac:dyDescent="0.3">
      <c r="A126" s="8">
        <v>30</v>
      </c>
      <c r="B126" s="8" t="s">
        <v>14</v>
      </c>
      <c r="C126" s="8" t="s">
        <v>18</v>
      </c>
      <c r="D126" s="8" t="s">
        <v>16</v>
      </c>
      <c r="E126" s="8">
        <v>1</v>
      </c>
      <c r="F126" s="8" t="s">
        <v>17</v>
      </c>
      <c r="G126" s="8">
        <v>2</v>
      </c>
      <c r="H126" s="8">
        <v>6.8299000000000003</v>
      </c>
      <c r="I126" s="8">
        <v>19.602043953791416</v>
      </c>
      <c r="J126" s="8">
        <v>7</v>
      </c>
      <c r="K126" s="8">
        <v>5.4911000000000003</v>
      </c>
      <c r="L126" s="8">
        <f t="shared" si="2"/>
        <v>21.555714285714281</v>
      </c>
      <c r="M126" s="8">
        <f t="shared" si="3"/>
        <v>0.93592872986533959</v>
      </c>
      <c r="N126" s="8">
        <v>47.87</v>
      </c>
      <c r="O126" s="8">
        <v>0.89500000000000002</v>
      </c>
      <c r="P126" s="8">
        <v>5.5940000000000003</v>
      </c>
    </row>
    <row r="127" spans="1:16" x14ac:dyDescent="0.3">
      <c r="A127" s="8">
        <v>32</v>
      </c>
      <c r="B127" s="8" t="s">
        <v>14</v>
      </c>
      <c r="C127" s="8" t="s">
        <v>15</v>
      </c>
      <c r="D127" s="8" t="s">
        <v>16</v>
      </c>
      <c r="E127" s="8">
        <v>4</v>
      </c>
      <c r="F127" s="8" t="s">
        <v>17</v>
      </c>
      <c r="G127" s="8">
        <v>2</v>
      </c>
      <c r="H127" s="8">
        <v>7.5350000000000001</v>
      </c>
      <c r="I127" s="8">
        <v>24.549435965494361</v>
      </c>
      <c r="J127" s="8">
        <v>6.9699999999999989</v>
      </c>
      <c r="K127" s="8">
        <v>5.6852</v>
      </c>
      <c r="L127" s="8">
        <f t="shared" si="2"/>
        <v>18.433285509325668</v>
      </c>
      <c r="M127" s="8">
        <f t="shared" si="3"/>
        <v>0.89689609844965801</v>
      </c>
      <c r="N127" s="8">
        <v>47.7</v>
      </c>
      <c r="O127" s="8">
        <v>0.96099999999999997</v>
      </c>
      <c r="P127" s="8">
        <v>6.008</v>
      </c>
    </row>
    <row r="128" spans="1:16" x14ac:dyDescent="0.3">
      <c r="A128" s="8">
        <v>33</v>
      </c>
      <c r="B128" s="8" t="s">
        <v>14</v>
      </c>
      <c r="C128" s="8" t="s">
        <v>15</v>
      </c>
      <c r="D128" s="8" t="s">
        <v>16</v>
      </c>
      <c r="E128" s="8">
        <v>1</v>
      </c>
      <c r="F128" s="8" t="s">
        <v>17</v>
      </c>
      <c r="G128" s="8">
        <v>2</v>
      </c>
      <c r="H128" s="8">
        <v>6.8251999999999997</v>
      </c>
      <c r="I128" s="8">
        <v>15.24057903065111</v>
      </c>
      <c r="J128" s="8">
        <v>6.9499999999999993</v>
      </c>
      <c r="K128" s="8">
        <v>5.7850000000000001</v>
      </c>
      <c r="L128" s="8">
        <f t="shared" si="2"/>
        <v>16.762589928057544</v>
      </c>
      <c r="M128" s="8">
        <f t="shared" si="3"/>
        <v>0.87662047949100608</v>
      </c>
      <c r="N128" s="8">
        <v>47.6</v>
      </c>
      <c r="O128" s="8">
        <v>1.01</v>
      </c>
      <c r="P128" s="8">
        <v>6.3120000000000003</v>
      </c>
    </row>
    <row r="129" spans="1:16" x14ac:dyDescent="0.3">
      <c r="A129" s="8">
        <v>37</v>
      </c>
      <c r="B129" s="8" t="s">
        <v>14</v>
      </c>
      <c r="C129" s="8" t="s">
        <v>18</v>
      </c>
      <c r="D129" s="8" t="s">
        <v>16</v>
      </c>
      <c r="E129" s="8">
        <v>3</v>
      </c>
      <c r="F129" s="8" t="s">
        <v>17</v>
      </c>
      <c r="G129" s="8">
        <v>2</v>
      </c>
      <c r="H129" s="8">
        <v>6.8631000000000002</v>
      </c>
      <c r="I129" s="8">
        <v>18.456674097710948</v>
      </c>
      <c r="J129" s="8">
        <v>6.9200000000000008</v>
      </c>
      <c r="K129" s="8">
        <v>5.5964</v>
      </c>
      <c r="L129" s="8">
        <f t="shared" si="2"/>
        <v>19.127167630057812</v>
      </c>
      <c r="M129" s="8">
        <f t="shared" si="3"/>
        <v>0.90543941631252989</v>
      </c>
      <c r="N129" s="8">
        <v>46.22</v>
      </c>
      <c r="O129" s="8">
        <v>0.90500000000000003</v>
      </c>
      <c r="P129" s="8">
        <v>5.657</v>
      </c>
    </row>
    <row r="130" spans="1:16" x14ac:dyDescent="0.3">
      <c r="A130" s="8">
        <v>55</v>
      </c>
      <c r="B130" s="8" t="s">
        <v>14</v>
      </c>
      <c r="C130" s="8" t="s">
        <v>15</v>
      </c>
      <c r="D130" s="8" t="s">
        <v>16</v>
      </c>
      <c r="E130" s="8">
        <v>5</v>
      </c>
      <c r="F130" s="8" t="s">
        <v>17</v>
      </c>
      <c r="G130" s="8">
        <v>2</v>
      </c>
      <c r="H130" s="8">
        <v>6.9166999999999996</v>
      </c>
      <c r="I130" s="8">
        <v>17.780155276360116</v>
      </c>
      <c r="J130" s="8">
        <v>7.0600000000000005</v>
      </c>
      <c r="K130" s="8">
        <v>5.6868999999999996</v>
      </c>
      <c r="L130" s="8">
        <f t="shared" si="2"/>
        <v>19.449008498583581</v>
      </c>
      <c r="M130" s="8">
        <f t="shared" si="3"/>
        <v>0.90942694785845857</v>
      </c>
      <c r="N130" s="8">
        <v>48.69</v>
      </c>
      <c r="O130" s="8">
        <v>0.96799999999999997</v>
      </c>
      <c r="P130" s="8">
        <v>6.05</v>
      </c>
    </row>
    <row r="131" spans="1:16" x14ac:dyDescent="0.3">
      <c r="A131" s="8">
        <v>56</v>
      </c>
      <c r="B131" s="8" t="s">
        <v>14</v>
      </c>
      <c r="C131" s="8" t="s">
        <v>18</v>
      </c>
      <c r="D131" s="8" t="s">
        <v>16</v>
      </c>
      <c r="E131" s="8">
        <v>5</v>
      </c>
      <c r="F131" s="8" t="s">
        <v>17</v>
      </c>
      <c r="G131" s="8">
        <v>2</v>
      </c>
      <c r="H131" s="8">
        <v>83847</v>
      </c>
      <c r="I131" s="8">
        <v>99.993526423127847</v>
      </c>
      <c r="J131" s="8">
        <v>6.94</v>
      </c>
      <c r="K131" s="8">
        <v>5.4279000000000002</v>
      </c>
      <c r="L131" s="8">
        <f t="shared" ref="L131:L194" si="4">((J131-K131)/J131)*100</f>
        <v>21.788184438040346</v>
      </c>
      <c r="M131" s="8">
        <f t="shared" ref="M131:M194" si="5">-LN((K131/J131)/G131)</f>
        <v>0.93889663626763509</v>
      </c>
      <c r="N131" s="8">
        <v>46.89</v>
      </c>
      <c r="O131" s="8">
        <v>0.90600000000000003</v>
      </c>
      <c r="P131" s="8">
        <v>5.6619999999999999</v>
      </c>
    </row>
    <row r="132" spans="1:16" x14ac:dyDescent="0.3">
      <c r="A132" s="8">
        <v>131</v>
      </c>
      <c r="B132" s="8" t="s">
        <v>14</v>
      </c>
      <c r="C132" s="8" t="s">
        <v>15</v>
      </c>
      <c r="D132" s="8" t="s">
        <v>19</v>
      </c>
      <c r="E132" s="8">
        <v>5</v>
      </c>
      <c r="F132" s="8" t="s">
        <v>17</v>
      </c>
      <c r="G132" s="8">
        <v>2</v>
      </c>
      <c r="H132" s="8">
        <v>6.9288999999999996</v>
      </c>
      <c r="I132" s="8">
        <v>17.278355871783397</v>
      </c>
      <c r="J132" s="8">
        <v>7.01</v>
      </c>
      <c r="K132" s="8">
        <v>5.7317</v>
      </c>
      <c r="L132" s="8">
        <f t="shared" si="4"/>
        <v>18.235378031383735</v>
      </c>
      <c r="M132" s="8">
        <f t="shared" si="5"/>
        <v>0.89447271076315238</v>
      </c>
      <c r="N132" s="8">
        <v>49.29</v>
      </c>
      <c r="O132" s="8">
        <v>0.77800000000000002</v>
      </c>
      <c r="P132" s="8">
        <v>4.8600000000000003</v>
      </c>
    </row>
    <row r="133" spans="1:16" x14ac:dyDescent="0.3">
      <c r="A133" s="8">
        <v>134</v>
      </c>
      <c r="B133" s="8" t="s">
        <v>14</v>
      </c>
      <c r="C133" s="8" t="s">
        <v>18</v>
      </c>
      <c r="D133" s="8" t="s">
        <v>19</v>
      </c>
      <c r="E133" s="8">
        <v>3</v>
      </c>
      <c r="F133" s="8" t="s">
        <v>17</v>
      </c>
      <c r="G133" s="8">
        <v>2</v>
      </c>
      <c r="H133" s="8">
        <v>7.0986000000000002</v>
      </c>
      <c r="I133" s="8">
        <v>17.394979291691318</v>
      </c>
      <c r="J133" s="8">
        <v>7.01</v>
      </c>
      <c r="K133" s="8">
        <v>5.8638000000000003</v>
      </c>
      <c r="L133" s="8">
        <f t="shared" si="4"/>
        <v>16.350927246790292</v>
      </c>
      <c r="M133" s="8">
        <f t="shared" si="5"/>
        <v>0.87168702401573595</v>
      </c>
      <c r="N133" s="8">
        <v>47.77</v>
      </c>
      <c r="O133" s="8">
        <v>0.71</v>
      </c>
      <c r="P133" s="8">
        <v>4.4370000000000003</v>
      </c>
    </row>
    <row r="134" spans="1:16" x14ac:dyDescent="0.3">
      <c r="A134" s="8">
        <v>136</v>
      </c>
      <c r="B134" s="8" t="s">
        <v>14</v>
      </c>
      <c r="C134" s="8" t="s">
        <v>18</v>
      </c>
      <c r="D134" s="8" t="s">
        <v>19</v>
      </c>
      <c r="E134" s="8">
        <v>5</v>
      </c>
      <c r="F134" s="8" t="s">
        <v>17</v>
      </c>
      <c r="G134" s="8">
        <v>2</v>
      </c>
      <c r="H134" s="8">
        <v>8.2467000000000006</v>
      </c>
      <c r="I134" s="8">
        <v>30.122351971091472</v>
      </c>
      <c r="J134" s="8">
        <v>7.04</v>
      </c>
      <c r="K134" s="8">
        <v>5.7625999999999999</v>
      </c>
      <c r="L134" s="8">
        <f t="shared" si="4"/>
        <v>18.144886363636363</v>
      </c>
      <c r="M134" s="8">
        <f t="shared" si="5"/>
        <v>0.89336658897852539</v>
      </c>
      <c r="N134" s="8">
        <v>47.39</v>
      </c>
      <c r="O134" s="8">
        <v>0.8</v>
      </c>
      <c r="P134" s="8">
        <v>4.9969999999999999</v>
      </c>
    </row>
    <row r="135" spans="1:16" x14ac:dyDescent="0.3">
      <c r="A135" s="8">
        <v>141</v>
      </c>
      <c r="B135" s="8" t="s">
        <v>14</v>
      </c>
      <c r="C135" s="8" t="s">
        <v>18</v>
      </c>
      <c r="D135" s="8" t="s">
        <v>19</v>
      </c>
      <c r="E135" s="8">
        <v>4</v>
      </c>
      <c r="F135" s="8" t="s">
        <v>17</v>
      </c>
      <c r="G135" s="8">
        <v>2</v>
      </c>
      <c r="H135" s="8">
        <v>6.6052</v>
      </c>
      <c r="I135" s="8">
        <v>17.27729667534669</v>
      </c>
      <c r="J135" s="8">
        <v>7.01</v>
      </c>
      <c r="K135" s="8">
        <v>5.4640000000000004</v>
      </c>
      <c r="L135" s="8">
        <f t="shared" si="4"/>
        <v>22.054208273894428</v>
      </c>
      <c r="M135" s="8">
        <f t="shared" si="5"/>
        <v>0.94230375933795496</v>
      </c>
      <c r="N135" s="8">
        <v>46.92</v>
      </c>
      <c r="O135" s="8">
        <v>0.71299999999999997</v>
      </c>
      <c r="P135" s="8">
        <v>4.4569999999999999</v>
      </c>
    </row>
    <row r="136" spans="1:16" x14ac:dyDescent="0.3">
      <c r="A136" s="8">
        <v>145</v>
      </c>
      <c r="B136" s="8" t="s">
        <v>14</v>
      </c>
      <c r="C136" s="8" t="s">
        <v>15</v>
      </c>
      <c r="D136" s="8" t="s">
        <v>19</v>
      </c>
      <c r="E136" s="8">
        <v>4</v>
      </c>
      <c r="F136" s="8" t="s">
        <v>17</v>
      </c>
      <c r="G136" s="8">
        <v>2</v>
      </c>
      <c r="H136" s="8">
        <v>8.1168999999999993</v>
      </c>
      <c r="I136" s="8">
        <v>28.117877514814765</v>
      </c>
      <c r="J136" s="8">
        <v>7.07</v>
      </c>
      <c r="K136" s="8">
        <v>5.8346</v>
      </c>
      <c r="L136" s="8">
        <f t="shared" si="4"/>
        <v>17.473833097595477</v>
      </c>
      <c r="M136" s="8">
        <f t="shared" si="5"/>
        <v>0.8852019489220232</v>
      </c>
      <c r="N136" s="8">
        <v>47.3</v>
      </c>
      <c r="O136" s="8">
        <v>0.68</v>
      </c>
      <c r="P136" s="8">
        <v>4.2510000000000003</v>
      </c>
    </row>
    <row r="137" spans="1:16" x14ac:dyDescent="0.3">
      <c r="A137" s="8">
        <v>146</v>
      </c>
      <c r="B137" s="8" t="s">
        <v>14</v>
      </c>
      <c r="C137" s="8" t="s">
        <v>15</v>
      </c>
      <c r="D137" s="8" t="s">
        <v>19</v>
      </c>
      <c r="E137" s="8">
        <v>3</v>
      </c>
      <c r="F137" s="8" t="s">
        <v>17</v>
      </c>
      <c r="G137" s="8">
        <v>2</v>
      </c>
      <c r="H137" s="8">
        <v>6.8513000000000002</v>
      </c>
      <c r="I137" s="8">
        <v>15.36350765548144</v>
      </c>
      <c r="J137" s="8">
        <v>7.06</v>
      </c>
      <c r="K137" s="8">
        <v>5.7987000000000002</v>
      </c>
      <c r="L137" s="8">
        <f t="shared" si="4"/>
        <v>17.865439093484412</v>
      </c>
      <c r="M137" s="8">
        <f t="shared" si="5"/>
        <v>0.88995847756641688</v>
      </c>
      <c r="N137" s="8">
        <v>47.74</v>
      </c>
      <c r="O137" s="8">
        <v>0.71799999999999997</v>
      </c>
      <c r="P137" s="8">
        <v>4.4850000000000003</v>
      </c>
    </row>
    <row r="138" spans="1:16" x14ac:dyDescent="0.3">
      <c r="A138" s="8">
        <v>160</v>
      </c>
      <c r="B138" s="8" t="s">
        <v>14</v>
      </c>
      <c r="C138" s="8" t="s">
        <v>15</v>
      </c>
      <c r="D138" s="8" t="s">
        <v>19</v>
      </c>
      <c r="E138" s="8">
        <v>2</v>
      </c>
      <c r="F138" s="8" t="s">
        <v>17</v>
      </c>
      <c r="G138" s="8">
        <v>2</v>
      </c>
      <c r="H138" s="8">
        <v>7.8555000000000001</v>
      </c>
      <c r="I138" s="8">
        <v>27.141493221309915</v>
      </c>
      <c r="J138" s="8">
        <v>7.02</v>
      </c>
      <c r="K138" s="8">
        <v>5.7233999999999998</v>
      </c>
      <c r="L138" s="8">
        <f t="shared" si="4"/>
        <v>18.470085470085468</v>
      </c>
      <c r="M138" s="8">
        <f t="shared" si="5"/>
        <v>0.89734736420058459</v>
      </c>
      <c r="N138" s="8">
        <v>47.34</v>
      </c>
      <c r="O138" s="8">
        <v>0.69899999999999995</v>
      </c>
      <c r="P138" s="8">
        <v>4.3689999999999998</v>
      </c>
    </row>
    <row r="139" spans="1:16" x14ac:dyDescent="0.3">
      <c r="A139" s="8">
        <v>169</v>
      </c>
      <c r="B139" s="8" t="s">
        <v>14</v>
      </c>
      <c r="C139" s="8" t="s">
        <v>18</v>
      </c>
      <c r="D139" s="8" t="s">
        <v>19</v>
      </c>
      <c r="E139" s="8">
        <v>1</v>
      </c>
      <c r="F139" s="8" t="s">
        <v>17</v>
      </c>
      <c r="G139" s="8">
        <v>2</v>
      </c>
      <c r="H139" s="8">
        <v>8.1526999999999994</v>
      </c>
      <c r="I139" s="8">
        <v>28.264256013345268</v>
      </c>
      <c r="J139" s="8">
        <v>6.99</v>
      </c>
      <c r="K139" s="8">
        <v>5.8483999999999998</v>
      </c>
      <c r="L139" s="8">
        <f t="shared" si="4"/>
        <v>16.331902718168816</v>
      </c>
      <c r="M139" s="8">
        <f t="shared" si="5"/>
        <v>0.87145961724451848</v>
      </c>
      <c r="N139" s="8">
        <v>47.87</v>
      </c>
      <c r="O139" s="8">
        <v>0.73499999999999999</v>
      </c>
      <c r="P139" s="8">
        <v>4.5960000000000001</v>
      </c>
    </row>
    <row r="140" spans="1:16" x14ac:dyDescent="0.3">
      <c r="A140" s="8">
        <v>171</v>
      </c>
      <c r="B140" s="8" t="s">
        <v>14</v>
      </c>
      <c r="C140" s="8" t="s">
        <v>15</v>
      </c>
      <c r="D140" s="8" t="s">
        <v>19</v>
      </c>
      <c r="E140" s="8">
        <v>1</v>
      </c>
      <c r="F140" s="8" t="s">
        <v>17</v>
      </c>
      <c r="G140" s="8">
        <v>2</v>
      </c>
      <c r="H140" s="8">
        <v>7.1483999999999996</v>
      </c>
      <c r="I140" s="8">
        <v>17.943875552571196</v>
      </c>
      <c r="J140" s="8">
        <v>6.96</v>
      </c>
      <c r="K140" s="8">
        <v>5.8657000000000004</v>
      </c>
      <c r="L140" s="8">
        <f t="shared" si="4"/>
        <v>15.72270114942528</v>
      </c>
      <c r="M140" s="8">
        <f t="shared" si="5"/>
        <v>0.86420482783406705</v>
      </c>
      <c r="N140" s="8">
        <v>47.7</v>
      </c>
      <c r="O140" s="8">
        <v>0.76400000000000001</v>
      </c>
      <c r="P140" s="8">
        <v>4.7759999999999998</v>
      </c>
    </row>
    <row r="141" spans="1:16" x14ac:dyDescent="0.3">
      <c r="A141" s="8">
        <v>179</v>
      </c>
      <c r="B141" s="8" t="s">
        <v>14</v>
      </c>
      <c r="C141" s="8" t="s">
        <v>18</v>
      </c>
      <c r="D141" s="8" t="s">
        <v>19</v>
      </c>
      <c r="E141" s="8">
        <v>2</v>
      </c>
      <c r="F141" s="8" t="s">
        <v>17</v>
      </c>
      <c r="G141" s="8">
        <v>2</v>
      </c>
      <c r="H141" s="8">
        <v>7.8971999999999998</v>
      </c>
      <c r="I141" s="8">
        <v>29.388897330699486</v>
      </c>
      <c r="J141" s="8">
        <v>6.97</v>
      </c>
      <c r="K141" s="8">
        <v>5.5762999999999998</v>
      </c>
      <c r="L141" s="8">
        <f t="shared" si="4"/>
        <v>19.995695839311335</v>
      </c>
      <c r="M141" s="8">
        <f t="shared" si="5"/>
        <v>0.91623693131282291</v>
      </c>
      <c r="N141" s="8">
        <v>47.2</v>
      </c>
      <c r="O141" s="8">
        <v>0.748</v>
      </c>
      <c r="P141" s="8">
        <v>4.6769999999999996</v>
      </c>
    </row>
    <row r="142" spans="1:16" x14ac:dyDescent="0.3">
      <c r="A142" s="8">
        <v>242</v>
      </c>
      <c r="B142" s="8" t="s">
        <v>20</v>
      </c>
      <c r="C142" s="8" t="s">
        <v>15</v>
      </c>
      <c r="D142" s="8" t="s">
        <v>16</v>
      </c>
      <c r="E142" s="8">
        <v>5</v>
      </c>
      <c r="F142" s="8" t="s">
        <v>17</v>
      </c>
      <c r="G142" s="8">
        <v>2</v>
      </c>
      <c r="H142" s="8">
        <v>11.480499999999999</v>
      </c>
      <c r="I142" s="8">
        <v>49.559688166891682</v>
      </c>
      <c r="J142" s="8">
        <v>6.95</v>
      </c>
      <c r="K142" s="8">
        <v>5.7907999999999999</v>
      </c>
      <c r="L142" s="8">
        <f t="shared" si="4"/>
        <v>16.679136690647482</v>
      </c>
      <c r="M142" s="8">
        <f t="shared" si="5"/>
        <v>0.87561838883889476</v>
      </c>
      <c r="N142" s="8">
        <v>47.72</v>
      </c>
      <c r="O142" s="8">
        <v>1.0620000000000001</v>
      </c>
      <c r="P142" s="8">
        <v>6.6349999999999998</v>
      </c>
    </row>
    <row r="143" spans="1:16" x14ac:dyDescent="0.3">
      <c r="A143" s="8">
        <v>249</v>
      </c>
      <c r="B143" s="8" t="s">
        <v>20</v>
      </c>
      <c r="C143" s="8" t="s">
        <v>18</v>
      </c>
      <c r="D143" s="8" t="s">
        <v>16</v>
      </c>
      <c r="E143" s="8">
        <v>5</v>
      </c>
      <c r="F143" s="8" t="s">
        <v>17</v>
      </c>
      <c r="G143" s="8">
        <v>2</v>
      </c>
      <c r="H143" s="8">
        <v>14.1335</v>
      </c>
      <c r="I143" s="8">
        <v>58.611808823009156</v>
      </c>
      <c r="J143" s="8">
        <v>7.12</v>
      </c>
      <c r="K143" s="8">
        <v>5.8495999999999997</v>
      </c>
      <c r="L143" s="8">
        <f t="shared" si="4"/>
        <v>17.842696629213489</v>
      </c>
      <c r="M143" s="8">
        <f t="shared" si="5"/>
        <v>0.88968162314619059</v>
      </c>
      <c r="N143" s="8">
        <v>47.15</v>
      </c>
      <c r="O143" s="8">
        <v>1.2030000000000001</v>
      </c>
      <c r="P143" s="8">
        <v>7.52</v>
      </c>
    </row>
    <row r="144" spans="1:16" x14ac:dyDescent="0.3">
      <c r="A144" s="8">
        <v>254</v>
      </c>
      <c r="B144" s="8" t="s">
        <v>20</v>
      </c>
      <c r="C144" s="8" t="s">
        <v>18</v>
      </c>
      <c r="D144" s="8" t="s">
        <v>16</v>
      </c>
      <c r="E144" s="8">
        <v>3</v>
      </c>
      <c r="F144" s="8" t="s">
        <v>17</v>
      </c>
      <c r="G144" s="8">
        <v>2</v>
      </c>
      <c r="H144" s="8">
        <v>6.8921000000000001</v>
      </c>
      <c r="I144" s="8">
        <v>15.700584727441571</v>
      </c>
      <c r="J144" s="8">
        <v>6.95</v>
      </c>
      <c r="K144" s="8">
        <v>5.81</v>
      </c>
      <c r="L144" s="8">
        <f t="shared" si="4"/>
        <v>16.402877697841735</v>
      </c>
      <c r="M144" s="8">
        <f t="shared" si="5"/>
        <v>0.87230826927282634</v>
      </c>
      <c r="N144" s="8">
        <v>47.9</v>
      </c>
      <c r="O144" s="8">
        <v>1.175</v>
      </c>
      <c r="P144" s="8">
        <v>7.343</v>
      </c>
    </row>
    <row r="145" spans="1:16" x14ac:dyDescent="0.3">
      <c r="A145" s="8">
        <v>265</v>
      </c>
      <c r="B145" s="8" t="s">
        <v>20</v>
      </c>
      <c r="C145" s="8" t="s">
        <v>18</v>
      </c>
      <c r="D145" s="8" t="s">
        <v>16</v>
      </c>
      <c r="E145" s="8">
        <v>4</v>
      </c>
      <c r="F145" s="8" t="s">
        <v>17</v>
      </c>
      <c r="G145" s="8">
        <v>2</v>
      </c>
      <c r="H145" s="8">
        <v>9.1104000000000003</v>
      </c>
      <c r="I145" s="8">
        <v>35.850237091675453</v>
      </c>
      <c r="J145" s="8">
        <v>7.0399999999999991</v>
      </c>
      <c r="K145" s="8">
        <v>5.8442999999999996</v>
      </c>
      <c r="L145" s="8">
        <f t="shared" si="4"/>
        <v>16.984374999999996</v>
      </c>
      <c r="M145" s="8">
        <f t="shared" si="5"/>
        <v>0.87928852345676523</v>
      </c>
      <c r="N145" s="8">
        <v>47.97</v>
      </c>
      <c r="O145" s="8">
        <v>1.1559999999999999</v>
      </c>
      <c r="P145" s="8">
        <v>7.2240000000000002</v>
      </c>
    </row>
    <row r="146" spans="1:16" x14ac:dyDescent="0.3">
      <c r="A146" s="8">
        <v>272</v>
      </c>
      <c r="B146" s="8" t="s">
        <v>20</v>
      </c>
      <c r="C146" s="8" t="s">
        <v>15</v>
      </c>
      <c r="D146" s="8" t="s">
        <v>16</v>
      </c>
      <c r="E146" s="8">
        <v>3</v>
      </c>
      <c r="F146" s="8" t="s">
        <v>17</v>
      </c>
      <c r="G146" s="8">
        <v>2</v>
      </c>
      <c r="H146" s="8">
        <v>8.3759999999999994</v>
      </c>
      <c r="I146" s="8">
        <v>31.245224450811843</v>
      </c>
      <c r="J146" s="8">
        <v>7.0699999999999994</v>
      </c>
      <c r="K146" s="8">
        <v>5.7588999999999997</v>
      </c>
      <c r="L146" s="8">
        <f t="shared" si="4"/>
        <v>18.544554455445542</v>
      </c>
      <c r="M146" s="8">
        <f t="shared" si="5"/>
        <v>0.89826117622036572</v>
      </c>
      <c r="N146" s="8">
        <v>47.49</v>
      </c>
      <c r="O146" s="8">
        <v>1.202</v>
      </c>
      <c r="P146" s="8">
        <v>7.5140000000000002</v>
      </c>
    </row>
    <row r="147" spans="1:16" x14ac:dyDescent="0.3">
      <c r="A147" s="8">
        <v>280</v>
      </c>
      <c r="B147" s="8" t="s">
        <v>20</v>
      </c>
      <c r="C147" s="8" t="s">
        <v>18</v>
      </c>
      <c r="D147" s="8" t="s">
        <v>16</v>
      </c>
      <c r="E147" s="8">
        <v>2</v>
      </c>
      <c r="F147" s="8" t="s">
        <v>17</v>
      </c>
      <c r="G147" s="8">
        <v>2</v>
      </c>
      <c r="H147" s="8">
        <v>8.4754000000000005</v>
      </c>
      <c r="I147" s="8">
        <v>33.761238407626784</v>
      </c>
      <c r="J147" s="8">
        <v>7</v>
      </c>
      <c r="K147" s="8">
        <v>5.6139999999999999</v>
      </c>
      <c r="L147" s="8">
        <f t="shared" si="4"/>
        <v>19.8</v>
      </c>
      <c r="M147" s="8">
        <f t="shared" si="5"/>
        <v>0.91379385167556793</v>
      </c>
      <c r="N147" s="8">
        <v>47.59</v>
      </c>
      <c r="O147" s="8">
        <v>1.0529999999999999</v>
      </c>
      <c r="P147" s="8">
        <v>6.5839999999999996</v>
      </c>
    </row>
    <row r="148" spans="1:16" x14ac:dyDescent="0.3">
      <c r="A148" s="8">
        <v>285</v>
      </c>
      <c r="B148" s="8" t="s">
        <v>20</v>
      </c>
      <c r="C148" s="8" t="s">
        <v>15</v>
      </c>
      <c r="D148" s="8" t="s">
        <v>16</v>
      </c>
      <c r="E148" s="8">
        <v>2</v>
      </c>
      <c r="F148" s="8" t="s">
        <v>17</v>
      </c>
      <c r="G148" s="8">
        <v>2</v>
      </c>
      <c r="H148" s="8">
        <v>6.9785000000000004</v>
      </c>
      <c r="I148" s="8">
        <v>16.665472522748445</v>
      </c>
      <c r="J148" s="8">
        <v>7.04</v>
      </c>
      <c r="K148" s="8">
        <v>5.8155000000000001</v>
      </c>
      <c r="L148" s="8">
        <f t="shared" si="4"/>
        <v>17.393465909090907</v>
      </c>
      <c r="M148" s="8">
        <f t="shared" si="5"/>
        <v>0.8842285839329399</v>
      </c>
      <c r="N148" s="8">
        <v>48.32</v>
      </c>
      <c r="O148" s="8">
        <v>1.143</v>
      </c>
      <c r="P148" s="8">
        <v>7.1440000000000001</v>
      </c>
    </row>
    <row r="149" spans="1:16" x14ac:dyDescent="0.3">
      <c r="A149" s="8">
        <v>292</v>
      </c>
      <c r="B149" s="8" t="s">
        <v>20</v>
      </c>
      <c r="C149" s="8" t="s">
        <v>15</v>
      </c>
      <c r="D149" s="8" t="s">
        <v>16</v>
      </c>
      <c r="E149" s="8">
        <v>1</v>
      </c>
      <c r="F149" s="8" t="s">
        <v>17</v>
      </c>
      <c r="G149" s="8">
        <v>2</v>
      </c>
      <c r="H149" s="8">
        <v>8.6277000000000008</v>
      </c>
      <c r="I149" s="8">
        <v>36.801233237131562</v>
      </c>
      <c r="J149" s="8">
        <v>6.96</v>
      </c>
      <c r="K149" s="8">
        <v>5.4526000000000003</v>
      </c>
      <c r="L149" s="8">
        <f t="shared" si="4"/>
        <v>21.65804597701149</v>
      </c>
      <c r="M149" s="8">
        <f t="shared" si="5"/>
        <v>0.93723409576989358</v>
      </c>
      <c r="N149" s="8">
        <v>48.61</v>
      </c>
      <c r="O149" s="8">
        <v>1.161</v>
      </c>
      <c r="P149" s="8">
        <v>7.2549999999999999</v>
      </c>
    </row>
    <row r="150" spans="1:16" x14ac:dyDescent="0.3">
      <c r="A150" s="8">
        <v>295</v>
      </c>
      <c r="B150" s="8" t="s">
        <v>20</v>
      </c>
      <c r="C150" s="8" t="s">
        <v>18</v>
      </c>
      <c r="D150" s="8" t="s">
        <v>16</v>
      </c>
      <c r="E150" s="8">
        <v>1</v>
      </c>
      <c r="F150" s="8" t="s">
        <v>17</v>
      </c>
      <c r="G150" s="8">
        <v>2</v>
      </c>
      <c r="H150" s="8">
        <v>10.9261</v>
      </c>
      <c r="I150" s="8">
        <v>47.692223208647185</v>
      </c>
      <c r="J150" s="8">
        <v>6.93</v>
      </c>
      <c r="K150" s="8">
        <v>5.7152000000000003</v>
      </c>
      <c r="L150" s="8">
        <f t="shared" si="4"/>
        <v>17.529581529581524</v>
      </c>
      <c r="M150" s="8">
        <f t="shared" si="5"/>
        <v>0.88587770150176881</v>
      </c>
      <c r="N150" s="8">
        <v>48.08</v>
      </c>
      <c r="O150" s="8">
        <v>1.2490000000000001</v>
      </c>
      <c r="P150" s="8">
        <v>7.8040000000000003</v>
      </c>
    </row>
    <row r="151" spans="1:16" x14ac:dyDescent="0.3">
      <c r="A151" s="8">
        <v>365</v>
      </c>
      <c r="B151" s="8" t="s">
        <v>20</v>
      </c>
      <c r="C151" s="8" t="s">
        <v>15</v>
      </c>
      <c r="D151" s="8" t="s">
        <v>19</v>
      </c>
      <c r="E151" s="8">
        <v>1</v>
      </c>
      <c r="F151" s="8" t="s">
        <v>17</v>
      </c>
      <c r="G151" s="8">
        <v>2</v>
      </c>
      <c r="H151" s="8">
        <v>7.8771000000000004</v>
      </c>
      <c r="I151" s="8">
        <v>26.215231493823872</v>
      </c>
      <c r="J151" s="8">
        <v>7.01</v>
      </c>
      <c r="K151" s="8">
        <v>5.8121</v>
      </c>
      <c r="L151" s="8">
        <f t="shared" si="4"/>
        <v>17.08844507845934</v>
      </c>
      <c r="M151" s="8">
        <f t="shared" si="5"/>
        <v>0.88054293026528274</v>
      </c>
      <c r="N151" s="8">
        <v>47.64</v>
      </c>
      <c r="O151" s="8">
        <v>0.69899999999999995</v>
      </c>
      <c r="P151" s="8">
        <v>4.3719999999999999</v>
      </c>
    </row>
    <row r="152" spans="1:16" x14ac:dyDescent="0.3">
      <c r="A152" s="8">
        <v>370</v>
      </c>
      <c r="B152" s="8" t="s">
        <v>20</v>
      </c>
      <c r="C152" s="8" t="s">
        <v>15</v>
      </c>
      <c r="D152" s="8" t="s">
        <v>19</v>
      </c>
      <c r="E152" s="8">
        <v>5</v>
      </c>
      <c r="F152" s="8" t="s">
        <v>17</v>
      </c>
      <c r="G152" s="8">
        <v>2</v>
      </c>
      <c r="H152" s="8">
        <v>11.051500000000001</v>
      </c>
      <c r="I152" s="8">
        <v>46.49776048500204</v>
      </c>
      <c r="J152" s="8">
        <v>7.02</v>
      </c>
      <c r="K152" s="8">
        <v>5.9127999999999998</v>
      </c>
      <c r="L152" s="8">
        <f t="shared" si="4"/>
        <v>15.772079772079769</v>
      </c>
      <c r="M152" s="8">
        <f t="shared" si="5"/>
        <v>0.86479090610912512</v>
      </c>
      <c r="N152" s="8">
        <v>46.82</v>
      </c>
      <c r="O152" s="8">
        <v>0.72699999999999998</v>
      </c>
      <c r="P152" s="8">
        <v>4.5460000000000003</v>
      </c>
    </row>
    <row r="153" spans="1:16" x14ac:dyDescent="0.3">
      <c r="A153" s="8">
        <v>381</v>
      </c>
      <c r="B153" s="8" t="s">
        <v>20</v>
      </c>
      <c r="C153" s="8" t="s">
        <v>18</v>
      </c>
      <c r="D153" s="8" t="s">
        <v>19</v>
      </c>
      <c r="E153" s="8">
        <v>4</v>
      </c>
      <c r="F153" s="8" t="s">
        <v>17</v>
      </c>
      <c r="G153" s="8">
        <v>2</v>
      </c>
      <c r="H153" s="8">
        <v>9.1570999999999998</v>
      </c>
      <c r="I153" s="8">
        <v>35.854145963241635</v>
      </c>
      <c r="J153" s="8">
        <v>7.06</v>
      </c>
      <c r="K153" s="8">
        <v>5.8738999999999999</v>
      </c>
      <c r="L153" s="8">
        <f t="shared" si="4"/>
        <v>16.800283286118976</v>
      </c>
      <c r="M153" s="8">
        <f t="shared" si="5"/>
        <v>0.87707342360790808</v>
      </c>
      <c r="N153" s="8">
        <v>47.22</v>
      </c>
      <c r="O153" s="8">
        <v>0.73399999999999999</v>
      </c>
      <c r="P153" s="8">
        <v>4.5869999999999997</v>
      </c>
    </row>
    <row r="154" spans="1:16" x14ac:dyDescent="0.3">
      <c r="A154" s="8">
        <v>387</v>
      </c>
      <c r="B154" s="8" t="s">
        <v>20</v>
      </c>
      <c r="C154" s="8" t="s">
        <v>18</v>
      </c>
      <c r="D154" s="8" t="s">
        <v>19</v>
      </c>
      <c r="E154" s="8">
        <v>3</v>
      </c>
      <c r="F154" s="8" t="s">
        <v>17</v>
      </c>
      <c r="G154" s="8">
        <v>2</v>
      </c>
      <c r="H154" s="8">
        <v>7.7935999999999996</v>
      </c>
      <c r="I154" s="8">
        <v>25.800656949291721</v>
      </c>
      <c r="J154" s="8">
        <v>7</v>
      </c>
      <c r="K154" s="8">
        <v>5.7827999999999999</v>
      </c>
      <c r="L154" s="8">
        <f t="shared" si="4"/>
        <v>17.388571428571428</v>
      </c>
      <c r="M154" s="8">
        <f t="shared" si="5"/>
        <v>0.88416933516310836</v>
      </c>
      <c r="N154" s="8">
        <v>47.33</v>
      </c>
      <c r="O154" s="8">
        <v>0.96399999999999997</v>
      </c>
      <c r="P154" s="8">
        <v>6.0259999999999998</v>
      </c>
    </row>
    <row r="155" spans="1:16" x14ac:dyDescent="0.3">
      <c r="A155" s="8">
        <v>391</v>
      </c>
      <c r="B155" s="8" t="s">
        <v>20</v>
      </c>
      <c r="C155" s="8" t="s">
        <v>18</v>
      </c>
      <c r="D155" s="8" t="s">
        <v>19</v>
      </c>
      <c r="E155" s="8">
        <v>2</v>
      </c>
      <c r="F155" s="8" t="s">
        <v>17</v>
      </c>
      <c r="G155" s="8">
        <v>2</v>
      </c>
      <c r="H155" s="8">
        <v>8.9225999999999992</v>
      </c>
      <c r="I155" s="8">
        <v>35.970457041669462</v>
      </c>
      <c r="J155" s="8">
        <v>7.04</v>
      </c>
      <c r="K155" s="8">
        <v>5.7130999999999998</v>
      </c>
      <c r="L155" s="8">
        <f t="shared" si="4"/>
        <v>18.848011363636367</v>
      </c>
      <c r="M155" s="8">
        <f t="shared" si="5"/>
        <v>0.90199356720237689</v>
      </c>
      <c r="N155" s="8">
        <v>47.59</v>
      </c>
      <c r="O155" s="8">
        <v>0.83499999999999996</v>
      </c>
      <c r="P155" s="8">
        <v>5.2160000000000002</v>
      </c>
    </row>
    <row r="156" spans="1:16" x14ac:dyDescent="0.3">
      <c r="A156" s="8">
        <v>392</v>
      </c>
      <c r="B156" s="8" t="s">
        <v>20</v>
      </c>
      <c r="C156" s="8" t="s">
        <v>15</v>
      </c>
      <c r="D156" s="8" t="s">
        <v>19</v>
      </c>
      <c r="E156" s="8">
        <v>4</v>
      </c>
      <c r="F156" s="8" t="s">
        <v>17</v>
      </c>
      <c r="G156" s="8">
        <v>2</v>
      </c>
      <c r="H156" s="8">
        <v>11.7834</v>
      </c>
      <c r="I156" s="8">
        <v>49.351630259517634</v>
      </c>
      <c r="J156" s="8">
        <v>7.03</v>
      </c>
      <c r="K156" s="8">
        <v>5.9680999999999997</v>
      </c>
      <c r="L156" s="8">
        <f t="shared" si="4"/>
        <v>15.105263157894743</v>
      </c>
      <c r="M156" s="8">
        <f t="shared" si="5"/>
        <v>0.85690526758926833</v>
      </c>
      <c r="N156" s="8">
        <v>47.83</v>
      </c>
      <c r="O156" s="8">
        <v>0.72199999999999998</v>
      </c>
      <c r="P156" s="8">
        <v>4.5140000000000002</v>
      </c>
    </row>
    <row r="157" spans="1:16" x14ac:dyDescent="0.3">
      <c r="A157" s="8">
        <v>393</v>
      </c>
      <c r="B157" s="8" t="s">
        <v>20</v>
      </c>
      <c r="C157" s="8" t="s">
        <v>18</v>
      </c>
      <c r="D157" s="8" t="s">
        <v>19</v>
      </c>
      <c r="E157" s="8">
        <v>5</v>
      </c>
      <c r="F157" s="8" t="s">
        <v>17</v>
      </c>
      <c r="G157" s="8">
        <v>2</v>
      </c>
      <c r="H157" s="8">
        <v>11.9572</v>
      </c>
      <c r="I157" s="8">
        <v>50.111230053858769</v>
      </c>
      <c r="J157" s="8">
        <v>7</v>
      </c>
      <c r="K157" s="8">
        <v>5.9653</v>
      </c>
      <c r="L157" s="8">
        <f t="shared" si="4"/>
        <v>14.78142857142857</v>
      </c>
      <c r="M157" s="8">
        <f t="shared" si="5"/>
        <v>0.85309798195201014</v>
      </c>
      <c r="N157" s="8">
        <v>46.84</v>
      </c>
      <c r="O157" s="8">
        <v>0.71599999999999997</v>
      </c>
      <c r="P157" s="8">
        <v>4.4740000000000002</v>
      </c>
    </row>
    <row r="158" spans="1:16" x14ac:dyDescent="0.3">
      <c r="A158" s="8">
        <v>397</v>
      </c>
      <c r="B158" s="8" t="s">
        <v>20</v>
      </c>
      <c r="C158" s="8" t="s">
        <v>15</v>
      </c>
      <c r="D158" s="8" t="s">
        <v>19</v>
      </c>
      <c r="E158" s="8">
        <v>4</v>
      </c>
      <c r="F158" s="8" t="s">
        <v>17</v>
      </c>
      <c r="G158" s="8">
        <v>2</v>
      </c>
      <c r="H158" s="8">
        <v>12.7012</v>
      </c>
      <c r="I158" s="8">
        <v>54.878279217711714</v>
      </c>
      <c r="J158" s="8">
        <v>6.91</v>
      </c>
      <c r="K158" s="8">
        <v>5.7309999999999999</v>
      </c>
      <c r="L158" s="8">
        <f t="shared" si="4"/>
        <v>17.062228654124461</v>
      </c>
      <c r="M158" s="8">
        <f t="shared" si="5"/>
        <v>0.88022678276992339</v>
      </c>
      <c r="N158" s="8">
        <v>48</v>
      </c>
      <c r="O158" s="8">
        <v>0.76</v>
      </c>
      <c r="P158" s="8">
        <v>4.7510000000000003</v>
      </c>
    </row>
    <row r="159" spans="1:16" x14ac:dyDescent="0.3">
      <c r="A159" s="8">
        <v>412</v>
      </c>
      <c r="B159" s="8" t="s">
        <v>20</v>
      </c>
      <c r="C159" s="8" t="s">
        <v>15</v>
      </c>
      <c r="D159" s="8" t="s">
        <v>19</v>
      </c>
      <c r="E159" s="8">
        <v>2</v>
      </c>
      <c r="F159" s="8" t="s">
        <v>17</v>
      </c>
      <c r="G159" s="8">
        <v>2</v>
      </c>
      <c r="H159" s="8">
        <v>7.0172999999999996</v>
      </c>
      <c r="I159" s="8">
        <v>17.549484844598346</v>
      </c>
      <c r="J159" s="8">
        <v>7.06</v>
      </c>
      <c r="K159" s="8">
        <v>5.7858000000000001</v>
      </c>
      <c r="L159" s="8">
        <f t="shared" si="4"/>
        <v>18.048158640226625</v>
      </c>
      <c r="M159" s="8">
        <f t="shared" si="5"/>
        <v>0.89218559230283923</v>
      </c>
      <c r="N159" s="8">
        <v>48.38</v>
      </c>
      <c r="O159" s="8">
        <v>0.69299999999999995</v>
      </c>
      <c r="P159" s="8">
        <v>4.3330000000000002</v>
      </c>
    </row>
    <row r="160" spans="1:16" x14ac:dyDescent="0.3">
      <c r="A160" s="8">
        <v>419</v>
      </c>
      <c r="B160" s="8" t="s">
        <v>20</v>
      </c>
      <c r="C160" s="8" t="s">
        <v>15</v>
      </c>
      <c r="D160" s="8" t="s">
        <v>19</v>
      </c>
      <c r="E160" s="8">
        <v>3</v>
      </c>
      <c r="F160" s="8" t="s">
        <v>17</v>
      </c>
      <c r="G160" s="8">
        <v>2</v>
      </c>
      <c r="H160" s="8">
        <v>9.1515000000000004</v>
      </c>
      <c r="I160" s="8">
        <v>38.021089438889803</v>
      </c>
      <c r="J160" s="8">
        <v>6.94</v>
      </c>
      <c r="K160" s="8">
        <v>5.6719999999999997</v>
      </c>
      <c r="L160" s="8">
        <f t="shared" si="4"/>
        <v>18.270893371757936</v>
      </c>
      <c r="M160" s="8">
        <f t="shared" si="5"/>
        <v>0.89490716584883223</v>
      </c>
      <c r="N160" s="8">
        <v>47.37</v>
      </c>
      <c r="O160" s="8">
        <v>0.80100000000000005</v>
      </c>
      <c r="P160" s="8">
        <v>5.0049999999999999</v>
      </c>
    </row>
    <row r="161" spans="1:16" x14ac:dyDescent="0.3">
      <c r="A161" s="8">
        <v>420</v>
      </c>
      <c r="B161" s="8" t="s">
        <v>20</v>
      </c>
      <c r="C161" s="8" t="s">
        <v>18</v>
      </c>
      <c r="D161" s="8" t="s">
        <v>19</v>
      </c>
      <c r="E161" s="8">
        <v>1</v>
      </c>
      <c r="F161" s="8" t="s">
        <v>17</v>
      </c>
      <c r="G161" s="8">
        <v>2</v>
      </c>
      <c r="H161" s="8">
        <v>11.142899999999999</v>
      </c>
      <c r="I161" s="8">
        <v>48.551992748745832</v>
      </c>
      <c r="J161" s="8">
        <v>6.96</v>
      </c>
      <c r="K161" s="8">
        <v>5.7328000000000001</v>
      </c>
      <c r="L161" s="8">
        <f t="shared" si="4"/>
        <v>17.632183908045977</v>
      </c>
      <c r="M161" s="8">
        <f t="shared" si="5"/>
        <v>0.8871225873377212</v>
      </c>
      <c r="N161" s="8">
        <v>46.84</v>
      </c>
      <c r="O161" s="8">
        <v>0.86299999999999999</v>
      </c>
      <c r="P161" s="8">
        <v>5.3920000000000003</v>
      </c>
    </row>
    <row r="162" spans="1:16" x14ac:dyDescent="0.3">
      <c r="A162" s="8">
        <v>491</v>
      </c>
      <c r="B162" s="8" t="s">
        <v>21</v>
      </c>
      <c r="C162" s="8" t="s">
        <v>15</v>
      </c>
      <c r="D162" s="8" t="s">
        <v>16</v>
      </c>
      <c r="E162" s="8">
        <v>2</v>
      </c>
      <c r="F162" s="8" t="s">
        <v>17</v>
      </c>
      <c r="G162" s="8">
        <v>2</v>
      </c>
      <c r="H162" s="8">
        <v>12.6061</v>
      </c>
      <c r="I162" s="8">
        <v>45.792909781772323</v>
      </c>
      <c r="J162" s="8">
        <v>6.97</v>
      </c>
      <c r="K162" s="8">
        <v>5.7727000000000004</v>
      </c>
      <c r="L162" s="8">
        <f t="shared" si="4"/>
        <v>17.17790530846484</v>
      </c>
      <c r="M162" s="8">
        <f t="shared" si="5"/>
        <v>0.88162249665271109</v>
      </c>
      <c r="N162" s="8">
        <v>46.91</v>
      </c>
      <c r="O162" s="8">
        <v>0.81699999999999995</v>
      </c>
      <c r="P162" s="8">
        <v>5.1079999999999997</v>
      </c>
    </row>
    <row r="163" spans="1:16" x14ac:dyDescent="0.3">
      <c r="A163" s="8">
        <v>492</v>
      </c>
      <c r="B163" s="8" t="s">
        <v>21</v>
      </c>
      <c r="C163" s="8" t="s">
        <v>18</v>
      </c>
      <c r="D163" s="8" t="s">
        <v>16</v>
      </c>
      <c r="E163" s="8">
        <v>2</v>
      </c>
      <c r="F163" s="8" t="s">
        <v>17</v>
      </c>
      <c r="G163" s="8">
        <v>2</v>
      </c>
      <c r="H163" s="8">
        <v>13.604699999999999</v>
      </c>
      <c r="I163" s="8">
        <v>40.781494630532094</v>
      </c>
      <c r="J163" s="8">
        <v>7.08</v>
      </c>
      <c r="K163" s="8">
        <v>5.5481999999999996</v>
      </c>
      <c r="L163" s="8">
        <f t="shared" si="4"/>
        <v>21.63559322033899</v>
      </c>
      <c r="M163" s="8">
        <f t="shared" si="5"/>
        <v>0.93694753743606285</v>
      </c>
      <c r="N163" s="8">
        <v>48.37</v>
      </c>
      <c r="O163" s="8">
        <v>0.93700000000000006</v>
      </c>
      <c r="P163" s="8">
        <v>5.8570000000000002</v>
      </c>
    </row>
    <row r="164" spans="1:16" x14ac:dyDescent="0.3">
      <c r="A164" s="8">
        <v>496</v>
      </c>
      <c r="B164" s="8" t="s">
        <v>21</v>
      </c>
      <c r="C164" s="8" t="s">
        <v>18</v>
      </c>
      <c r="D164" s="8" t="s">
        <v>16</v>
      </c>
      <c r="E164" s="8">
        <v>4</v>
      </c>
      <c r="F164" s="8" t="s">
        <v>17</v>
      </c>
      <c r="G164" s="8">
        <v>2</v>
      </c>
      <c r="H164" s="8">
        <v>10.9597</v>
      </c>
      <c r="I164" s="8">
        <v>50.103561228865757</v>
      </c>
      <c r="J164" s="8">
        <v>7.03</v>
      </c>
      <c r="K164" s="8">
        <v>5.4912000000000001</v>
      </c>
      <c r="L164" s="8">
        <f t="shared" si="4"/>
        <v>21.889046941678522</v>
      </c>
      <c r="M164" s="8">
        <f t="shared" si="5"/>
        <v>0.9401870755110675</v>
      </c>
      <c r="N164" s="8">
        <v>48.33</v>
      </c>
      <c r="O164" s="8">
        <v>0.76700000000000002</v>
      </c>
      <c r="P164" s="8">
        <v>4.7910000000000004</v>
      </c>
    </row>
    <row r="165" spans="1:16" x14ac:dyDescent="0.3">
      <c r="A165" s="8">
        <v>503</v>
      </c>
      <c r="B165" s="8" t="s">
        <v>21</v>
      </c>
      <c r="C165" s="8" t="s">
        <v>15</v>
      </c>
      <c r="D165" s="8" t="s">
        <v>16</v>
      </c>
      <c r="E165" s="8">
        <v>1</v>
      </c>
      <c r="F165" s="8" t="s">
        <v>17</v>
      </c>
      <c r="G165" s="8">
        <v>2</v>
      </c>
      <c r="H165" s="8">
        <v>9.3439999999999994</v>
      </c>
      <c r="I165" s="8">
        <v>61.697345890410958</v>
      </c>
      <c r="J165" s="8">
        <v>7.06</v>
      </c>
      <c r="K165" s="8">
        <v>5.7649999999999997</v>
      </c>
      <c r="L165" s="8">
        <f t="shared" si="4"/>
        <v>18.342776203966004</v>
      </c>
      <c r="M165" s="8">
        <f t="shared" si="5"/>
        <v>0.89578707834407367</v>
      </c>
      <c r="N165" s="8">
        <v>49.01</v>
      </c>
      <c r="O165" s="8">
        <v>0.85599999999999998</v>
      </c>
      <c r="P165" s="8">
        <v>5.3529999999999998</v>
      </c>
    </row>
    <row r="166" spans="1:16" x14ac:dyDescent="0.3">
      <c r="A166" s="8">
        <v>511</v>
      </c>
      <c r="B166" s="8" t="s">
        <v>21</v>
      </c>
      <c r="C166" s="8" t="s">
        <v>15</v>
      </c>
      <c r="D166" s="8" t="s">
        <v>16</v>
      </c>
      <c r="E166" s="8">
        <v>4</v>
      </c>
      <c r="F166" s="8" t="s">
        <v>17</v>
      </c>
      <c r="G166" s="8">
        <v>2</v>
      </c>
      <c r="H166" s="8">
        <v>11.8621</v>
      </c>
      <c r="I166" s="8">
        <v>46.400721626019006</v>
      </c>
      <c r="J166" s="8">
        <v>7.07</v>
      </c>
      <c r="K166" s="8">
        <v>5.5041000000000002</v>
      </c>
      <c r="L166" s="8">
        <f t="shared" si="4"/>
        <v>22.14851485148515</v>
      </c>
      <c r="M166" s="8">
        <f t="shared" si="5"/>
        <v>0.94351439139778004</v>
      </c>
      <c r="N166" s="8">
        <v>48.39</v>
      </c>
      <c r="O166" s="8">
        <v>0.89800000000000002</v>
      </c>
      <c r="P166" s="8">
        <v>5.61</v>
      </c>
    </row>
    <row r="167" spans="1:16" x14ac:dyDescent="0.3">
      <c r="A167" s="8">
        <v>516</v>
      </c>
      <c r="B167" s="8" t="s">
        <v>21</v>
      </c>
      <c r="C167" s="8" t="s">
        <v>18</v>
      </c>
      <c r="D167" s="8" t="s">
        <v>16</v>
      </c>
      <c r="E167" s="8">
        <v>3</v>
      </c>
      <c r="F167" s="8" t="s">
        <v>17</v>
      </c>
      <c r="G167" s="8">
        <v>2</v>
      </c>
      <c r="H167" s="8">
        <v>12.857100000000001</v>
      </c>
      <c r="I167" s="8">
        <v>42.327585536396228</v>
      </c>
      <c r="J167" s="8">
        <v>6.95</v>
      </c>
      <c r="K167" s="8">
        <v>5.4420999999999999</v>
      </c>
      <c r="L167" s="8">
        <f t="shared" si="4"/>
        <v>21.696402877697846</v>
      </c>
      <c r="M167" s="8">
        <f t="shared" si="5"/>
        <v>0.9377238243472138</v>
      </c>
      <c r="N167" s="8">
        <v>47.73</v>
      </c>
      <c r="O167" s="8">
        <v>0.94499999999999995</v>
      </c>
      <c r="P167" s="8">
        <v>5.9059999999999997</v>
      </c>
    </row>
    <row r="168" spans="1:16" x14ac:dyDescent="0.3">
      <c r="A168" s="8">
        <v>522</v>
      </c>
      <c r="B168" s="8" t="s">
        <v>21</v>
      </c>
      <c r="C168" s="8" t="s">
        <v>15</v>
      </c>
      <c r="D168" s="8" t="s">
        <v>16</v>
      </c>
      <c r="E168" s="8">
        <v>3</v>
      </c>
      <c r="F168" s="8" t="s">
        <v>17</v>
      </c>
      <c r="G168" s="8">
        <v>2</v>
      </c>
      <c r="H168" s="8">
        <v>8.6791</v>
      </c>
      <c r="I168" s="8">
        <v>67.03575255498842</v>
      </c>
      <c r="J168" s="8">
        <v>7.07</v>
      </c>
      <c r="K168" s="8">
        <v>5.8181000000000003</v>
      </c>
      <c r="L168" s="8">
        <f t="shared" si="4"/>
        <v>17.707213578500706</v>
      </c>
      <c r="M168" s="8">
        <f t="shared" si="5"/>
        <v>0.88803391250600316</v>
      </c>
      <c r="N168" s="8">
        <v>48.4</v>
      </c>
      <c r="O168" s="8">
        <v>0.98499999999999999</v>
      </c>
      <c r="P168" s="8">
        <v>6.1550000000000002</v>
      </c>
    </row>
    <row r="169" spans="1:16" x14ac:dyDescent="0.3">
      <c r="A169" s="8">
        <v>534</v>
      </c>
      <c r="B169" s="8" t="s">
        <v>21</v>
      </c>
      <c r="C169" s="8" t="s">
        <v>15</v>
      </c>
      <c r="D169" s="8" t="s">
        <v>16</v>
      </c>
      <c r="E169" s="8">
        <v>5</v>
      </c>
      <c r="F169" s="8" t="s">
        <v>17</v>
      </c>
      <c r="G169" s="8">
        <v>2</v>
      </c>
      <c r="H169" s="8">
        <v>13.4589</v>
      </c>
      <c r="I169" s="8">
        <v>42.15797724925514</v>
      </c>
      <c r="J169" s="8">
        <v>7.04</v>
      </c>
      <c r="K169" s="8">
        <v>5.6740000000000004</v>
      </c>
      <c r="L169" s="8">
        <f t="shared" si="4"/>
        <v>19.403409090909086</v>
      </c>
      <c r="M169" s="8">
        <f t="shared" si="5"/>
        <v>0.90886101434323663</v>
      </c>
      <c r="N169" s="8">
        <v>48.68</v>
      </c>
      <c r="O169" s="8">
        <v>1.0289999999999999</v>
      </c>
      <c r="P169" s="8">
        <v>6.4329999999999998</v>
      </c>
    </row>
    <row r="170" spans="1:16" x14ac:dyDescent="0.3">
      <c r="A170" s="8">
        <v>535</v>
      </c>
      <c r="B170" s="8" t="s">
        <v>21</v>
      </c>
      <c r="C170" s="8" t="s">
        <v>18</v>
      </c>
      <c r="D170" s="8" t="s">
        <v>16</v>
      </c>
      <c r="E170" s="8">
        <v>5</v>
      </c>
      <c r="F170" s="8" t="s">
        <v>17</v>
      </c>
      <c r="G170" s="8">
        <v>2</v>
      </c>
      <c r="H170" s="8">
        <v>11.8911</v>
      </c>
      <c r="I170" s="8">
        <v>48.045176644717479</v>
      </c>
      <c r="J170" s="8">
        <v>7.02</v>
      </c>
      <c r="K170" s="8">
        <v>5.7130999999999998</v>
      </c>
      <c r="L170" s="8">
        <f t="shared" si="4"/>
        <v>18.616809116809112</v>
      </c>
      <c r="M170" s="8">
        <f t="shared" si="5"/>
        <v>0.89914861507014565</v>
      </c>
      <c r="N170" s="8">
        <v>47.78</v>
      </c>
      <c r="O170" s="8">
        <v>0.84799999999999998</v>
      </c>
      <c r="P170" s="8">
        <v>5.3</v>
      </c>
    </row>
    <row r="171" spans="1:16" x14ac:dyDescent="0.3">
      <c r="A171" s="8">
        <v>605</v>
      </c>
      <c r="B171" s="8" t="s">
        <v>21</v>
      </c>
      <c r="C171" s="8" t="s">
        <v>18</v>
      </c>
      <c r="D171" s="8" t="s">
        <v>19</v>
      </c>
      <c r="E171" s="8">
        <v>1</v>
      </c>
      <c r="F171" s="8" t="s">
        <v>17</v>
      </c>
      <c r="G171" s="8">
        <v>2</v>
      </c>
      <c r="H171" s="8">
        <v>9.8770000000000007</v>
      </c>
      <c r="I171" s="8">
        <v>49.569707401032694</v>
      </c>
      <c r="J171" s="8">
        <v>7.01</v>
      </c>
      <c r="K171" s="8">
        <v>4.8959999999999999</v>
      </c>
      <c r="L171" s="8">
        <f t="shared" si="4"/>
        <v>30.156918687589158</v>
      </c>
      <c r="M171" s="8">
        <f t="shared" si="5"/>
        <v>1.0520663363964191</v>
      </c>
      <c r="N171" s="8">
        <v>47.34</v>
      </c>
      <c r="O171" s="8">
        <v>2.2909999999999999</v>
      </c>
      <c r="P171" s="8">
        <v>14.321999999999999</v>
      </c>
    </row>
    <row r="172" spans="1:16" x14ac:dyDescent="0.3">
      <c r="A172" s="8">
        <v>606</v>
      </c>
      <c r="B172" s="8" t="s">
        <v>21</v>
      </c>
      <c r="C172" s="8" t="s">
        <v>18</v>
      </c>
      <c r="D172" s="8" t="s">
        <v>19</v>
      </c>
      <c r="E172" s="8">
        <v>4</v>
      </c>
      <c r="F172" s="8" t="s">
        <v>17</v>
      </c>
      <c r="G172" s="8">
        <v>2</v>
      </c>
      <c r="H172" s="8">
        <v>8.3082999999999991</v>
      </c>
      <c r="I172" s="8">
        <v>60.189208381979476</v>
      </c>
      <c r="J172" s="8">
        <v>6.98</v>
      </c>
      <c r="K172" s="8">
        <v>5.0007000000000001</v>
      </c>
      <c r="L172" s="8">
        <f t="shared" si="4"/>
        <v>28.356733524355306</v>
      </c>
      <c r="M172" s="8">
        <f t="shared" si="5"/>
        <v>1.0266181946992115</v>
      </c>
      <c r="N172" s="8">
        <v>49.3</v>
      </c>
      <c r="O172" s="8">
        <v>1.056</v>
      </c>
      <c r="P172" s="8">
        <v>5.8949999999999996</v>
      </c>
    </row>
    <row r="173" spans="1:16" x14ac:dyDescent="0.3">
      <c r="A173" s="8">
        <v>616</v>
      </c>
      <c r="B173" s="8" t="s">
        <v>21</v>
      </c>
      <c r="C173" s="8" t="s">
        <v>18</v>
      </c>
      <c r="D173" s="8" t="s">
        <v>19</v>
      </c>
      <c r="E173" s="8">
        <v>3</v>
      </c>
      <c r="F173" s="8" t="s">
        <v>17</v>
      </c>
      <c r="G173" s="8">
        <v>2</v>
      </c>
      <c r="H173" s="8">
        <v>13.4589</v>
      </c>
      <c r="I173" s="8">
        <v>41.097712294466859</v>
      </c>
      <c r="J173" s="8">
        <v>6.98</v>
      </c>
      <c r="K173" s="8">
        <v>5.5312999999999999</v>
      </c>
      <c r="L173" s="8">
        <f t="shared" si="4"/>
        <v>20.755014326647572</v>
      </c>
      <c r="M173" s="8">
        <f t="shared" si="5"/>
        <v>0.9257732280529577</v>
      </c>
      <c r="N173" s="8">
        <v>47.02</v>
      </c>
      <c r="O173" s="8">
        <v>1.022</v>
      </c>
      <c r="P173" s="8">
        <v>6.3849999999999998</v>
      </c>
    </row>
    <row r="174" spans="1:16" x14ac:dyDescent="0.3">
      <c r="A174" s="8">
        <v>621</v>
      </c>
      <c r="B174" s="8" t="s">
        <v>21</v>
      </c>
      <c r="C174" s="8" t="s">
        <v>15</v>
      </c>
      <c r="D174" s="8" t="s">
        <v>19</v>
      </c>
      <c r="E174" s="8">
        <v>1</v>
      </c>
      <c r="F174" s="8" t="s">
        <v>17</v>
      </c>
      <c r="G174" s="8">
        <v>2</v>
      </c>
      <c r="H174" s="8">
        <v>9.4079999999999995</v>
      </c>
      <c r="I174" s="8">
        <v>60.969387755102048</v>
      </c>
      <c r="J174" s="8">
        <v>7.06</v>
      </c>
      <c r="K174" s="8">
        <v>5.7359999999999998</v>
      </c>
      <c r="L174" s="8">
        <f t="shared" si="4"/>
        <v>18.753541076487252</v>
      </c>
      <c r="M174" s="8">
        <f t="shared" si="5"/>
        <v>0.90083012876777668</v>
      </c>
      <c r="N174" s="8">
        <v>48.43</v>
      </c>
      <c r="O174" s="8">
        <v>0.84899999999999998</v>
      </c>
      <c r="P174" s="8">
        <v>5.3040000000000003</v>
      </c>
    </row>
    <row r="175" spans="1:16" x14ac:dyDescent="0.3">
      <c r="A175" s="8">
        <v>641</v>
      </c>
      <c r="B175" s="8" t="s">
        <v>21</v>
      </c>
      <c r="C175" s="8" t="s">
        <v>15</v>
      </c>
      <c r="D175" s="8" t="s">
        <v>19</v>
      </c>
      <c r="E175" s="8">
        <v>4</v>
      </c>
      <c r="F175" s="8" t="s">
        <v>17</v>
      </c>
      <c r="G175" s="8">
        <v>2</v>
      </c>
      <c r="H175" s="8">
        <v>9.0215999999999994</v>
      </c>
      <c r="I175" s="8">
        <v>54.829520262481168</v>
      </c>
      <c r="J175" s="8">
        <v>7.07</v>
      </c>
      <c r="K175" s="8">
        <v>4.9465000000000003</v>
      </c>
      <c r="L175" s="8">
        <f t="shared" si="4"/>
        <v>30.035360678925034</v>
      </c>
      <c r="M175" s="8">
        <f t="shared" si="5"/>
        <v>1.0503274046872866</v>
      </c>
      <c r="N175" s="8">
        <v>48.4</v>
      </c>
      <c r="O175" s="8">
        <v>2.508</v>
      </c>
      <c r="P175" s="8">
        <v>15.675000000000001</v>
      </c>
    </row>
    <row r="176" spans="1:16" x14ac:dyDescent="0.3">
      <c r="A176" s="8">
        <v>642</v>
      </c>
      <c r="B176" s="8" t="s">
        <v>21</v>
      </c>
      <c r="C176" s="8" t="s">
        <v>18</v>
      </c>
      <c r="D176" s="8" t="s">
        <v>16</v>
      </c>
      <c r="E176" s="8">
        <v>1</v>
      </c>
      <c r="F176" s="8" t="s">
        <v>17</v>
      </c>
      <c r="G176" s="8">
        <v>2</v>
      </c>
      <c r="H176" s="8">
        <v>11.807</v>
      </c>
      <c r="I176" s="8">
        <v>44.185652578978569</v>
      </c>
      <c r="J176" s="8">
        <v>7.09</v>
      </c>
      <c r="K176" s="8">
        <v>5.2169999999999996</v>
      </c>
      <c r="L176" s="8">
        <f t="shared" si="4"/>
        <v>26.417489421720735</v>
      </c>
      <c r="M176" s="8">
        <f t="shared" si="5"/>
        <v>0.99990999706372585</v>
      </c>
      <c r="N176" s="8">
        <v>48.2</v>
      </c>
      <c r="O176" s="8">
        <v>2.214</v>
      </c>
      <c r="P176" s="8">
        <v>13.837</v>
      </c>
    </row>
    <row r="177" spans="1:16" x14ac:dyDescent="0.3">
      <c r="A177" s="8">
        <v>646</v>
      </c>
      <c r="B177" s="8" t="s">
        <v>21</v>
      </c>
      <c r="C177" s="8" t="s">
        <v>15</v>
      </c>
      <c r="D177" s="8" t="s">
        <v>19</v>
      </c>
      <c r="E177" s="8">
        <v>5</v>
      </c>
      <c r="F177" s="8" t="s">
        <v>17</v>
      </c>
      <c r="G177" s="8">
        <v>2</v>
      </c>
      <c r="H177" s="8">
        <v>7.8813000000000004</v>
      </c>
      <c r="I177" s="8">
        <v>62.858919213835286</v>
      </c>
      <c r="J177" s="8">
        <v>6.94</v>
      </c>
      <c r="K177" s="8">
        <v>4.9541000000000004</v>
      </c>
      <c r="L177" s="8">
        <f t="shared" si="4"/>
        <v>28.615273775216139</v>
      </c>
      <c r="M177" s="8">
        <f t="shared" si="5"/>
        <v>1.0302334385067009</v>
      </c>
      <c r="N177" s="8">
        <v>47.89</v>
      </c>
      <c r="O177" s="8">
        <v>1.3080000000000001</v>
      </c>
      <c r="P177" s="8">
        <v>8.1769999999999996</v>
      </c>
    </row>
    <row r="178" spans="1:16" x14ac:dyDescent="0.3">
      <c r="A178" s="8">
        <v>648</v>
      </c>
      <c r="B178" s="8" t="s">
        <v>21</v>
      </c>
      <c r="C178" s="8" t="s">
        <v>15</v>
      </c>
      <c r="D178" s="8" t="s">
        <v>19</v>
      </c>
      <c r="E178" s="8">
        <v>3</v>
      </c>
      <c r="F178" s="8" t="s">
        <v>17</v>
      </c>
      <c r="G178" s="8">
        <v>2</v>
      </c>
      <c r="H178" s="8">
        <v>8.2789000000000001</v>
      </c>
      <c r="I178" s="8">
        <v>66.698474435009487</v>
      </c>
      <c r="J178" s="8">
        <v>7.03</v>
      </c>
      <c r="K178" s="8">
        <v>5.5218999999999996</v>
      </c>
      <c r="L178" s="8">
        <f t="shared" si="4"/>
        <v>21.452347083926039</v>
      </c>
      <c r="M178" s="8">
        <f t="shared" si="5"/>
        <v>0.93461188241919224</v>
      </c>
      <c r="N178" s="8">
        <v>47.91</v>
      </c>
      <c r="O178" s="8">
        <v>2.1850000000000001</v>
      </c>
      <c r="P178" s="8">
        <v>13.657999999999999</v>
      </c>
    </row>
    <row r="179" spans="1:16" x14ac:dyDescent="0.3">
      <c r="A179" s="8">
        <v>652</v>
      </c>
      <c r="B179" s="8" t="s">
        <v>21</v>
      </c>
      <c r="C179" s="8" t="s">
        <v>18</v>
      </c>
      <c r="D179" s="8" t="s">
        <v>19</v>
      </c>
      <c r="E179" s="8">
        <v>5</v>
      </c>
      <c r="F179" s="8" t="s">
        <v>17</v>
      </c>
      <c r="G179" s="8">
        <v>2</v>
      </c>
      <c r="H179" s="8">
        <v>10.2684</v>
      </c>
      <c r="I179" s="8">
        <v>56.989404386272447</v>
      </c>
      <c r="J179" s="8">
        <v>7.01</v>
      </c>
      <c r="K179" s="8">
        <v>5.8518999999999997</v>
      </c>
      <c r="L179" s="8">
        <f t="shared" si="4"/>
        <v>16.520684736091301</v>
      </c>
      <c r="M179" s="8">
        <f t="shared" si="5"/>
        <v>0.87371848676955355</v>
      </c>
      <c r="N179" s="8">
        <v>47.72</v>
      </c>
      <c r="O179" s="8">
        <v>0.92800000000000005</v>
      </c>
      <c r="P179" s="8">
        <v>5.8</v>
      </c>
    </row>
    <row r="180" spans="1:16" x14ac:dyDescent="0.3">
      <c r="A180" s="8">
        <v>657</v>
      </c>
      <c r="B180" s="8" t="s">
        <v>21</v>
      </c>
      <c r="C180" s="8" t="s">
        <v>15</v>
      </c>
      <c r="D180" s="8" t="s">
        <v>19</v>
      </c>
      <c r="E180" s="8">
        <v>2</v>
      </c>
      <c r="F180" s="8" t="s">
        <v>17</v>
      </c>
      <c r="G180" s="8">
        <v>2</v>
      </c>
      <c r="H180" s="8">
        <v>11.879799999999999</v>
      </c>
      <c r="I180" s="8">
        <v>50.182663007794744</v>
      </c>
      <c r="J180" s="8">
        <v>6.95</v>
      </c>
      <c r="K180" s="8">
        <v>5.9615999999999998</v>
      </c>
      <c r="L180" s="8">
        <f t="shared" si="4"/>
        <v>14.221582733812955</v>
      </c>
      <c r="M180" s="8">
        <f t="shared" si="5"/>
        <v>0.84654993871151385</v>
      </c>
      <c r="N180" s="8">
        <v>47.83</v>
      </c>
      <c r="O180" s="8">
        <v>0.85499999999999998</v>
      </c>
      <c r="P180" s="8">
        <v>5.3440000000000003</v>
      </c>
    </row>
    <row r="181" spans="1:16" x14ac:dyDescent="0.3">
      <c r="A181" s="8">
        <v>660</v>
      </c>
      <c r="B181" s="8" t="s">
        <v>21</v>
      </c>
      <c r="C181" s="8" t="s">
        <v>15</v>
      </c>
      <c r="D181" s="8" t="s">
        <v>19</v>
      </c>
      <c r="E181" s="8">
        <v>2</v>
      </c>
      <c r="F181" s="8" t="s">
        <v>17</v>
      </c>
      <c r="G181" s="8">
        <v>2</v>
      </c>
      <c r="H181" s="8">
        <v>11.943199999999999</v>
      </c>
      <c r="I181" s="8">
        <v>48.482818675061964</v>
      </c>
      <c r="J181" s="8">
        <v>7.09</v>
      </c>
      <c r="K181" s="8">
        <v>5.7904</v>
      </c>
      <c r="L181" s="8">
        <f t="shared" si="4"/>
        <v>18.330042313117065</v>
      </c>
      <c r="M181" s="8">
        <f t="shared" si="5"/>
        <v>0.8956311472766405</v>
      </c>
      <c r="N181" s="8">
        <v>47.92</v>
      </c>
      <c r="O181" s="8">
        <v>0.75700000000000001</v>
      </c>
      <c r="P181" s="8">
        <v>4.734</v>
      </c>
    </row>
    <row r="182" spans="1:16" x14ac:dyDescent="0.3">
      <c r="A182" s="1">
        <v>65</v>
      </c>
      <c r="B182" s="1" t="s">
        <v>14</v>
      </c>
      <c r="C182" s="1" t="s">
        <v>18</v>
      </c>
      <c r="D182" s="1" t="s">
        <v>16</v>
      </c>
      <c r="E182" s="1">
        <v>5</v>
      </c>
      <c r="F182" s="1" t="s">
        <v>22</v>
      </c>
      <c r="G182" s="1">
        <v>2</v>
      </c>
      <c r="H182" s="1">
        <v>7.2610000000000001</v>
      </c>
      <c r="I182" s="1">
        <v>18.193086351742181</v>
      </c>
      <c r="J182" s="1">
        <v>7.02</v>
      </c>
      <c r="K182" s="1">
        <v>5.94</v>
      </c>
      <c r="L182" s="1">
        <f t="shared" si="4"/>
        <v>15.384615384615374</v>
      </c>
      <c r="M182" s="1">
        <f t="shared" si="5"/>
        <v>0.86020126522311136</v>
      </c>
      <c r="N182" s="1">
        <v>47.49</v>
      </c>
      <c r="O182" s="1">
        <v>0.95299999999999996</v>
      </c>
      <c r="P182" s="1">
        <v>5.9580000000000002</v>
      </c>
    </row>
    <row r="183" spans="1:16" x14ac:dyDescent="0.3">
      <c r="A183" s="1">
        <v>68</v>
      </c>
      <c r="B183" s="1" t="s">
        <v>14</v>
      </c>
      <c r="C183" s="1" t="s">
        <v>18</v>
      </c>
      <c r="D183" s="1" t="s">
        <v>16</v>
      </c>
      <c r="E183" s="1">
        <v>3</v>
      </c>
      <c r="F183" s="1" t="s">
        <v>22</v>
      </c>
      <c r="G183" s="1">
        <v>2</v>
      </c>
      <c r="H183" s="1">
        <v>8.6709999999999994</v>
      </c>
      <c r="I183" s="1">
        <v>31.807173336408713</v>
      </c>
      <c r="J183" s="1">
        <v>7.01</v>
      </c>
      <c r="K183" s="1">
        <v>5.9130000000000003</v>
      </c>
      <c r="L183" s="1">
        <f t="shared" si="4"/>
        <v>15.649072753209694</v>
      </c>
      <c r="M183" s="1">
        <f t="shared" si="5"/>
        <v>0.86333156476775108</v>
      </c>
      <c r="N183" s="1">
        <v>48.91</v>
      </c>
      <c r="O183" s="1">
        <v>0.999</v>
      </c>
      <c r="P183" s="1">
        <v>6.2439999999999998</v>
      </c>
    </row>
    <row r="184" spans="1:16" x14ac:dyDescent="0.3">
      <c r="A184" s="1">
        <v>75</v>
      </c>
      <c r="B184" s="1" t="s">
        <v>14</v>
      </c>
      <c r="C184" s="1" t="s">
        <v>15</v>
      </c>
      <c r="D184" s="1" t="s">
        <v>16</v>
      </c>
      <c r="E184" s="1">
        <v>4</v>
      </c>
      <c r="F184" s="1" t="s">
        <v>22</v>
      </c>
      <c r="G184" s="1">
        <v>2</v>
      </c>
      <c r="H184" s="1">
        <v>8.3620000000000001</v>
      </c>
      <c r="I184" s="1">
        <v>28.557761301124131</v>
      </c>
      <c r="J184" s="1">
        <v>6.98</v>
      </c>
      <c r="K184" s="1">
        <v>5.9740000000000002</v>
      </c>
      <c r="L184" s="1">
        <f t="shared" si="4"/>
        <v>14.412607449856734</v>
      </c>
      <c r="M184" s="1">
        <f t="shared" si="5"/>
        <v>0.84877937754030841</v>
      </c>
      <c r="N184" s="1">
        <v>47.77</v>
      </c>
      <c r="O184" s="1">
        <v>0.876</v>
      </c>
      <c r="P184" s="1">
        <v>5.4770000000000003</v>
      </c>
    </row>
    <row r="185" spans="1:16" x14ac:dyDescent="0.3">
      <c r="A185" s="1">
        <v>81</v>
      </c>
      <c r="B185" s="1" t="s">
        <v>14</v>
      </c>
      <c r="C185" s="1" t="s">
        <v>15</v>
      </c>
      <c r="D185" s="1" t="s">
        <v>16</v>
      </c>
      <c r="E185" s="1">
        <v>5</v>
      </c>
      <c r="F185" s="1" t="s">
        <v>22</v>
      </c>
      <c r="G185" s="1">
        <v>2</v>
      </c>
      <c r="H185" s="1">
        <v>6.9589999999999996</v>
      </c>
      <c r="I185" s="1">
        <v>15.217703693059336</v>
      </c>
      <c r="J185" s="1">
        <v>7.04</v>
      </c>
      <c r="K185" s="1">
        <v>5.9</v>
      </c>
      <c r="L185" s="1">
        <f t="shared" si="4"/>
        <v>16.193181818181817</v>
      </c>
      <c r="M185" s="1">
        <f t="shared" si="5"/>
        <v>0.86980299981822251</v>
      </c>
      <c r="N185" s="1">
        <v>47.15</v>
      </c>
      <c r="O185" s="1">
        <v>0.91600000000000004</v>
      </c>
      <c r="P185" s="1">
        <v>5.7229999999999999</v>
      </c>
    </row>
    <row r="186" spans="1:16" x14ac:dyDescent="0.3">
      <c r="A186" s="1">
        <v>84</v>
      </c>
      <c r="B186" s="1" t="s">
        <v>14</v>
      </c>
      <c r="C186" s="1" t="s">
        <v>18</v>
      </c>
      <c r="D186" s="1" t="s">
        <v>16</v>
      </c>
      <c r="E186" s="1">
        <v>1</v>
      </c>
      <c r="F186" s="1" t="s">
        <v>22</v>
      </c>
      <c r="G186" s="1">
        <v>2</v>
      </c>
      <c r="H186" s="1">
        <v>8.0670000000000002</v>
      </c>
      <c r="I186" s="1">
        <v>26.465848518656248</v>
      </c>
      <c r="J186" s="1">
        <v>7.02</v>
      </c>
      <c r="K186" s="1">
        <v>5.9320000000000004</v>
      </c>
      <c r="L186" s="1">
        <f t="shared" si="4"/>
        <v>15.498575498575487</v>
      </c>
      <c r="M186" s="1">
        <f t="shared" si="5"/>
        <v>0.86154897432197919</v>
      </c>
      <c r="N186" s="1">
        <v>46.15</v>
      </c>
      <c r="O186" s="1">
        <v>1.29</v>
      </c>
      <c r="P186" s="1">
        <v>8.0630000000000006</v>
      </c>
    </row>
    <row r="187" spans="1:16" x14ac:dyDescent="0.3">
      <c r="A187" s="1">
        <v>103</v>
      </c>
      <c r="B187" s="1" t="s">
        <v>14</v>
      </c>
      <c r="C187" s="1" t="s">
        <v>15</v>
      </c>
      <c r="D187" s="1" t="s">
        <v>16</v>
      </c>
      <c r="E187" s="1">
        <v>2</v>
      </c>
      <c r="F187" s="1" t="s">
        <v>22</v>
      </c>
      <c r="G187" s="1">
        <v>2</v>
      </c>
      <c r="H187" s="1">
        <v>7.1449999999999996</v>
      </c>
      <c r="I187" s="1">
        <v>17.746675997200839</v>
      </c>
      <c r="J187" s="1">
        <v>6.97</v>
      </c>
      <c r="K187" s="1">
        <v>5.8769999999999998</v>
      </c>
      <c r="L187" s="1">
        <f t="shared" si="4"/>
        <v>15.681492109038739</v>
      </c>
      <c r="M187" s="1">
        <f t="shared" si="5"/>
        <v>0.86371597770186448</v>
      </c>
      <c r="N187" s="1">
        <v>47.59</v>
      </c>
      <c r="O187" s="1">
        <v>0.98499999999999999</v>
      </c>
      <c r="P187" s="1">
        <v>6.1550000000000002</v>
      </c>
    </row>
    <row r="188" spans="1:16" x14ac:dyDescent="0.3">
      <c r="A188" s="1">
        <v>106</v>
      </c>
      <c r="B188" s="1" t="s">
        <v>14</v>
      </c>
      <c r="C188" s="1" t="s">
        <v>18</v>
      </c>
      <c r="D188" s="1" t="s">
        <v>16</v>
      </c>
      <c r="E188" s="1">
        <v>2</v>
      </c>
      <c r="F188" s="1" t="s">
        <v>22</v>
      </c>
      <c r="G188" s="1">
        <v>2</v>
      </c>
      <c r="H188" s="1">
        <v>8.2889999999999997</v>
      </c>
      <c r="I188" s="1">
        <v>28.507660755217756</v>
      </c>
      <c r="J188" s="1">
        <v>6.97</v>
      </c>
      <c r="K188" s="1">
        <v>5.9260000000000002</v>
      </c>
      <c r="L188" s="1">
        <f t="shared" si="4"/>
        <v>14.978479196556666</v>
      </c>
      <c r="M188" s="1">
        <f t="shared" si="5"/>
        <v>0.85541295618100432</v>
      </c>
      <c r="N188" s="1">
        <v>47.28</v>
      </c>
      <c r="O188" s="1">
        <v>1.03</v>
      </c>
      <c r="P188" s="1">
        <v>6.4349999999999996</v>
      </c>
    </row>
    <row r="189" spans="1:16" x14ac:dyDescent="0.3">
      <c r="A189" s="1">
        <v>110</v>
      </c>
      <c r="B189" s="1" t="s">
        <v>14</v>
      </c>
      <c r="C189" s="1" t="s">
        <v>15</v>
      </c>
      <c r="D189" s="1" t="s">
        <v>16</v>
      </c>
      <c r="E189" s="1">
        <v>1</v>
      </c>
      <c r="F189" s="1" t="s">
        <v>22</v>
      </c>
      <c r="G189" s="1">
        <v>2</v>
      </c>
      <c r="H189" s="1">
        <v>7.1340000000000003</v>
      </c>
      <c r="I189" s="1">
        <v>15.419119708438469</v>
      </c>
      <c r="J189" s="1">
        <v>7</v>
      </c>
      <c r="K189" s="1">
        <v>6.0339999999999998</v>
      </c>
      <c r="L189" s="1">
        <f t="shared" si="4"/>
        <v>13.800000000000004</v>
      </c>
      <c r="M189" s="1">
        <f t="shared" si="5"/>
        <v>0.8416471888783893</v>
      </c>
      <c r="N189" s="1">
        <v>47.97</v>
      </c>
      <c r="O189" s="1">
        <v>1.0569999999999999</v>
      </c>
      <c r="P189" s="1">
        <v>6.6059999999999999</v>
      </c>
    </row>
    <row r="190" spans="1:16" x14ac:dyDescent="0.3">
      <c r="A190" s="1">
        <v>117</v>
      </c>
      <c r="B190" s="1" t="s">
        <v>14</v>
      </c>
      <c r="C190" s="1" t="s">
        <v>18</v>
      </c>
      <c r="D190" s="1" t="s">
        <v>16</v>
      </c>
      <c r="E190" s="1">
        <v>4</v>
      </c>
      <c r="F190" s="1" t="s">
        <v>22</v>
      </c>
      <c r="G190" s="1">
        <v>2</v>
      </c>
      <c r="H190" s="1">
        <v>6.7110000000000003</v>
      </c>
      <c r="I190" s="1">
        <v>14.677395321114592</v>
      </c>
      <c r="J190" s="1">
        <v>6.96</v>
      </c>
      <c r="K190" s="1">
        <v>5.726</v>
      </c>
      <c r="L190" s="1">
        <f t="shared" si="4"/>
        <v>17.729885057471265</v>
      </c>
      <c r="M190" s="1">
        <f t="shared" si="5"/>
        <v>0.8883094482303503</v>
      </c>
      <c r="N190" s="1">
        <v>48.07</v>
      </c>
      <c r="O190" s="1">
        <v>0.88200000000000001</v>
      </c>
      <c r="P190" s="1">
        <v>5.5140000000000002</v>
      </c>
    </row>
    <row r="191" spans="1:16" x14ac:dyDescent="0.3">
      <c r="A191" s="1">
        <v>118</v>
      </c>
      <c r="B191" s="1" t="s">
        <v>14</v>
      </c>
      <c r="C191" s="1" t="s">
        <v>15</v>
      </c>
      <c r="D191" s="1" t="s">
        <v>16</v>
      </c>
      <c r="E191" s="1">
        <v>3</v>
      </c>
      <c r="F191" s="1" t="s">
        <v>22</v>
      </c>
      <c r="G191" s="1">
        <v>2</v>
      </c>
      <c r="H191" s="1">
        <v>9.6929999999999996</v>
      </c>
      <c r="I191" s="1">
        <v>38.605178995151142</v>
      </c>
      <c r="J191" s="1">
        <v>7.07</v>
      </c>
      <c r="K191" s="1">
        <v>5.9509999999999996</v>
      </c>
      <c r="L191" s="1">
        <f t="shared" si="4"/>
        <v>15.827439886845838</v>
      </c>
      <c r="M191" s="1">
        <f t="shared" si="5"/>
        <v>0.86544838780571187</v>
      </c>
      <c r="N191" s="1">
        <v>47.9</v>
      </c>
      <c r="O191" s="1">
        <v>0.98699999999999999</v>
      </c>
      <c r="P191" s="1">
        <v>6.1660000000000004</v>
      </c>
    </row>
    <row r="192" spans="1:16" x14ac:dyDescent="0.3">
      <c r="A192" s="1">
        <v>181</v>
      </c>
      <c r="B192" s="1" t="s">
        <v>14</v>
      </c>
      <c r="C192" s="1" t="s">
        <v>18</v>
      </c>
      <c r="D192" s="1" t="s">
        <v>19</v>
      </c>
      <c r="E192" s="1">
        <v>4</v>
      </c>
      <c r="F192" s="1" t="s">
        <v>22</v>
      </c>
      <c r="G192" s="1">
        <v>2</v>
      </c>
      <c r="H192" s="1">
        <v>8.5259999999999998</v>
      </c>
      <c r="I192" s="1">
        <v>28.735632183908049</v>
      </c>
      <c r="J192" s="1">
        <v>7.06</v>
      </c>
      <c r="K192" s="1">
        <v>6.0759999999999996</v>
      </c>
      <c r="L192" s="1">
        <f t="shared" si="4"/>
        <v>13.937677053824363</v>
      </c>
      <c r="M192" s="1">
        <f t="shared" si="5"/>
        <v>0.84324564733156959</v>
      </c>
      <c r="N192" s="1">
        <v>47.15</v>
      </c>
      <c r="O192" s="1">
        <v>0.70199999999999996</v>
      </c>
      <c r="P192" s="1">
        <v>4.3899999999999997</v>
      </c>
    </row>
    <row r="193" spans="1:16" x14ac:dyDescent="0.3">
      <c r="A193" s="1">
        <v>184</v>
      </c>
      <c r="B193" s="1" t="s">
        <v>14</v>
      </c>
      <c r="C193" s="1" t="s">
        <v>15</v>
      </c>
      <c r="D193" s="1" t="s">
        <v>19</v>
      </c>
      <c r="E193" s="1">
        <v>5</v>
      </c>
      <c r="F193" s="1" t="s">
        <v>22</v>
      </c>
      <c r="G193" s="1">
        <v>2</v>
      </c>
      <c r="H193" s="1">
        <v>7.2249999999999996</v>
      </c>
      <c r="I193" s="1">
        <v>15.446366782006917</v>
      </c>
      <c r="J193" s="1">
        <v>7.05</v>
      </c>
      <c r="K193" s="1">
        <v>6.109</v>
      </c>
      <c r="L193" s="1">
        <f t="shared" si="4"/>
        <v>13.347517730496453</v>
      </c>
      <c r="M193" s="1">
        <f t="shared" si="5"/>
        <v>0.83641170371649265</v>
      </c>
      <c r="N193" s="1">
        <v>47.87</v>
      </c>
      <c r="O193" s="1">
        <v>0.88</v>
      </c>
      <c r="P193" s="1">
        <v>5.4989999999999997</v>
      </c>
    </row>
    <row r="194" spans="1:16" x14ac:dyDescent="0.3">
      <c r="A194" s="1">
        <v>193</v>
      </c>
      <c r="B194" s="1" t="s">
        <v>14</v>
      </c>
      <c r="C194" s="1" t="s">
        <v>15</v>
      </c>
      <c r="D194" s="1" t="s">
        <v>19</v>
      </c>
      <c r="E194" s="1">
        <v>4</v>
      </c>
      <c r="F194" s="1" t="s">
        <v>22</v>
      </c>
      <c r="G194" s="1">
        <v>2</v>
      </c>
      <c r="H194" s="1">
        <v>11.888</v>
      </c>
      <c r="I194" s="1">
        <v>49.570995962314939</v>
      </c>
      <c r="J194" s="1">
        <v>7.01</v>
      </c>
      <c r="K194" s="1">
        <v>5.9950000000000001</v>
      </c>
      <c r="L194" s="1">
        <f t="shared" si="4"/>
        <v>14.479315263908699</v>
      </c>
      <c r="M194" s="1">
        <f t="shared" si="5"/>
        <v>0.84955909312696642</v>
      </c>
      <c r="N194" s="1">
        <v>48.39</v>
      </c>
      <c r="O194" s="1">
        <v>0.78300000000000003</v>
      </c>
      <c r="P194" s="1">
        <v>4.891</v>
      </c>
    </row>
    <row r="195" spans="1:16" x14ac:dyDescent="0.3">
      <c r="A195" s="1">
        <v>197</v>
      </c>
      <c r="B195" s="1" t="s">
        <v>14</v>
      </c>
      <c r="C195" s="1" t="s">
        <v>18</v>
      </c>
      <c r="D195" s="1" t="s">
        <v>19</v>
      </c>
      <c r="E195" s="1">
        <v>5</v>
      </c>
      <c r="F195" s="1" t="s">
        <v>22</v>
      </c>
      <c r="G195" s="1">
        <v>2</v>
      </c>
      <c r="H195" s="1">
        <v>10.595000000000001</v>
      </c>
      <c r="I195" s="1">
        <v>43.369513921661159</v>
      </c>
      <c r="J195" s="1">
        <v>6.99</v>
      </c>
      <c r="K195" s="1">
        <v>6</v>
      </c>
      <c r="L195" s="1">
        <f t="shared" ref="L195:L258" si="6">((J195-K195)/J195)*100</f>
        <v>14.163090128755368</v>
      </c>
      <c r="M195" s="1">
        <f t="shared" ref="M195:M258" si="7">-LN((K195/J195)/G195)</f>
        <v>0.84586826757760913</v>
      </c>
      <c r="N195" s="1">
        <v>48.4</v>
      </c>
      <c r="O195" s="1">
        <v>0.58799999999999997</v>
      </c>
      <c r="P195" s="1">
        <v>3.6779999999999999</v>
      </c>
    </row>
    <row r="196" spans="1:16" x14ac:dyDescent="0.3">
      <c r="A196" s="1">
        <v>201</v>
      </c>
      <c r="B196" s="1" t="s">
        <v>14</v>
      </c>
      <c r="C196" s="1" t="s">
        <v>18</v>
      </c>
      <c r="D196" s="1" t="s">
        <v>19</v>
      </c>
      <c r="E196" s="1">
        <v>3</v>
      </c>
      <c r="F196" s="1" t="s">
        <v>22</v>
      </c>
      <c r="G196" s="1">
        <v>2</v>
      </c>
      <c r="H196" s="1">
        <v>8.7639999999999993</v>
      </c>
      <c r="I196" s="1">
        <v>29.084892743039703</v>
      </c>
      <c r="J196" s="1">
        <v>7.06</v>
      </c>
      <c r="K196" s="1">
        <v>6.2149999999999999</v>
      </c>
      <c r="L196" s="1">
        <f t="shared" si="6"/>
        <v>11.96883852691218</v>
      </c>
      <c r="M196" s="1">
        <f t="shared" si="7"/>
        <v>0.82062650710242147</v>
      </c>
      <c r="N196" s="1">
        <v>47.3</v>
      </c>
      <c r="O196" s="1">
        <v>0.66</v>
      </c>
      <c r="P196" s="1">
        <v>4.125</v>
      </c>
    </row>
    <row r="197" spans="1:16" x14ac:dyDescent="0.3">
      <c r="A197" s="1">
        <v>215</v>
      </c>
      <c r="B197" s="1" t="s">
        <v>14</v>
      </c>
      <c r="C197" s="1" t="s">
        <v>18</v>
      </c>
      <c r="D197" s="1" t="s">
        <v>19</v>
      </c>
      <c r="E197" s="1">
        <v>2</v>
      </c>
      <c r="F197" s="1" t="s">
        <v>22</v>
      </c>
      <c r="G197" s="1">
        <v>2</v>
      </c>
      <c r="H197" s="1">
        <v>10.353999999999999</v>
      </c>
      <c r="I197" s="1">
        <v>41.790612323739609</v>
      </c>
      <c r="J197" s="1">
        <v>7.07</v>
      </c>
      <c r="K197" s="1">
        <v>6.0270000000000001</v>
      </c>
      <c r="L197" s="1">
        <f t="shared" si="6"/>
        <v>14.752475247524755</v>
      </c>
      <c r="M197" s="1">
        <f t="shared" si="7"/>
        <v>0.85275828596751968</v>
      </c>
      <c r="N197" s="1">
        <v>48.09</v>
      </c>
      <c r="O197" s="1">
        <v>0.95399999999999996</v>
      </c>
      <c r="P197" s="1">
        <v>5.9649999999999999</v>
      </c>
    </row>
    <row r="198" spans="1:16" x14ac:dyDescent="0.3">
      <c r="A198" s="1">
        <v>219</v>
      </c>
      <c r="B198" s="1" t="s">
        <v>14</v>
      </c>
      <c r="C198" s="1" t="s">
        <v>15</v>
      </c>
      <c r="D198" s="1" t="s">
        <v>19</v>
      </c>
      <c r="E198" s="1">
        <v>3</v>
      </c>
      <c r="F198" s="1" t="s">
        <v>22</v>
      </c>
      <c r="G198" s="1">
        <v>2</v>
      </c>
      <c r="H198" s="1">
        <v>8.3699999999999992</v>
      </c>
      <c r="I198" s="1">
        <v>28.769414575866186</v>
      </c>
      <c r="J198" s="1">
        <v>6.95</v>
      </c>
      <c r="K198" s="1">
        <v>5.9619999999999997</v>
      </c>
      <c r="L198" s="1">
        <f t="shared" si="6"/>
        <v>14.215827338129502</v>
      </c>
      <c r="M198" s="1">
        <f t="shared" si="7"/>
        <v>0.84648284488076653</v>
      </c>
      <c r="N198" s="1">
        <v>47.74</v>
      </c>
      <c r="O198" s="1">
        <v>0.88800000000000001</v>
      </c>
      <c r="P198" s="1">
        <v>5.5529999999999999</v>
      </c>
    </row>
    <row r="199" spans="1:16" x14ac:dyDescent="0.3">
      <c r="A199" s="1">
        <v>223</v>
      </c>
      <c r="B199" s="1" t="s">
        <v>14</v>
      </c>
      <c r="C199" s="1" t="s">
        <v>15</v>
      </c>
      <c r="D199" s="1" t="s">
        <v>19</v>
      </c>
      <c r="E199" s="1">
        <v>2</v>
      </c>
      <c r="F199" s="1" t="s">
        <v>22</v>
      </c>
      <c r="G199" s="1">
        <v>2</v>
      </c>
      <c r="H199" s="1">
        <v>8.8789999999999996</v>
      </c>
      <c r="I199" s="1">
        <v>31.996846491722035</v>
      </c>
      <c r="J199" s="1">
        <v>6.97</v>
      </c>
      <c r="K199" s="1">
        <v>6.0380000000000003</v>
      </c>
      <c r="L199" s="1">
        <f t="shared" si="6"/>
        <v>13.371592539454799</v>
      </c>
      <c r="M199" s="1">
        <f t="shared" si="7"/>
        <v>0.8366895740477307</v>
      </c>
      <c r="N199" s="1">
        <v>48.71</v>
      </c>
      <c r="O199" s="1">
        <v>0.72199999999999998</v>
      </c>
      <c r="P199" s="1">
        <v>4.5110000000000001</v>
      </c>
    </row>
    <row r="200" spans="1:16" x14ac:dyDescent="0.3">
      <c r="A200" s="1">
        <v>230</v>
      </c>
      <c r="B200" s="1" t="s">
        <v>14</v>
      </c>
      <c r="C200" s="1" t="s">
        <v>15</v>
      </c>
      <c r="D200" s="1" t="s">
        <v>19</v>
      </c>
      <c r="E200" s="1">
        <v>1</v>
      </c>
      <c r="F200" s="1" t="s">
        <v>22</v>
      </c>
      <c r="G200" s="1">
        <v>2</v>
      </c>
      <c r="H200" s="1">
        <v>10.693</v>
      </c>
      <c r="I200" s="1">
        <v>43.682783129149904</v>
      </c>
      <c r="J200" s="1">
        <v>7.01</v>
      </c>
      <c r="K200" s="1">
        <v>6.0220000000000002</v>
      </c>
      <c r="L200" s="1">
        <f t="shared" si="6"/>
        <v>14.094151212553488</v>
      </c>
      <c r="M200" s="1">
        <f t="shared" si="7"/>
        <v>0.84506545154690182</v>
      </c>
      <c r="N200" s="1">
        <v>48.02</v>
      </c>
      <c r="O200" s="1">
        <v>1.3480000000000001</v>
      </c>
      <c r="P200" s="1">
        <v>8.423</v>
      </c>
    </row>
    <row r="201" spans="1:16" x14ac:dyDescent="0.3">
      <c r="A201" s="1">
        <v>236</v>
      </c>
      <c r="B201" s="1" t="s">
        <v>14</v>
      </c>
      <c r="C201" s="1" t="s">
        <v>18</v>
      </c>
      <c r="D201" s="1" t="s">
        <v>19</v>
      </c>
      <c r="E201" s="1">
        <v>1</v>
      </c>
      <c r="F201" s="1" t="s">
        <v>22</v>
      </c>
      <c r="G201" s="1">
        <v>2</v>
      </c>
      <c r="H201" s="1">
        <v>9054</v>
      </c>
      <c r="I201" s="1">
        <v>99.932659597967756</v>
      </c>
      <c r="J201" s="1">
        <v>6.98</v>
      </c>
      <c r="K201" s="1">
        <v>6.0970000000000004</v>
      </c>
      <c r="L201" s="1">
        <f t="shared" si="6"/>
        <v>12.650429799426933</v>
      </c>
      <c r="M201" s="1">
        <f t="shared" si="7"/>
        <v>0.82839925040854734</v>
      </c>
      <c r="N201" s="1">
        <v>48</v>
      </c>
      <c r="O201" s="1">
        <v>0.80200000000000005</v>
      </c>
      <c r="P201" s="1">
        <v>5.0119999999999996</v>
      </c>
    </row>
    <row r="202" spans="1:16" x14ac:dyDescent="0.3">
      <c r="A202" s="1">
        <v>305</v>
      </c>
      <c r="B202" s="1" t="s">
        <v>20</v>
      </c>
      <c r="C202" s="1" t="s">
        <v>15</v>
      </c>
      <c r="D202" s="1" t="s">
        <v>16</v>
      </c>
      <c r="E202" s="1">
        <v>4</v>
      </c>
      <c r="F202" s="1" t="s">
        <v>22</v>
      </c>
      <c r="G202" s="1">
        <v>2</v>
      </c>
      <c r="H202" s="1">
        <v>12.205</v>
      </c>
      <c r="I202" s="1">
        <v>50.848013109381405</v>
      </c>
      <c r="J202" s="1">
        <v>7.04</v>
      </c>
      <c r="K202" s="1">
        <v>5.9989999999999997</v>
      </c>
      <c r="L202" s="1">
        <f t="shared" si="6"/>
        <v>14.786931818181822</v>
      </c>
      <c r="M202" s="1">
        <f t="shared" si="7"/>
        <v>0.85316256205894037</v>
      </c>
      <c r="N202" s="1">
        <v>48.08</v>
      </c>
      <c r="O202" s="1">
        <v>1.165</v>
      </c>
      <c r="P202" s="1">
        <v>7.2830000000000004</v>
      </c>
    </row>
    <row r="203" spans="1:16" x14ac:dyDescent="0.3">
      <c r="A203" s="1">
        <v>311</v>
      </c>
      <c r="B203" s="1" t="s">
        <v>20</v>
      </c>
      <c r="C203" s="1" t="s">
        <v>18</v>
      </c>
      <c r="D203" s="1" t="s">
        <v>16</v>
      </c>
      <c r="E203" s="1">
        <v>5</v>
      </c>
      <c r="F203" s="1" t="s">
        <v>22</v>
      </c>
      <c r="G203" s="1">
        <v>2</v>
      </c>
      <c r="H203" s="1">
        <v>13.576000000000001</v>
      </c>
      <c r="I203" s="1">
        <v>55.693871538008253</v>
      </c>
      <c r="J203" s="1">
        <v>7.02</v>
      </c>
      <c r="K203" s="1">
        <v>6.0149999999999997</v>
      </c>
      <c r="L203" s="1">
        <f t="shared" si="6"/>
        <v>14.316239316239315</v>
      </c>
      <c r="M203" s="1">
        <f t="shared" si="7"/>
        <v>0.84765404917102294</v>
      </c>
      <c r="N203" s="1">
        <v>47.67</v>
      </c>
      <c r="O203" s="1">
        <v>1.2350000000000001</v>
      </c>
      <c r="P203" s="1">
        <v>7.718</v>
      </c>
    </row>
    <row r="204" spans="1:16" x14ac:dyDescent="0.3">
      <c r="A204" s="1">
        <v>318</v>
      </c>
      <c r="B204" s="1" t="s">
        <v>20</v>
      </c>
      <c r="C204" s="1" t="s">
        <v>18</v>
      </c>
      <c r="D204" s="1" t="s">
        <v>16</v>
      </c>
      <c r="E204" s="1">
        <v>1</v>
      </c>
      <c r="F204" s="1" t="s">
        <v>22</v>
      </c>
      <c r="G204" s="1">
        <v>2</v>
      </c>
      <c r="H204" s="1">
        <v>13.073</v>
      </c>
      <c r="I204" s="1">
        <v>53.943241796068229</v>
      </c>
      <c r="J204" s="1">
        <v>7.01</v>
      </c>
      <c r="K204" s="1">
        <v>6.0209999999999999</v>
      </c>
      <c r="L204" s="1">
        <f t="shared" si="6"/>
        <v>14.10841654778887</v>
      </c>
      <c r="M204" s="1">
        <f t="shared" si="7"/>
        <v>0.84523152312413319</v>
      </c>
      <c r="N204" s="1">
        <v>47.98</v>
      </c>
      <c r="O204" s="1">
        <v>1.194</v>
      </c>
      <c r="P204" s="1">
        <v>7.4630000000000001</v>
      </c>
    </row>
    <row r="205" spans="1:16" x14ac:dyDescent="0.3">
      <c r="A205" s="1">
        <v>328</v>
      </c>
      <c r="B205" s="1" t="s">
        <v>20</v>
      </c>
      <c r="C205" s="1" t="s">
        <v>15</v>
      </c>
      <c r="D205" s="1" t="s">
        <v>16</v>
      </c>
      <c r="E205" s="1">
        <v>5</v>
      </c>
      <c r="F205" s="1" t="s">
        <v>22</v>
      </c>
      <c r="G205" s="1">
        <v>2</v>
      </c>
      <c r="H205" s="1">
        <v>10.896000000000001</v>
      </c>
      <c r="I205" s="1">
        <v>44.548458149779741</v>
      </c>
      <c r="J205" s="1">
        <v>7</v>
      </c>
      <c r="K205" s="1">
        <v>6.0419999999999998</v>
      </c>
      <c r="L205" s="1">
        <f t="shared" si="6"/>
        <v>13.685714285714287</v>
      </c>
      <c r="M205" s="1">
        <f t="shared" si="7"/>
        <v>0.84032224665077837</v>
      </c>
      <c r="N205" s="1">
        <v>48.08</v>
      </c>
      <c r="O205" s="1">
        <v>1.1339999999999999</v>
      </c>
      <c r="P205" s="1">
        <v>7.0880000000000001</v>
      </c>
    </row>
    <row r="206" spans="1:16" x14ac:dyDescent="0.3">
      <c r="A206" s="1">
        <v>331</v>
      </c>
      <c r="B206" s="1" t="s">
        <v>20</v>
      </c>
      <c r="C206" s="1" t="s">
        <v>18</v>
      </c>
      <c r="D206" s="1" t="s">
        <v>16</v>
      </c>
      <c r="E206" s="1">
        <v>4</v>
      </c>
      <c r="F206" s="1" t="s">
        <v>22</v>
      </c>
      <c r="G206" s="1">
        <v>2</v>
      </c>
      <c r="H206" s="1">
        <v>22.95</v>
      </c>
      <c r="I206" s="1">
        <v>75.420479302832234</v>
      </c>
      <c r="J206" s="1">
        <v>7.1</v>
      </c>
      <c r="K206" s="1">
        <v>5.641</v>
      </c>
      <c r="L206" s="1">
        <f t="shared" si="6"/>
        <v>20.549295774647884</v>
      </c>
      <c r="M206" s="1">
        <f t="shared" si="7"/>
        <v>0.92318060984937589</v>
      </c>
      <c r="N206" s="1">
        <v>47.91</v>
      </c>
      <c r="O206" s="1">
        <v>1.0840000000000001</v>
      </c>
      <c r="P206" s="1">
        <v>6.7720000000000002</v>
      </c>
    </row>
    <row r="207" spans="1:16" x14ac:dyDescent="0.3">
      <c r="A207" s="1">
        <v>332</v>
      </c>
      <c r="B207" s="1" t="s">
        <v>20</v>
      </c>
      <c r="C207" s="1" t="s">
        <v>15</v>
      </c>
      <c r="D207" s="1" t="s">
        <v>16</v>
      </c>
      <c r="E207" s="1">
        <v>1</v>
      </c>
      <c r="F207" s="1" t="s">
        <v>22</v>
      </c>
      <c r="G207" s="1">
        <v>2</v>
      </c>
      <c r="H207" s="1">
        <v>11.117000000000001</v>
      </c>
      <c r="I207" s="1">
        <v>46.640280651254834</v>
      </c>
      <c r="J207" s="1">
        <v>6.99</v>
      </c>
      <c r="K207" s="1">
        <v>5.9320000000000004</v>
      </c>
      <c r="L207" s="1">
        <f t="shared" si="6"/>
        <v>15.135908440629468</v>
      </c>
      <c r="M207" s="1">
        <f t="shared" si="7"/>
        <v>0.85726631252997842</v>
      </c>
      <c r="N207" s="1">
        <v>47.89</v>
      </c>
      <c r="O207" s="1">
        <v>1.1519999999999999</v>
      </c>
      <c r="P207" s="1">
        <v>7.1970000000000001</v>
      </c>
    </row>
    <row r="208" spans="1:16" x14ac:dyDescent="0.3">
      <c r="A208" s="1">
        <v>333</v>
      </c>
      <c r="B208" s="1" t="s">
        <v>20</v>
      </c>
      <c r="C208" s="1" t="s">
        <v>15</v>
      </c>
      <c r="D208" s="1" t="s">
        <v>16</v>
      </c>
      <c r="E208" s="1">
        <v>2</v>
      </c>
      <c r="F208" s="1" t="s">
        <v>22</v>
      </c>
      <c r="G208" s="1">
        <v>2</v>
      </c>
      <c r="H208" s="1">
        <v>7.65</v>
      </c>
      <c r="I208" s="1">
        <v>23.699346405228766</v>
      </c>
      <c r="J208" s="1">
        <v>6.95</v>
      </c>
      <c r="K208" s="1">
        <v>5.8369999999999997</v>
      </c>
      <c r="L208" s="1">
        <f t="shared" si="6"/>
        <v>16.014388489208638</v>
      </c>
      <c r="M208" s="1">
        <f t="shared" si="7"/>
        <v>0.86767187391499223</v>
      </c>
      <c r="N208" s="1">
        <v>47.98</v>
      </c>
      <c r="O208" s="1">
        <v>1.083</v>
      </c>
      <c r="P208" s="1">
        <v>6.7720000000000002</v>
      </c>
    </row>
    <row r="209" spans="1:16" x14ac:dyDescent="0.3">
      <c r="A209" s="1">
        <v>336</v>
      </c>
      <c r="B209" s="1" t="s">
        <v>20</v>
      </c>
      <c r="C209" s="1" t="s">
        <v>18</v>
      </c>
      <c r="D209" s="1" t="s">
        <v>16</v>
      </c>
      <c r="E209" s="1">
        <v>3</v>
      </c>
      <c r="F209" s="1" t="s">
        <v>22</v>
      </c>
      <c r="G209" s="1">
        <v>2</v>
      </c>
      <c r="H209" s="1">
        <v>10.087999999999999</v>
      </c>
      <c r="I209" s="1">
        <v>39.512291831879452</v>
      </c>
      <c r="J209" s="1">
        <v>7.04</v>
      </c>
      <c r="K209" s="1">
        <v>6.1020000000000003</v>
      </c>
      <c r="L209" s="1">
        <f t="shared" si="6"/>
        <v>13.323863636363633</v>
      </c>
      <c r="M209" s="1">
        <f t="shared" si="7"/>
        <v>0.83613876443541835</v>
      </c>
      <c r="N209" s="1">
        <v>47.33</v>
      </c>
      <c r="O209" s="1">
        <v>0.83599999999999997</v>
      </c>
      <c r="P209" s="1">
        <v>5.2249999999999996</v>
      </c>
    </row>
    <row r="210" spans="1:16" x14ac:dyDescent="0.3">
      <c r="A210" s="1">
        <v>338</v>
      </c>
      <c r="B210" s="1" t="s">
        <v>20</v>
      </c>
      <c r="C210" s="1" t="s">
        <v>18</v>
      </c>
      <c r="D210" s="1" t="s">
        <v>16</v>
      </c>
      <c r="E210" s="1">
        <v>2</v>
      </c>
      <c r="F210" s="1" t="s">
        <v>22</v>
      </c>
      <c r="G210" s="1">
        <v>2</v>
      </c>
      <c r="H210" s="1">
        <v>10.733000000000001</v>
      </c>
      <c r="I210" s="1">
        <v>44.759154010994131</v>
      </c>
      <c r="J210" s="1">
        <v>6.99</v>
      </c>
      <c r="K210" s="1">
        <v>5.9290000000000003</v>
      </c>
      <c r="L210" s="1">
        <f t="shared" si="6"/>
        <v>15.178826895565093</v>
      </c>
      <c r="M210" s="1">
        <f t="shared" si="7"/>
        <v>0.85777217208043355</v>
      </c>
      <c r="N210" s="1">
        <v>48.52</v>
      </c>
      <c r="O210" s="1">
        <v>0.83699999999999997</v>
      </c>
      <c r="P210" s="1">
        <v>5.2329999999999997</v>
      </c>
    </row>
    <row r="211" spans="1:16" x14ac:dyDescent="0.3">
      <c r="A211" s="1">
        <v>347</v>
      </c>
      <c r="B211" s="1" t="s">
        <v>20</v>
      </c>
      <c r="C211" s="1" t="s">
        <v>15</v>
      </c>
      <c r="D211" s="1" t="s">
        <v>16</v>
      </c>
      <c r="E211" s="1">
        <v>3</v>
      </c>
      <c r="F211" s="1" t="s">
        <v>22</v>
      </c>
      <c r="G211" s="1">
        <v>2</v>
      </c>
      <c r="H211" s="1">
        <v>8.5749999999999993</v>
      </c>
      <c r="I211" s="1">
        <v>29.795918367346935</v>
      </c>
      <c r="J211" s="1">
        <v>7.03</v>
      </c>
      <c r="K211" s="1">
        <v>6.02</v>
      </c>
      <c r="L211" s="1">
        <f t="shared" si="6"/>
        <v>14.366998577524903</v>
      </c>
      <c r="M211" s="1">
        <f t="shared" si="7"/>
        <v>0.84824662706178933</v>
      </c>
      <c r="N211" s="1">
        <v>45.53</v>
      </c>
      <c r="O211" s="1">
        <v>0.88400000000000001</v>
      </c>
      <c r="P211" s="1">
        <v>5.5229999999999997</v>
      </c>
    </row>
    <row r="212" spans="1:16" x14ac:dyDescent="0.3">
      <c r="A212" s="1">
        <v>424</v>
      </c>
      <c r="B212" s="1" t="s">
        <v>20</v>
      </c>
      <c r="C212" s="1" t="s">
        <v>18</v>
      </c>
      <c r="D212" s="1" t="s">
        <v>19</v>
      </c>
      <c r="E212" s="1">
        <v>3</v>
      </c>
      <c r="F212" s="1" t="s">
        <v>22</v>
      </c>
      <c r="G212" s="1">
        <v>2</v>
      </c>
      <c r="H212" s="1">
        <v>13.27</v>
      </c>
      <c r="I212" s="1">
        <v>55.764883195177084</v>
      </c>
      <c r="J212" s="1">
        <v>7.06</v>
      </c>
      <c r="K212" s="1">
        <v>5.87</v>
      </c>
      <c r="L212" s="1">
        <f t="shared" si="6"/>
        <v>16.855524079320109</v>
      </c>
      <c r="M212" s="1">
        <f t="shared" si="7"/>
        <v>0.8777375982250909</v>
      </c>
      <c r="N212" s="1">
        <v>47.78</v>
      </c>
      <c r="O212" s="1">
        <v>0.83299999999999996</v>
      </c>
      <c r="P212" s="1">
        <v>5.2039999999999997</v>
      </c>
    </row>
    <row r="213" spans="1:16" x14ac:dyDescent="0.3">
      <c r="A213" s="1">
        <v>438</v>
      </c>
      <c r="B213" s="1" t="s">
        <v>20</v>
      </c>
      <c r="C213" s="1" t="s">
        <v>15</v>
      </c>
      <c r="D213" s="1" t="s">
        <v>19</v>
      </c>
      <c r="E213" s="1">
        <v>1</v>
      </c>
      <c r="F213" s="1" t="s">
        <v>22</v>
      </c>
      <c r="G213" s="1">
        <v>2</v>
      </c>
      <c r="H213" s="1">
        <v>13.949</v>
      </c>
      <c r="I213" s="1">
        <v>56.075704351566422</v>
      </c>
      <c r="J213" s="1">
        <v>7.06</v>
      </c>
      <c r="K213" s="1">
        <v>6.1269999999999998</v>
      </c>
      <c r="L213" s="1">
        <f t="shared" si="6"/>
        <v>13.215297450424929</v>
      </c>
      <c r="M213" s="1">
        <f t="shared" si="7"/>
        <v>0.83488699832157842</v>
      </c>
      <c r="N213" s="1">
        <v>47.41</v>
      </c>
      <c r="O213" s="1">
        <v>0.81399999999999995</v>
      </c>
      <c r="P213" s="1">
        <v>5.09</v>
      </c>
    </row>
    <row r="214" spans="1:16" x14ac:dyDescent="0.3">
      <c r="A214" s="1">
        <v>441</v>
      </c>
      <c r="B214" s="1" t="s">
        <v>20</v>
      </c>
      <c r="C214" s="1" t="s">
        <v>18</v>
      </c>
      <c r="D214" s="1" t="s">
        <v>19</v>
      </c>
      <c r="E214" s="1">
        <v>2</v>
      </c>
      <c r="F214" s="1" t="s">
        <v>22</v>
      </c>
      <c r="G214" s="1">
        <v>2</v>
      </c>
      <c r="H214" s="1">
        <v>10.811999999999999</v>
      </c>
      <c r="I214" s="1">
        <v>45.763965963743985</v>
      </c>
      <c r="J214" s="1">
        <v>6.93</v>
      </c>
      <c r="K214" s="1">
        <v>5.8639999999999999</v>
      </c>
      <c r="L214" s="1">
        <f t="shared" si="6"/>
        <v>15.38239538239538</v>
      </c>
      <c r="M214" s="1">
        <f t="shared" si="7"/>
        <v>0.86017502917740674</v>
      </c>
      <c r="N214" s="1">
        <v>46.82</v>
      </c>
      <c r="O214" s="1">
        <v>0.77300000000000002</v>
      </c>
      <c r="P214" s="1">
        <v>4.8319999999999999</v>
      </c>
    </row>
    <row r="215" spans="1:16" x14ac:dyDescent="0.3">
      <c r="A215" s="1">
        <v>444</v>
      </c>
      <c r="B215" s="1" t="s">
        <v>20</v>
      </c>
      <c r="C215" s="1" t="s">
        <v>15</v>
      </c>
      <c r="D215" s="1" t="s">
        <v>19</v>
      </c>
      <c r="E215" s="1">
        <v>5</v>
      </c>
      <c r="F215" s="1" t="s">
        <v>22</v>
      </c>
      <c r="G215" s="1">
        <v>2</v>
      </c>
      <c r="H215" s="1">
        <v>11.935</v>
      </c>
      <c r="I215" s="1">
        <v>48.043569333891924</v>
      </c>
      <c r="J215" s="1">
        <v>6.99</v>
      </c>
      <c r="K215" s="1">
        <v>6.2009999999999996</v>
      </c>
      <c r="L215" s="1">
        <f t="shared" si="6"/>
        <v>11.287553648068679</v>
      </c>
      <c r="M215" s="1">
        <f t="shared" si="7"/>
        <v>0.81291716743792342</v>
      </c>
      <c r="N215" s="1">
        <v>47.66</v>
      </c>
      <c r="O215" s="1">
        <v>0.66600000000000004</v>
      </c>
      <c r="P215" s="1">
        <v>4.1630000000000003</v>
      </c>
    </row>
    <row r="216" spans="1:16" x14ac:dyDescent="0.3">
      <c r="A216" s="1">
        <v>445</v>
      </c>
      <c r="B216" s="1" t="s">
        <v>20</v>
      </c>
      <c r="C216" s="1" t="s">
        <v>15</v>
      </c>
      <c r="D216" s="1" t="s">
        <v>19</v>
      </c>
      <c r="E216" s="1">
        <v>4</v>
      </c>
      <c r="F216" s="1" t="s">
        <v>22</v>
      </c>
      <c r="G216" s="1">
        <v>2</v>
      </c>
      <c r="H216" s="1">
        <v>10.113</v>
      </c>
      <c r="I216" s="1">
        <v>39.454167902699488</v>
      </c>
      <c r="J216" s="1">
        <v>7.03</v>
      </c>
      <c r="K216" s="1">
        <v>6.1230000000000002</v>
      </c>
      <c r="L216" s="1">
        <f t="shared" si="6"/>
        <v>12.901849217638691</v>
      </c>
      <c r="M216" s="1">
        <f t="shared" si="7"/>
        <v>0.83128171388670147</v>
      </c>
      <c r="N216" s="1">
        <v>47.63</v>
      </c>
      <c r="O216" s="1">
        <v>0.82199999999999995</v>
      </c>
      <c r="P216" s="1">
        <v>5.1390000000000002</v>
      </c>
    </row>
    <row r="217" spans="1:16" x14ac:dyDescent="0.3">
      <c r="A217" s="1">
        <v>453</v>
      </c>
      <c r="B217" s="1" t="s">
        <v>20</v>
      </c>
      <c r="C217" s="1" t="s">
        <v>18</v>
      </c>
      <c r="D217" s="1" t="s">
        <v>19</v>
      </c>
      <c r="E217" s="1">
        <v>4</v>
      </c>
      <c r="F217" s="1" t="s">
        <v>22</v>
      </c>
      <c r="G217" s="1">
        <v>2</v>
      </c>
      <c r="H217" s="1">
        <v>12.708</v>
      </c>
      <c r="I217" s="1">
        <v>52.203336480956878</v>
      </c>
      <c r="J217" s="1">
        <v>7.03</v>
      </c>
      <c r="K217" s="1">
        <v>6.0739999999999998</v>
      </c>
      <c r="L217" s="1">
        <f t="shared" si="6"/>
        <v>13.598862019914657</v>
      </c>
      <c r="M217" s="1">
        <f t="shared" si="7"/>
        <v>0.83931651975896193</v>
      </c>
      <c r="N217" s="1">
        <v>47.93</v>
      </c>
      <c r="O217" s="1">
        <v>0.878</v>
      </c>
      <c r="P217" s="1">
        <v>5.4859999999999998</v>
      </c>
    </row>
    <row r="218" spans="1:16" x14ac:dyDescent="0.3">
      <c r="A218" s="1">
        <v>460</v>
      </c>
      <c r="B218" s="1" t="s">
        <v>20</v>
      </c>
      <c r="C218" s="1" t="s">
        <v>18</v>
      </c>
      <c r="D218" s="1" t="s">
        <v>19</v>
      </c>
      <c r="E218" s="1">
        <v>5</v>
      </c>
      <c r="F218" s="1" t="s">
        <v>22</v>
      </c>
      <c r="G218" s="1">
        <v>2</v>
      </c>
      <c r="H218" s="1">
        <v>14.095000000000001</v>
      </c>
      <c r="I218" s="1">
        <v>57.729691379921952</v>
      </c>
      <c r="J218" s="1">
        <v>6.99</v>
      </c>
      <c r="K218" s="1">
        <v>5.9580000000000002</v>
      </c>
      <c r="L218" s="1">
        <f t="shared" si="6"/>
        <v>14.763948497854077</v>
      </c>
      <c r="M218" s="1">
        <f t="shared" si="7"/>
        <v>0.85289288251457362</v>
      </c>
      <c r="N218" s="1">
        <v>47.57</v>
      </c>
      <c r="O218" s="1">
        <v>0.85099999999999998</v>
      </c>
      <c r="P218" s="1">
        <v>5.3209999999999997</v>
      </c>
    </row>
    <row r="219" spans="1:16" x14ac:dyDescent="0.3">
      <c r="A219" s="1">
        <v>469</v>
      </c>
      <c r="B219" s="1" t="s">
        <v>20</v>
      </c>
      <c r="C219" s="1" t="s">
        <v>15</v>
      </c>
      <c r="D219" s="1" t="s">
        <v>19</v>
      </c>
      <c r="E219" s="1">
        <v>2</v>
      </c>
      <c r="F219" s="1" t="s">
        <v>22</v>
      </c>
      <c r="G219" s="1">
        <v>2</v>
      </c>
      <c r="H219" s="1">
        <v>9.36</v>
      </c>
      <c r="I219" s="1">
        <v>36.089743589743584</v>
      </c>
      <c r="J219" s="1">
        <v>6.95</v>
      </c>
      <c r="K219" s="1">
        <v>5.9820000000000002</v>
      </c>
      <c r="L219" s="1">
        <f t="shared" si="6"/>
        <v>13.928057553956833</v>
      </c>
      <c r="M219" s="1">
        <f t="shared" si="7"/>
        <v>0.84313387992888977</v>
      </c>
      <c r="N219" s="1">
        <v>49</v>
      </c>
      <c r="O219" s="1">
        <v>0.82</v>
      </c>
      <c r="P219" s="1">
        <v>5.1269999999999998</v>
      </c>
    </row>
    <row r="220" spans="1:16" x14ac:dyDescent="0.3">
      <c r="A220" s="1">
        <v>471</v>
      </c>
      <c r="B220" s="1" t="s">
        <v>20</v>
      </c>
      <c r="C220" s="1" t="s">
        <v>18</v>
      </c>
      <c r="D220" s="1" t="s">
        <v>19</v>
      </c>
      <c r="E220" s="1">
        <v>1</v>
      </c>
      <c r="F220" s="1" t="s">
        <v>22</v>
      </c>
      <c r="G220" s="1">
        <v>2</v>
      </c>
      <c r="H220" s="1">
        <v>13.363</v>
      </c>
      <c r="I220" s="1">
        <v>54.935269026416222</v>
      </c>
      <c r="J220" s="1">
        <v>6.95</v>
      </c>
      <c r="K220" s="1">
        <v>6.0220000000000002</v>
      </c>
      <c r="L220" s="1">
        <f t="shared" si="6"/>
        <v>13.352517985611509</v>
      </c>
      <c r="M220" s="1">
        <f t="shared" si="7"/>
        <v>0.83646941007710396</v>
      </c>
      <c r="N220" s="1">
        <v>48.2</v>
      </c>
      <c r="O220" s="1">
        <v>0.76</v>
      </c>
      <c r="P220" s="1">
        <v>4.7519999999999998</v>
      </c>
    </row>
    <row r="221" spans="1:16" x14ac:dyDescent="0.3">
      <c r="A221" s="1">
        <v>480</v>
      </c>
      <c r="B221" s="1" t="s">
        <v>20</v>
      </c>
      <c r="C221" s="1" t="s">
        <v>15</v>
      </c>
      <c r="D221" s="1" t="s">
        <v>19</v>
      </c>
      <c r="E221" s="1">
        <v>3</v>
      </c>
      <c r="F221" s="1" t="s">
        <v>22</v>
      </c>
      <c r="G221" s="1">
        <v>2</v>
      </c>
      <c r="H221" s="1">
        <v>9.6769999999999996</v>
      </c>
      <c r="I221" s="1">
        <v>37.532293066032857</v>
      </c>
      <c r="J221" s="1">
        <v>6.92</v>
      </c>
      <c r="K221" s="1">
        <v>6.0449999999999999</v>
      </c>
      <c r="L221" s="1">
        <f t="shared" si="6"/>
        <v>12.644508670520233</v>
      </c>
      <c r="M221" s="1">
        <f t="shared" si="7"/>
        <v>0.82833146612276742</v>
      </c>
      <c r="N221" s="1">
        <v>46.73</v>
      </c>
      <c r="O221" s="1">
        <v>0.73899999999999999</v>
      </c>
      <c r="P221" s="1">
        <v>4.6159999999999997</v>
      </c>
    </row>
    <row r="222" spans="1:16" x14ac:dyDescent="0.3">
      <c r="A222" s="1">
        <v>542</v>
      </c>
      <c r="B222" s="1" t="s">
        <v>21</v>
      </c>
      <c r="C222" s="1" t="s">
        <v>18</v>
      </c>
      <c r="D222" s="1" t="s">
        <v>16</v>
      </c>
      <c r="E222" s="1">
        <v>4</v>
      </c>
      <c r="F222" s="1" t="s">
        <v>22</v>
      </c>
      <c r="G222" s="1">
        <v>2</v>
      </c>
      <c r="H222" s="1">
        <v>13.427</v>
      </c>
      <c r="I222" s="1">
        <v>45.289342369851795</v>
      </c>
      <c r="J222" s="1">
        <v>7.02</v>
      </c>
      <c r="K222" s="1">
        <v>6.0810000000000004</v>
      </c>
      <c r="L222" s="1">
        <f t="shared" si="6"/>
        <v>13.376068376068364</v>
      </c>
      <c r="M222" s="1">
        <f t="shared" si="7"/>
        <v>0.83674124245969217</v>
      </c>
      <c r="N222" s="1">
        <v>48.13</v>
      </c>
      <c r="O222" s="1">
        <v>0.95899999999999996</v>
      </c>
      <c r="P222" s="1">
        <v>5.9930000000000003</v>
      </c>
    </row>
    <row r="223" spans="1:16" x14ac:dyDescent="0.3">
      <c r="A223" s="1">
        <v>548</v>
      </c>
      <c r="B223" s="1" t="s">
        <v>21</v>
      </c>
      <c r="C223" s="1" t="s">
        <v>18</v>
      </c>
      <c r="D223" s="1" t="s">
        <v>16</v>
      </c>
      <c r="E223" s="1">
        <v>5</v>
      </c>
      <c r="F223" s="1" t="s">
        <v>22</v>
      </c>
      <c r="G223" s="1">
        <v>2</v>
      </c>
      <c r="H223" s="1">
        <v>12.294</v>
      </c>
      <c r="I223" s="1">
        <v>47.315763787213271</v>
      </c>
      <c r="J223" s="1">
        <v>7.04</v>
      </c>
      <c r="K223" s="1">
        <v>5.8170000000000002</v>
      </c>
      <c r="L223" s="1">
        <f t="shared" si="6"/>
        <v>17.37215909090909</v>
      </c>
      <c r="M223" s="1">
        <f t="shared" si="7"/>
        <v>0.88397068580127192</v>
      </c>
      <c r="N223" s="1">
        <v>27.36</v>
      </c>
      <c r="O223" s="1">
        <v>0.94099999999999995</v>
      </c>
      <c r="P223" s="1">
        <v>5.8789999999999996</v>
      </c>
    </row>
    <row r="224" spans="1:16" x14ac:dyDescent="0.3">
      <c r="A224" s="1">
        <v>551</v>
      </c>
      <c r="B224" s="1" t="s">
        <v>21</v>
      </c>
      <c r="C224" s="1" t="s">
        <v>18</v>
      </c>
      <c r="D224" s="1" t="s">
        <v>16</v>
      </c>
      <c r="E224" s="1">
        <v>2</v>
      </c>
      <c r="F224" s="1" t="s">
        <v>22</v>
      </c>
      <c r="G224" s="1">
        <v>2</v>
      </c>
      <c r="H224" s="1">
        <v>11.292999999999999</v>
      </c>
      <c r="I224" s="1">
        <v>52.687505534401843</v>
      </c>
      <c r="J224" s="1">
        <v>7.04</v>
      </c>
      <c r="K224" s="1">
        <v>5.95</v>
      </c>
      <c r="L224" s="1">
        <f t="shared" si="6"/>
        <v>15.482954545454545</v>
      </c>
      <c r="M224" s="1">
        <f t="shared" si="7"/>
        <v>0.86136413117235788</v>
      </c>
      <c r="N224" s="1">
        <v>48.52</v>
      </c>
      <c r="O224" s="1">
        <v>0.95299999999999996</v>
      </c>
      <c r="P224" s="1">
        <v>5.9589999999999996</v>
      </c>
    </row>
    <row r="225" spans="1:16" x14ac:dyDescent="0.3">
      <c r="A225" s="1">
        <v>556</v>
      </c>
      <c r="B225" s="1" t="s">
        <v>21</v>
      </c>
      <c r="C225" s="1" t="s">
        <v>15</v>
      </c>
      <c r="D225" s="1" t="s">
        <v>16</v>
      </c>
      <c r="E225" s="1">
        <v>3</v>
      </c>
      <c r="F225" s="1" t="s">
        <v>22</v>
      </c>
      <c r="G225" s="1">
        <v>2</v>
      </c>
      <c r="H225" s="1">
        <v>12.138999999999999</v>
      </c>
      <c r="I225" s="1">
        <v>49.872312381580038</v>
      </c>
      <c r="J225" s="1">
        <v>6.94</v>
      </c>
      <c r="K225" s="1">
        <v>6.0540000000000003</v>
      </c>
      <c r="L225" s="1">
        <f t="shared" si="6"/>
        <v>12.766570605187322</v>
      </c>
      <c r="M225" s="1">
        <f t="shared" si="7"/>
        <v>0.82972974447913161</v>
      </c>
      <c r="N225" s="1">
        <v>47.9</v>
      </c>
      <c r="O225" s="1">
        <v>0.94</v>
      </c>
      <c r="P225" s="1">
        <v>5.8719999999999999</v>
      </c>
    </row>
    <row r="226" spans="1:16" x14ac:dyDescent="0.3">
      <c r="A226" s="1">
        <v>561</v>
      </c>
      <c r="B226" s="1" t="s">
        <v>21</v>
      </c>
      <c r="C226" s="1" t="s">
        <v>15</v>
      </c>
      <c r="D226" s="1" t="s">
        <v>16</v>
      </c>
      <c r="E226" s="1">
        <v>2</v>
      </c>
      <c r="F226" s="1" t="s">
        <v>22</v>
      </c>
      <c r="G226" s="1">
        <v>2</v>
      </c>
      <c r="H226" s="1">
        <v>10.032</v>
      </c>
      <c r="I226" s="1">
        <v>61.752392344497608</v>
      </c>
      <c r="J226" s="1">
        <v>7.03</v>
      </c>
      <c r="K226" s="1">
        <v>6.1950000000000003</v>
      </c>
      <c r="L226" s="1">
        <f t="shared" si="6"/>
        <v>11.877667140825036</v>
      </c>
      <c r="M226" s="1">
        <f t="shared" si="7"/>
        <v>0.81959137130141302</v>
      </c>
      <c r="N226" s="1">
        <v>47.98</v>
      </c>
      <c r="O226" s="1">
        <v>0.998</v>
      </c>
      <c r="P226" s="1">
        <v>6.2359999999999998</v>
      </c>
    </row>
    <row r="227" spans="1:16" x14ac:dyDescent="0.3">
      <c r="A227" s="1">
        <v>566</v>
      </c>
      <c r="B227" s="1" t="s">
        <v>21</v>
      </c>
      <c r="C227" s="1" t="s">
        <v>15</v>
      </c>
      <c r="D227" s="1" t="s">
        <v>16</v>
      </c>
      <c r="E227" s="1">
        <v>4</v>
      </c>
      <c r="F227" s="1" t="s">
        <v>22</v>
      </c>
      <c r="G227" s="1">
        <v>2</v>
      </c>
      <c r="H227" s="1">
        <v>12.401</v>
      </c>
      <c r="I227" s="1">
        <v>48.552536085799531</v>
      </c>
      <c r="J227" s="1">
        <v>6.98</v>
      </c>
      <c r="K227" s="1">
        <v>6.0209999999999999</v>
      </c>
      <c r="L227" s="1">
        <f t="shared" si="6"/>
        <v>13.739255014326654</v>
      </c>
      <c r="M227" s="1">
        <f t="shared" si="7"/>
        <v>0.84094273885191573</v>
      </c>
      <c r="N227" s="1">
        <v>48.02</v>
      </c>
      <c r="O227" s="1">
        <v>0.99399999999999999</v>
      </c>
      <c r="P227" s="1">
        <v>6.2149999999999999</v>
      </c>
    </row>
    <row r="228" spans="1:16" x14ac:dyDescent="0.3">
      <c r="A228" s="1">
        <v>578</v>
      </c>
      <c r="B228" s="1" t="s">
        <v>21</v>
      </c>
      <c r="C228" s="1" t="s">
        <v>15</v>
      </c>
      <c r="D228" s="1" t="s">
        <v>16</v>
      </c>
      <c r="E228" s="1">
        <v>5</v>
      </c>
      <c r="F228" s="1" t="s">
        <v>22</v>
      </c>
      <c r="G228" s="1">
        <v>2</v>
      </c>
      <c r="H228" s="1">
        <v>11.574</v>
      </c>
      <c r="I228" s="1">
        <v>53.067219630205642</v>
      </c>
      <c r="J228" s="1">
        <v>7.02</v>
      </c>
      <c r="K228" s="1">
        <v>6.1420000000000003</v>
      </c>
      <c r="L228" s="1">
        <f t="shared" si="6"/>
        <v>12.507122507122498</v>
      </c>
      <c r="M228" s="1">
        <f t="shared" si="7"/>
        <v>0.82675997657903422</v>
      </c>
      <c r="N228" s="1">
        <v>48.12</v>
      </c>
      <c r="O228" s="1">
        <v>1.0009999999999999</v>
      </c>
      <c r="P228" s="1">
        <v>6.2590000000000003</v>
      </c>
    </row>
    <row r="229" spans="1:16" x14ac:dyDescent="0.3">
      <c r="A229" s="1">
        <v>585</v>
      </c>
      <c r="B229" s="1" t="s">
        <v>21</v>
      </c>
      <c r="C229" s="1" t="s">
        <v>18</v>
      </c>
      <c r="D229" s="1" t="s">
        <v>16</v>
      </c>
      <c r="E229" s="1">
        <v>3</v>
      </c>
      <c r="F229" s="1" t="s">
        <v>22</v>
      </c>
      <c r="G229" s="1">
        <v>2</v>
      </c>
      <c r="H229" s="1">
        <v>13.132999999999999</v>
      </c>
      <c r="I229" s="1">
        <v>44.856468438285241</v>
      </c>
      <c r="J229" s="1">
        <v>6.96</v>
      </c>
      <c r="K229" s="1">
        <v>5.891</v>
      </c>
      <c r="L229" s="1">
        <f t="shared" si="6"/>
        <v>15.35919540229885</v>
      </c>
      <c r="M229" s="1">
        <f t="shared" si="7"/>
        <v>0.85990089236672329</v>
      </c>
      <c r="N229" s="1">
        <v>48.19</v>
      </c>
      <c r="O229" s="1">
        <v>0.92</v>
      </c>
      <c r="P229" s="1">
        <v>5.7480000000000002</v>
      </c>
    </row>
    <row r="230" spans="1:16" x14ac:dyDescent="0.3">
      <c r="A230" s="1">
        <v>587</v>
      </c>
      <c r="B230" s="1" t="s">
        <v>21</v>
      </c>
      <c r="C230" s="1" t="s">
        <v>15</v>
      </c>
      <c r="D230" s="1" t="s">
        <v>16</v>
      </c>
      <c r="E230" s="1">
        <v>1</v>
      </c>
      <c r="F230" s="1" t="s">
        <v>22</v>
      </c>
      <c r="G230" s="1">
        <v>2</v>
      </c>
      <c r="H230" s="1">
        <v>8.9969999999999999</v>
      </c>
      <c r="I230" s="1">
        <v>66.03312215182838</v>
      </c>
      <c r="J230" s="1">
        <v>7</v>
      </c>
      <c r="K230" s="1">
        <v>5.9409999999999998</v>
      </c>
      <c r="L230" s="1">
        <f t="shared" si="6"/>
        <v>15.12857142857143</v>
      </c>
      <c r="M230" s="1">
        <f t="shared" si="7"/>
        <v>0.85717986024165427</v>
      </c>
      <c r="N230" s="1">
        <v>48.18</v>
      </c>
      <c r="O230" s="1">
        <v>1.1220000000000001</v>
      </c>
      <c r="P230" s="1">
        <v>7.0110000000000001</v>
      </c>
    </row>
    <row r="231" spans="1:16" x14ac:dyDescent="0.3">
      <c r="A231" s="1">
        <v>592</v>
      </c>
      <c r="B231" s="1" t="s">
        <v>21</v>
      </c>
      <c r="C231" s="1" t="s">
        <v>18</v>
      </c>
      <c r="D231" s="1" t="s">
        <v>16</v>
      </c>
      <c r="E231" s="1">
        <v>1</v>
      </c>
      <c r="F231" s="1" t="s">
        <v>22</v>
      </c>
      <c r="G231" s="1">
        <v>2</v>
      </c>
      <c r="H231" s="1">
        <v>14.63</v>
      </c>
      <c r="I231" s="1">
        <v>40.266575529733423</v>
      </c>
      <c r="J231" s="1">
        <v>6.92</v>
      </c>
      <c r="K231" s="1">
        <v>5.891</v>
      </c>
      <c r="L231" s="1">
        <f t="shared" si="6"/>
        <v>14.86994219653179</v>
      </c>
      <c r="M231" s="1">
        <f t="shared" si="7"/>
        <v>0.85413718764997326</v>
      </c>
      <c r="N231" s="1">
        <v>47.52</v>
      </c>
      <c r="O231" s="1">
        <v>0.98299999999999998</v>
      </c>
      <c r="P231" s="1">
        <v>6.1440000000000001</v>
      </c>
    </row>
    <row r="232" spans="1:16" x14ac:dyDescent="0.3">
      <c r="A232" s="1">
        <v>665</v>
      </c>
      <c r="B232" s="1" t="s">
        <v>21</v>
      </c>
      <c r="C232" s="1" t="s">
        <v>18</v>
      </c>
      <c r="D232" s="1" t="s">
        <v>19</v>
      </c>
      <c r="E232" s="1">
        <v>3</v>
      </c>
      <c r="F232" s="1" t="s">
        <v>22</v>
      </c>
      <c r="G232" s="1">
        <v>2</v>
      </c>
      <c r="H232" s="1">
        <v>13.23</v>
      </c>
      <c r="I232" s="1">
        <v>45.253212396069536</v>
      </c>
      <c r="J232" s="1">
        <v>7.09</v>
      </c>
      <c r="K232" s="1">
        <v>5.9870000000000001</v>
      </c>
      <c r="L232" s="1">
        <f t="shared" si="6"/>
        <v>15.55712270803949</v>
      </c>
      <c r="M232" s="1">
        <f t="shared" si="7"/>
        <v>0.86224206916076629</v>
      </c>
      <c r="N232" s="1">
        <v>47.76</v>
      </c>
      <c r="O232" s="1">
        <v>1.079</v>
      </c>
      <c r="P232" s="1">
        <v>6.7430000000000003</v>
      </c>
    </row>
    <row r="233" spans="1:16" x14ac:dyDescent="0.3">
      <c r="A233" s="1">
        <v>675</v>
      </c>
      <c r="B233" s="1" t="s">
        <v>21</v>
      </c>
      <c r="C233" s="1" t="s">
        <v>15</v>
      </c>
      <c r="D233" s="1" t="s">
        <v>19</v>
      </c>
      <c r="E233" s="1">
        <v>5</v>
      </c>
      <c r="F233" s="1" t="s">
        <v>22</v>
      </c>
      <c r="G233" s="1">
        <v>2</v>
      </c>
      <c r="H233" s="1">
        <v>11.863</v>
      </c>
      <c r="I233" s="1">
        <v>50.661721318384892</v>
      </c>
      <c r="J233" s="1">
        <v>6.91</v>
      </c>
      <c r="K233" s="1">
        <v>6.01</v>
      </c>
      <c r="L233" s="1">
        <f t="shared" si="6"/>
        <v>13.024602026049209</v>
      </c>
      <c r="M233" s="1">
        <f t="shared" si="7"/>
        <v>0.83269206979240762</v>
      </c>
      <c r="N233" s="1">
        <v>46.63</v>
      </c>
      <c r="O233" s="1">
        <v>0.73899999999999999</v>
      </c>
      <c r="P233" s="1">
        <v>4.6180000000000003</v>
      </c>
    </row>
    <row r="234" spans="1:16" x14ac:dyDescent="0.3">
      <c r="A234" s="1">
        <v>676</v>
      </c>
      <c r="B234" s="1" t="s">
        <v>21</v>
      </c>
      <c r="C234" s="1" t="s">
        <v>18</v>
      </c>
      <c r="D234" s="1" t="s">
        <v>19</v>
      </c>
      <c r="E234" s="1">
        <v>1</v>
      </c>
      <c r="F234" s="1" t="s">
        <v>22</v>
      </c>
      <c r="G234" s="1">
        <v>2</v>
      </c>
      <c r="H234" s="1">
        <v>12.689</v>
      </c>
      <c r="I234" s="1">
        <v>48.278036094254865</v>
      </c>
      <c r="J234" s="1">
        <v>7.06</v>
      </c>
      <c r="K234" s="1">
        <v>6.1260000000000003</v>
      </c>
      <c r="L234" s="1">
        <f t="shared" si="6"/>
        <v>13.229461756373928</v>
      </c>
      <c r="M234" s="1">
        <f t="shared" si="7"/>
        <v>0.83505022365451242</v>
      </c>
      <c r="N234" s="1">
        <v>47.31</v>
      </c>
      <c r="O234" s="1">
        <v>0.876</v>
      </c>
      <c r="P234" s="1">
        <v>5.4779999999999998</v>
      </c>
    </row>
    <row r="235" spans="1:16" x14ac:dyDescent="0.3">
      <c r="A235" s="1">
        <v>681</v>
      </c>
      <c r="B235" s="1" t="s">
        <v>21</v>
      </c>
      <c r="C235" s="1" t="s">
        <v>18</v>
      </c>
      <c r="D235" s="1" t="s">
        <v>19</v>
      </c>
      <c r="E235" s="1">
        <v>5</v>
      </c>
      <c r="F235" s="1" t="s">
        <v>22</v>
      </c>
      <c r="G235" s="1">
        <v>2</v>
      </c>
      <c r="H235" s="1">
        <v>11.087</v>
      </c>
      <c r="I235" s="1">
        <v>53.801749797059614</v>
      </c>
      <c r="J235" s="1">
        <v>6.98</v>
      </c>
      <c r="K235" s="1">
        <v>5.9649999999999999</v>
      </c>
      <c r="L235" s="1">
        <f t="shared" si="6"/>
        <v>14.541547277936969</v>
      </c>
      <c r="M235" s="1">
        <f t="shared" si="7"/>
        <v>0.85028704178434711</v>
      </c>
      <c r="N235" s="1">
        <v>47.84</v>
      </c>
      <c r="O235" s="1">
        <v>1.179</v>
      </c>
      <c r="P235" s="1">
        <v>7.3710000000000004</v>
      </c>
    </row>
    <row r="236" spans="1:16" x14ac:dyDescent="0.3">
      <c r="A236" s="1">
        <v>682</v>
      </c>
      <c r="B236" s="1" t="s">
        <v>21</v>
      </c>
      <c r="C236" s="1" t="s">
        <v>15</v>
      </c>
      <c r="D236" s="1" t="s">
        <v>19</v>
      </c>
      <c r="E236" s="1">
        <v>4</v>
      </c>
      <c r="F236" s="1" t="s">
        <v>22</v>
      </c>
      <c r="G236" s="1">
        <v>2</v>
      </c>
      <c r="H236" s="1">
        <v>11.641</v>
      </c>
      <c r="I236" s="1">
        <v>51.945709131517901</v>
      </c>
      <c r="J236" s="1">
        <v>6.95</v>
      </c>
      <c r="K236" s="1">
        <v>6.0469999999999997</v>
      </c>
      <c r="L236" s="1">
        <f t="shared" si="6"/>
        <v>12.99280575539569</v>
      </c>
      <c r="M236" s="1">
        <f t="shared" si="7"/>
        <v>0.83232655884557027</v>
      </c>
      <c r="N236" s="1">
        <v>47.35</v>
      </c>
      <c r="O236" s="1">
        <v>0.80800000000000005</v>
      </c>
      <c r="P236" s="1">
        <v>5.0469999999999997</v>
      </c>
    </row>
    <row r="237" spans="1:16" x14ac:dyDescent="0.3">
      <c r="A237" s="1">
        <v>696</v>
      </c>
      <c r="B237" s="1" t="s">
        <v>21</v>
      </c>
      <c r="C237" s="1" t="s">
        <v>15</v>
      </c>
      <c r="D237" s="1" t="s">
        <v>19</v>
      </c>
      <c r="E237" s="1">
        <v>2</v>
      </c>
      <c r="F237" s="1" t="s">
        <v>22</v>
      </c>
      <c r="G237" s="1">
        <v>2</v>
      </c>
      <c r="H237" s="1">
        <v>10.648</v>
      </c>
      <c r="I237" s="1">
        <v>58.574380165289263</v>
      </c>
      <c r="J237" s="1">
        <v>7.05</v>
      </c>
      <c r="K237" s="1">
        <v>6.2370000000000001</v>
      </c>
      <c r="L237" s="1">
        <f t="shared" si="6"/>
        <v>11.531914893617017</v>
      </c>
      <c r="M237" s="1">
        <f t="shared" si="7"/>
        <v>0.81567549984013699</v>
      </c>
      <c r="N237" s="1">
        <v>47.49</v>
      </c>
      <c r="O237" s="1">
        <v>0.61399999999999999</v>
      </c>
      <c r="P237" s="1">
        <v>3.84</v>
      </c>
    </row>
    <row r="238" spans="1:16" x14ac:dyDescent="0.3">
      <c r="A238" s="1">
        <v>707</v>
      </c>
      <c r="B238" s="1" t="s">
        <v>21</v>
      </c>
      <c r="C238" s="1" t="s">
        <v>18</v>
      </c>
      <c r="D238" s="1" t="s">
        <v>19</v>
      </c>
      <c r="E238" s="1">
        <v>4</v>
      </c>
      <c r="F238" s="1" t="s">
        <v>22</v>
      </c>
      <c r="G238" s="1">
        <v>2</v>
      </c>
      <c r="H238" s="1">
        <v>13.554</v>
      </c>
      <c r="I238" s="1">
        <v>44.156706507304115</v>
      </c>
      <c r="J238" s="1">
        <v>7.05</v>
      </c>
      <c r="K238" s="1">
        <v>5.9850000000000003</v>
      </c>
      <c r="L238" s="1">
        <f t="shared" si="6"/>
        <v>15.106382978723399</v>
      </c>
      <c r="M238" s="1">
        <f t="shared" si="7"/>
        <v>0.85691845837418601</v>
      </c>
      <c r="N238" s="1">
        <v>47.64</v>
      </c>
      <c r="O238" s="1">
        <v>0.89500000000000002</v>
      </c>
      <c r="P238" s="1">
        <v>5.5940000000000003</v>
      </c>
    </row>
    <row r="239" spans="1:16" x14ac:dyDescent="0.3">
      <c r="A239" s="1">
        <v>712</v>
      </c>
      <c r="B239" s="1" t="s">
        <v>21</v>
      </c>
      <c r="C239" s="1" t="s">
        <v>15</v>
      </c>
      <c r="D239" s="1" t="s">
        <v>19</v>
      </c>
      <c r="E239" s="1">
        <v>1</v>
      </c>
      <c r="F239" s="1" t="s">
        <v>22</v>
      </c>
      <c r="G239" s="1">
        <v>2</v>
      </c>
      <c r="H239" s="1">
        <v>12.119</v>
      </c>
      <c r="I239" s="1">
        <v>45.639079131941578</v>
      </c>
      <c r="J239" s="1">
        <v>7.09</v>
      </c>
      <c r="K239" s="1">
        <v>5.5309999999999997</v>
      </c>
      <c r="L239" s="1">
        <f t="shared" si="6"/>
        <v>21.988716502115661</v>
      </c>
      <c r="M239" s="1">
        <f t="shared" si="7"/>
        <v>0.94146389009144049</v>
      </c>
      <c r="N239" s="1">
        <v>47.28</v>
      </c>
      <c r="O239" s="1">
        <v>0.746</v>
      </c>
      <c r="P239" s="1">
        <v>4.6630000000000003</v>
      </c>
    </row>
    <row r="240" spans="1:16" x14ac:dyDescent="0.3">
      <c r="A240" s="1">
        <v>713</v>
      </c>
      <c r="B240" s="1" t="s">
        <v>21</v>
      </c>
      <c r="C240" s="1" t="s">
        <v>15</v>
      </c>
      <c r="D240" s="1" t="s">
        <v>19</v>
      </c>
      <c r="E240" s="1">
        <v>3</v>
      </c>
      <c r="F240" s="1" t="s">
        <v>22</v>
      </c>
      <c r="G240" s="1">
        <v>2</v>
      </c>
      <c r="H240" s="1">
        <v>13.896000000000001</v>
      </c>
      <c r="I240" s="1">
        <v>42.465457685664937</v>
      </c>
      <c r="J240" s="1">
        <v>7.07</v>
      </c>
      <c r="K240" s="1">
        <v>5.9009999999999998</v>
      </c>
      <c r="L240" s="1">
        <f t="shared" si="6"/>
        <v>16.53465346534654</v>
      </c>
      <c r="M240" s="1">
        <f t="shared" si="7"/>
        <v>0.87388583239339501</v>
      </c>
      <c r="N240" s="1">
        <v>46.51</v>
      </c>
      <c r="O240" s="1">
        <v>0.873</v>
      </c>
      <c r="P240" s="1">
        <v>5.4580000000000002</v>
      </c>
    </row>
    <row r="241" spans="1:16" x14ac:dyDescent="0.3">
      <c r="A241" s="1">
        <v>720</v>
      </c>
      <c r="B241" s="1" t="s">
        <v>21</v>
      </c>
      <c r="C241" s="1" t="s">
        <v>18</v>
      </c>
      <c r="D241" s="1" t="s">
        <v>19</v>
      </c>
      <c r="E241" s="1">
        <v>2</v>
      </c>
      <c r="F241" s="1" t="s">
        <v>22</v>
      </c>
      <c r="G241" s="1">
        <v>2</v>
      </c>
      <c r="H241" s="1">
        <v>11.816000000000001</v>
      </c>
      <c r="I241" s="1">
        <v>50.397765741367643</v>
      </c>
      <c r="J241" s="1">
        <v>6.97</v>
      </c>
      <c r="K241" s="1">
        <v>5.9550000000000001</v>
      </c>
      <c r="L241" s="1">
        <f t="shared" si="6"/>
        <v>14.562410329985648</v>
      </c>
      <c r="M241" s="1">
        <f t="shared" si="7"/>
        <v>0.85053120252511438</v>
      </c>
      <c r="N241" s="1">
        <v>48.27</v>
      </c>
      <c r="O241" s="1">
        <v>0.74199999999999999</v>
      </c>
      <c r="P241" s="1">
        <v>4.6349999999999998</v>
      </c>
    </row>
    <row r="242" spans="1:16" x14ac:dyDescent="0.3">
      <c r="A242" s="9">
        <v>16</v>
      </c>
      <c r="B242" s="9" t="s">
        <v>14</v>
      </c>
      <c r="C242" s="9" t="s">
        <v>15</v>
      </c>
      <c r="D242" s="9" t="s">
        <v>16</v>
      </c>
      <c r="E242" s="9">
        <v>3</v>
      </c>
      <c r="F242" s="9" t="s">
        <v>17</v>
      </c>
      <c r="G242" s="9">
        <v>3</v>
      </c>
      <c r="H242" s="9">
        <v>6.6128999999999998</v>
      </c>
      <c r="I242" s="9">
        <v>14.216153276172333</v>
      </c>
      <c r="J242" s="9">
        <v>7.07</v>
      </c>
      <c r="K242" s="9">
        <v>5.6727999999999996</v>
      </c>
      <c r="L242" s="9">
        <f t="shared" si="6"/>
        <v>19.762376237623773</v>
      </c>
      <c r="M242" s="9">
        <f t="shared" si="7"/>
        <v>1.3187899455689411</v>
      </c>
      <c r="N242" s="9"/>
      <c r="O242" s="9"/>
      <c r="P242" s="9"/>
    </row>
    <row r="243" spans="1:16" x14ac:dyDescent="0.3">
      <c r="A243" s="9">
        <v>20</v>
      </c>
      <c r="B243" s="9" t="s">
        <v>14</v>
      </c>
      <c r="C243" s="9" t="s">
        <v>18</v>
      </c>
      <c r="D243" s="9" t="s">
        <v>16</v>
      </c>
      <c r="E243" s="9">
        <v>3</v>
      </c>
      <c r="F243" s="9" t="s">
        <v>17</v>
      </c>
      <c r="G243" s="9">
        <v>3</v>
      </c>
      <c r="H243" s="9">
        <v>6.7380000000000004</v>
      </c>
      <c r="I243" s="9">
        <v>15.273078064707635</v>
      </c>
      <c r="J243" s="9">
        <v>7.07</v>
      </c>
      <c r="K243" s="9">
        <v>5.7088999999999999</v>
      </c>
      <c r="L243" s="9">
        <f t="shared" si="6"/>
        <v>19.251768033946256</v>
      </c>
      <c r="M243" s="9">
        <f t="shared" si="7"/>
        <v>1.3124464079503668</v>
      </c>
      <c r="N243" s="9"/>
      <c r="O243" s="9"/>
      <c r="P243" s="9"/>
    </row>
    <row r="244" spans="1:16" x14ac:dyDescent="0.3">
      <c r="A244" s="9">
        <v>23</v>
      </c>
      <c r="B244" s="9" t="s">
        <v>14</v>
      </c>
      <c r="C244" s="9" t="s">
        <v>15</v>
      </c>
      <c r="D244" s="9" t="s">
        <v>16</v>
      </c>
      <c r="E244" s="9">
        <v>2</v>
      </c>
      <c r="F244" s="9" t="s">
        <v>17</v>
      </c>
      <c r="G244" s="9">
        <v>3</v>
      </c>
      <c r="H244" s="9">
        <v>6.8620000000000001</v>
      </c>
      <c r="I244" s="9">
        <v>22.002331681725448</v>
      </c>
      <c r="J244" s="9">
        <v>6.99</v>
      </c>
      <c r="K244" s="9">
        <v>5.3521999999999998</v>
      </c>
      <c r="L244" s="9">
        <f t="shared" si="6"/>
        <v>23.430615164520749</v>
      </c>
      <c r="M244" s="9">
        <f t="shared" si="7"/>
        <v>1.3655851535783399</v>
      </c>
      <c r="N244" s="9"/>
      <c r="O244" s="9"/>
      <c r="P244" s="9"/>
    </row>
    <row r="245" spans="1:16" x14ac:dyDescent="0.3">
      <c r="A245" s="9">
        <v>25</v>
      </c>
      <c r="B245" s="9" t="s">
        <v>14</v>
      </c>
      <c r="C245" s="9" t="s">
        <v>18</v>
      </c>
      <c r="D245" s="9" t="s">
        <v>16</v>
      </c>
      <c r="E245" s="9">
        <v>1</v>
      </c>
      <c r="F245" s="9" t="s">
        <v>17</v>
      </c>
      <c r="G245" s="9">
        <v>3</v>
      </c>
      <c r="H245" s="9">
        <v>7.8643999999999998</v>
      </c>
      <c r="I245" s="9">
        <v>29.660241086414736</v>
      </c>
      <c r="J245" s="9">
        <v>6.9799999999999995</v>
      </c>
      <c r="K245" s="9">
        <v>5.5317999999999996</v>
      </c>
      <c r="L245" s="9">
        <f t="shared" si="6"/>
        <v>20.747851002865332</v>
      </c>
      <c r="M245" s="9">
        <f t="shared" si="7"/>
        <v>1.3311479455833743</v>
      </c>
      <c r="N245" s="9"/>
      <c r="O245" s="9"/>
      <c r="P245" s="9"/>
    </row>
    <row r="246" spans="1:16" x14ac:dyDescent="0.3">
      <c r="A246" s="9">
        <v>35</v>
      </c>
      <c r="B246" s="9" t="s">
        <v>14</v>
      </c>
      <c r="C246" s="9" t="s">
        <v>18</v>
      </c>
      <c r="D246" s="9" t="s">
        <v>16</v>
      </c>
      <c r="E246" s="9">
        <v>5</v>
      </c>
      <c r="F246" s="9" t="s">
        <v>17</v>
      </c>
      <c r="G246" s="9">
        <v>3</v>
      </c>
      <c r="H246" s="9">
        <v>6.0628000000000002</v>
      </c>
      <c r="I246" s="9">
        <v>11.420465791383521</v>
      </c>
      <c r="J246" s="9">
        <v>6.94</v>
      </c>
      <c r="K246" s="9">
        <v>5.3704000000000001</v>
      </c>
      <c r="L246" s="9">
        <f t="shared" si="6"/>
        <v>22.616714697406344</v>
      </c>
      <c r="M246" s="9">
        <f t="shared" si="7"/>
        <v>1.3550116695444181</v>
      </c>
      <c r="N246" s="9"/>
      <c r="O246" s="9"/>
      <c r="P246" s="9"/>
    </row>
    <row r="247" spans="1:16" x14ac:dyDescent="0.3">
      <c r="A247" s="9">
        <v>39</v>
      </c>
      <c r="B247" s="9" t="s">
        <v>14</v>
      </c>
      <c r="C247" s="9" t="s">
        <v>15</v>
      </c>
      <c r="D247" s="9" t="s">
        <v>16</v>
      </c>
      <c r="E247" s="9">
        <v>1</v>
      </c>
      <c r="F247" s="9" t="s">
        <v>17</v>
      </c>
      <c r="G247" s="9">
        <v>3</v>
      </c>
      <c r="H247" s="9">
        <v>6.9782000000000002</v>
      </c>
      <c r="I247" s="9">
        <v>19.016365251784126</v>
      </c>
      <c r="J247" s="9">
        <v>7.0100000000000007</v>
      </c>
      <c r="K247" s="9">
        <v>5.6512000000000002</v>
      </c>
      <c r="L247" s="9">
        <f t="shared" si="6"/>
        <v>19.383737517831673</v>
      </c>
      <c r="M247" s="9">
        <f t="shared" si="7"/>
        <v>1.3140820777271593</v>
      </c>
      <c r="N247" s="9"/>
      <c r="O247" s="9"/>
      <c r="P247" s="9"/>
    </row>
    <row r="248" spans="1:16" x14ac:dyDescent="0.3">
      <c r="A248" s="9">
        <v>40</v>
      </c>
      <c r="B248" s="9" t="s">
        <v>14</v>
      </c>
      <c r="C248" s="9" t="s">
        <v>18</v>
      </c>
      <c r="D248" s="9" t="s">
        <v>16</v>
      </c>
      <c r="E248" s="9">
        <v>4</v>
      </c>
      <c r="F248" s="9" t="s">
        <v>17</v>
      </c>
      <c r="G248" s="9">
        <v>3</v>
      </c>
      <c r="H248" s="9">
        <v>14.254300000000001</v>
      </c>
      <c r="I248" s="9">
        <v>64.244473597440773</v>
      </c>
      <c r="J248" s="9">
        <v>6.98</v>
      </c>
      <c r="K248" s="9">
        <v>5.0967000000000002</v>
      </c>
      <c r="L248" s="9">
        <f t="shared" si="6"/>
        <v>26.981375358166193</v>
      </c>
      <c r="M248" s="9">
        <f t="shared" si="7"/>
        <v>1.4130679339685492</v>
      </c>
      <c r="N248" s="9"/>
      <c r="O248" s="9"/>
      <c r="P248" s="9"/>
    </row>
    <row r="249" spans="1:16" x14ac:dyDescent="0.3">
      <c r="A249" s="9">
        <v>42</v>
      </c>
      <c r="B249" s="9" t="s">
        <v>14</v>
      </c>
      <c r="C249" s="9" t="s">
        <v>15</v>
      </c>
      <c r="D249" s="9" t="s">
        <v>16</v>
      </c>
      <c r="E249" s="9">
        <v>4</v>
      </c>
      <c r="F249" s="9" t="s">
        <v>17</v>
      </c>
      <c r="G249" s="9">
        <v>3</v>
      </c>
      <c r="H249" s="9">
        <v>7.0585000000000004</v>
      </c>
      <c r="I249" s="9">
        <v>21.545654175816395</v>
      </c>
      <c r="J249" s="9">
        <v>6.96</v>
      </c>
      <c r="K249" s="9">
        <v>5.5377000000000001</v>
      </c>
      <c r="L249" s="9">
        <f t="shared" si="6"/>
        <v>20.435344827586206</v>
      </c>
      <c r="M249" s="9">
        <f t="shared" si="7"/>
        <v>1.327212510913911</v>
      </c>
      <c r="N249" s="9"/>
      <c r="O249" s="9"/>
      <c r="P249" s="9"/>
    </row>
    <row r="250" spans="1:16" x14ac:dyDescent="0.3">
      <c r="A250" s="9">
        <v>47</v>
      </c>
      <c r="B250" s="9" t="s">
        <v>14</v>
      </c>
      <c r="C250" s="9" t="s">
        <v>15</v>
      </c>
      <c r="D250" s="9" t="s">
        <v>16</v>
      </c>
      <c r="E250" s="9">
        <v>5</v>
      </c>
      <c r="F250" s="9" t="s">
        <v>17</v>
      </c>
      <c r="G250" s="9">
        <v>3</v>
      </c>
      <c r="H250" s="9">
        <v>6.0750999999999999</v>
      </c>
      <c r="I250" s="9">
        <v>9.6047801682276823</v>
      </c>
      <c r="J250" s="9">
        <v>6.97</v>
      </c>
      <c r="K250" s="9">
        <v>5.4916</v>
      </c>
      <c r="L250" s="9">
        <f t="shared" si="6"/>
        <v>21.210903873744616</v>
      </c>
      <c r="M250" s="9">
        <f t="shared" si="7"/>
        <v>1.3370078613992293</v>
      </c>
      <c r="N250" s="9"/>
      <c r="O250" s="9"/>
      <c r="P250" s="9"/>
    </row>
    <row r="251" spans="1:16" x14ac:dyDescent="0.3">
      <c r="A251" s="9">
        <v>48</v>
      </c>
      <c r="B251" s="9" t="s">
        <v>14</v>
      </c>
      <c r="C251" s="9" t="s">
        <v>18</v>
      </c>
      <c r="D251" s="9" t="s">
        <v>16</v>
      </c>
      <c r="E251" s="9">
        <v>3</v>
      </c>
      <c r="F251" s="9" t="s">
        <v>17</v>
      </c>
      <c r="G251" s="9">
        <v>3</v>
      </c>
      <c r="H251" s="9">
        <v>6.33</v>
      </c>
      <c r="I251" s="9">
        <v>13.652448657188</v>
      </c>
      <c r="J251" s="9">
        <v>6.99</v>
      </c>
      <c r="K251" s="9">
        <v>5.4657999999999998</v>
      </c>
      <c r="L251" s="9">
        <f t="shared" si="6"/>
        <v>21.805436337625185</v>
      </c>
      <c r="M251" s="9">
        <f t="shared" si="7"/>
        <v>1.3445823479054042</v>
      </c>
      <c r="N251" s="9"/>
      <c r="O251" s="9"/>
      <c r="P251" s="9"/>
    </row>
    <row r="252" spans="1:16" x14ac:dyDescent="0.3">
      <c r="A252" s="9">
        <v>126</v>
      </c>
      <c r="B252" s="9" t="s">
        <v>14</v>
      </c>
      <c r="C252" s="9" t="s">
        <v>18</v>
      </c>
      <c r="D252" s="9" t="s">
        <v>19</v>
      </c>
      <c r="E252" s="9">
        <v>5</v>
      </c>
      <c r="F252" s="9" t="s">
        <v>17</v>
      </c>
      <c r="G252" s="9">
        <v>3</v>
      </c>
      <c r="H252" s="9">
        <v>6.4332000000000003</v>
      </c>
      <c r="I252" s="9">
        <v>11.476403656034332</v>
      </c>
      <c r="J252" s="9">
        <v>7.03</v>
      </c>
      <c r="K252" s="9">
        <v>5.6948999999999996</v>
      </c>
      <c r="L252" s="9">
        <f t="shared" si="6"/>
        <v>18.991465149359897</v>
      </c>
      <c r="M252" s="9">
        <f t="shared" si="7"/>
        <v>1.3092279570082146</v>
      </c>
      <c r="N252" s="9"/>
      <c r="O252" s="9"/>
      <c r="P252" s="9"/>
    </row>
    <row r="253" spans="1:16" x14ac:dyDescent="0.3">
      <c r="A253" s="9">
        <v>129</v>
      </c>
      <c r="B253" s="9" t="s">
        <v>14</v>
      </c>
      <c r="C253" s="9" t="s">
        <v>15</v>
      </c>
      <c r="D253" s="9" t="s">
        <v>19</v>
      </c>
      <c r="E253" s="9">
        <v>5</v>
      </c>
      <c r="F253" s="9" t="s">
        <v>17</v>
      </c>
      <c r="G253" s="9">
        <v>3</v>
      </c>
      <c r="H253" s="9">
        <v>6.2610999999999999</v>
      </c>
      <c r="I253" s="9">
        <v>15.522831451342412</v>
      </c>
      <c r="J253" s="9">
        <v>7.02</v>
      </c>
      <c r="K253" s="9">
        <v>5.2892000000000001</v>
      </c>
      <c r="L253" s="9">
        <f t="shared" si="6"/>
        <v>24.655270655270652</v>
      </c>
      <c r="M253" s="9">
        <f t="shared" si="7"/>
        <v>1.3817085010052987</v>
      </c>
      <c r="N253" s="9"/>
      <c r="O253" s="9"/>
      <c r="P253" s="9"/>
    </row>
    <row r="254" spans="1:16" x14ac:dyDescent="0.3">
      <c r="A254" s="9">
        <v>139</v>
      </c>
      <c r="B254" s="9" t="s">
        <v>14</v>
      </c>
      <c r="C254" s="9" t="s">
        <v>18</v>
      </c>
      <c r="D254" s="9" t="s">
        <v>19</v>
      </c>
      <c r="E254" s="9">
        <v>4</v>
      </c>
      <c r="F254" s="9" t="s">
        <v>17</v>
      </c>
      <c r="G254" s="9">
        <v>3</v>
      </c>
      <c r="H254" s="9">
        <v>12.1386</v>
      </c>
      <c r="I254" s="9">
        <v>54.625739376863891</v>
      </c>
      <c r="J254" s="9">
        <v>7.05</v>
      </c>
      <c r="K254" s="9">
        <v>5.5077999999999996</v>
      </c>
      <c r="L254" s="9">
        <f t="shared" si="6"/>
        <v>21.875177304964545</v>
      </c>
      <c r="M254" s="9">
        <f t="shared" si="7"/>
        <v>1.3454746361057568</v>
      </c>
      <c r="N254" s="9"/>
      <c r="O254" s="9"/>
      <c r="P254" s="9"/>
    </row>
    <row r="255" spans="1:16" x14ac:dyDescent="0.3">
      <c r="A255" s="9">
        <v>140</v>
      </c>
      <c r="B255" s="9" t="s">
        <v>14</v>
      </c>
      <c r="C255" s="9" t="s">
        <v>15</v>
      </c>
      <c r="D255" s="9" t="s">
        <v>19</v>
      </c>
      <c r="E255" s="9">
        <v>4</v>
      </c>
      <c r="F255" s="9" t="s">
        <v>17</v>
      </c>
      <c r="G255" s="9">
        <v>3</v>
      </c>
      <c r="H255" s="9">
        <v>7.4005999999999998</v>
      </c>
      <c r="I255" s="9">
        <v>21.573926438396882</v>
      </c>
      <c r="J255" s="9">
        <v>7.09</v>
      </c>
      <c r="K255" s="9">
        <v>5.8040000000000003</v>
      </c>
      <c r="L255" s="9">
        <f t="shared" si="6"/>
        <v>18.13822284908321</v>
      </c>
      <c r="M255" s="9">
        <f t="shared" si="7"/>
        <v>1.2987502941902043</v>
      </c>
      <c r="N255" s="9"/>
      <c r="O255" s="9"/>
      <c r="P255" s="9"/>
    </row>
    <row r="256" spans="1:16" x14ac:dyDescent="0.3">
      <c r="A256" s="9">
        <v>148</v>
      </c>
      <c r="B256" s="9" t="s">
        <v>14</v>
      </c>
      <c r="C256" s="9" t="s">
        <v>18</v>
      </c>
      <c r="D256" s="9" t="s">
        <v>19</v>
      </c>
      <c r="E256" s="9">
        <v>3</v>
      </c>
      <c r="F256" s="9" t="s">
        <v>17</v>
      </c>
      <c r="G256" s="9">
        <v>3</v>
      </c>
      <c r="H256" s="9">
        <v>6.7416</v>
      </c>
      <c r="I256" s="9">
        <v>17.538863177880625</v>
      </c>
      <c r="J256" s="9">
        <v>7.05</v>
      </c>
      <c r="K256" s="9">
        <v>5.5591999999999997</v>
      </c>
      <c r="L256" s="9">
        <f t="shared" si="6"/>
        <v>21.146099290780143</v>
      </c>
      <c r="M256" s="9">
        <f t="shared" si="7"/>
        <v>1.3361856924743065</v>
      </c>
      <c r="N256" s="9"/>
      <c r="O256" s="9"/>
      <c r="P256" s="9"/>
    </row>
    <row r="257" spans="1:16" x14ac:dyDescent="0.3">
      <c r="A257" s="9">
        <v>157</v>
      </c>
      <c r="B257" s="9" t="s">
        <v>14</v>
      </c>
      <c r="C257" s="9" t="s">
        <v>15</v>
      </c>
      <c r="D257" s="9" t="s">
        <v>19</v>
      </c>
      <c r="E257" s="9">
        <v>3</v>
      </c>
      <c r="F257" s="9" t="s">
        <v>17</v>
      </c>
      <c r="G257" s="9">
        <v>3</v>
      </c>
      <c r="H257" s="9">
        <v>6.4819000000000004</v>
      </c>
      <c r="I257" s="9">
        <v>14.019037627856038</v>
      </c>
      <c r="J257" s="9">
        <v>6.99</v>
      </c>
      <c r="K257" s="9">
        <v>5.5731999999999999</v>
      </c>
      <c r="L257" s="9">
        <f t="shared" si="6"/>
        <v>20.268955650929904</v>
      </c>
      <c r="M257" s="9">
        <f t="shared" si="7"/>
        <v>1.325123449656529</v>
      </c>
      <c r="N257" s="9"/>
      <c r="O257" s="9"/>
      <c r="P257" s="9"/>
    </row>
    <row r="258" spans="1:16" x14ac:dyDescent="0.3">
      <c r="A258" s="9">
        <v>159</v>
      </c>
      <c r="B258" s="9" t="s">
        <v>14</v>
      </c>
      <c r="C258" s="9" t="s">
        <v>15</v>
      </c>
      <c r="D258" s="9" t="s">
        <v>19</v>
      </c>
      <c r="E258" s="9">
        <v>2</v>
      </c>
      <c r="F258" s="9" t="s">
        <v>17</v>
      </c>
      <c r="G258" s="9">
        <v>3</v>
      </c>
      <c r="H258" s="9">
        <v>6.7679</v>
      </c>
      <c r="I258" s="9">
        <v>16.356624654619605</v>
      </c>
      <c r="J258" s="9">
        <v>7.08</v>
      </c>
      <c r="K258" s="9">
        <v>5.6608999999999998</v>
      </c>
      <c r="L258" s="9">
        <f t="shared" si="6"/>
        <v>20.043785310734467</v>
      </c>
      <c r="M258" s="9">
        <f t="shared" si="7"/>
        <v>1.3223033061987852</v>
      </c>
      <c r="N258" s="9"/>
      <c r="O258" s="9"/>
      <c r="P258" s="9"/>
    </row>
    <row r="259" spans="1:16" x14ac:dyDescent="0.3">
      <c r="A259" s="9">
        <v>162</v>
      </c>
      <c r="B259" s="9" t="s">
        <v>14</v>
      </c>
      <c r="C259" s="9" t="s">
        <v>18</v>
      </c>
      <c r="D259" s="9" t="s">
        <v>19</v>
      </c>
      <c r="E259" s="9">
        <v>1</v>
      </c>
      <c r="F259" s="9" t="s">
        <v>17</v>
      </c>
      <c r="G259" s="9">
        <v>3</v>
      </c>
      <c r="H259" s="9">
        <v>7.6631999999999998</v>
      </c>
      <c r="I259" s="9">
        <v>24.720743292619275</v>
      </c>
      <c r="J259" s="9">
        <v>7.1</v>
      </c>
      <c r="K259" s="9">
        <v>5.7687999999999997</v>
      </c>
      <c r="L259" s="9">
        <f t="shared" ref="L259:L322" si="8">((J259-K259)/J259)*100</f>
        <v>18.749295774647887</v>
      </c>
      <c r="M259" s="9">
        <f t="shared" ref="M259:M322" si="9">-LN((K259/J259)/G259)</f>
        <v>1.3062429860949667</v>
      </c>
      <c r="N259" s="9"/>
      <c r="O259" s="9"/>
      <c r="P259" s="9"/>
    </row>
    <row r="260" spans="1:16" x14ac:dyDescent="0.3">
      <c r="A260" s="9">
        <v>163</v>
      </c>
      <c r="B260" s="9" t="s">
        <v>14</v>
      </c>
      <c r="C260" s="9" t="s">
        <v>15</v>
      </c>
      <c r="D260" s="9" t="s">
        <v>19</v>
      </c>
      <c r="E260" s="9">
        <v>1</v>
      </c>
      <c r="F260" s="9" t="s">
        <v>17</v>
      </c>
      <c r="G260" s="9">
        <v>3</v>
      </c>
      <c r="H260" s="9">
        <v>7.0014000000000003</v>
      </c>
      <c r="I260" s="9">
        <v>16.62381809352415</v>
      </c>
      <c r="J260" s="9">
        <v>7.07</v>
      </c>
      <c r="K260" s="9">
        <v>5.8375000000000004</v>
      </c>
      <c r="L260" s="9">
        <f t="shared" si="8"/>
        <v>17.432814710042432</v>
      </c>
      <c r="M260" s="9">
        <f t="shared" si="9"/>
        <v>1.2901701455815753</v>
      </c>
      <c r="N260" s="9"/>
      <c r="O260" s="9"/>
      <c r="P260" s="9"/>
    </row>
    <row r="261" spans="1:16" x14ac:dyDescent="0.3">
      <c r="A261" s="9">
        <v>178</v>
      </c>
      <c r="B261" s="9" t="s">
        <v>14</v>
      </c>
      <c r="C261" s="9" t="s">
        <v>18</v>
      </c>
      <c r="D261" s="9" t="s">
        <v>19</v>
      </c>
      <c r="E261" s="9">
        <v>2</v>
      </c>
      <c r="F261" s="9" t="s">
        <v>17</v>
      </c>
      <c r="G261" s="9">
        <v>3</v>
      </c>
      <c r="H261" s="9">
        <v>6.9683000000000002</v>
      </c>
      <c r="I261" s="9">
        <v>19.996268817358605</v>
      </c>
      <c r="J261" s="9">
        <v>7.07</v>
      </c>
      <c r="K261" s="9">
        <v>5.5749000000000004</v>
      </c>
      <c r="L261" s="9">
        <f t="shared" si="8"/>
        <v>21.147100424328144</v>
      </c>
      <c r="M261" s="9">
        <f t="shared" si="9"/>
        <v>1.3361983886110134</v>
      </c>
      <c r="N261" s="9"/>
      <c r="O261" s="9"/>
      <c r="P261" s="9"/>
    </row>
    <row r="262" spans="1:16" x14ac:dyDescent="0.3">
      <c r="A262" s="9">
        <v>244</v>
      </c>
      <c r="B262" s="9" t="s">
        <v>20</v>
      </c>
      <c r="C262" s="9" t="s">
        <v>18</v>
      </c>
      <c r="D262" s="9" t="s">
        <v>16</v>
      </c>
      <c r="E262" s="9">
        <v>5</v>
      </c>
      <c r="F262" s="9" t="s">
        <v>17</v>
      </c>
      <c r="G262" s="9">
        <v>3</v>
      </c>
      <c r="H262" s="9">
        <v>20.490100000000002</v>
      </c>
      <c r="I262" s="9">
        <v>73.447176929346369</v>
      </c>
      <c r="J262" s="9">
        <v>6.98</v>
      </c>
      <c r="K262" s="9">
        <v>5.4406999999999996</v>
      </c>
      <c r="L262" s="9">
        <f t="shared" si="8"/>
        <v>22.053008595988548</v>
      </c>
      <c r="M262" s="9">
        <f t="shared" si="9"/>
        <v>1.3477534763820584</v>
      </c>
      <c r="N262" s="9"/>
      <c r="O262" s="9"/>
      <c r="P262" s="9"/>
    </row>
    <row r="263" spans="1:16" x14ac:dyDescent="0.3">
      <c r="A263" s="9">
        <v>259</v>
      </c>
      <c r="B263" s="9" t="s">
        <v>20</v>
      </c>
      <c r="C263" s="9" t="s">
        <v>15</v>
      </c>
      <c r="D263" s="9" t="s">
        <v>16</v>
      </c>
      <c r="E263" s="9">
        <v>5</v>
      </c>
      <c r="F263" s="9" t="s">
        <v>17</v>
      </c>
      <c r="G263" s="9">
        <v>3</v>
      </c>
      <c r="H263" s="9">
        <v>19.716699999999999</v>
      </c>
      <c r="I263" s="9">
        <v>72.405625687868664</v>
      </c>
      <c r="J263" s="9">
        <v>7.02</v>
      </c>
      <c r="K263" s="9">
        <v>5.4406999999999996</v>
      </c>
      <c r="L263" s="9">
        <f t="shared" si="8"/>
        <v>22.497150997150996</v>
      </c>
      <c r="M263" s="9">
        <f t="shared" si="9"/>
        <v>1.3534677776454969</v>
      </c>
      <c r="N263" s="9"/>
      <c r="O263" s="9"/>
      <c r="P263" s="9"/>
    </row>
    <row r="264" spans="1:16" x14ac:dyDescent="0.3">
      <c r="A264" s="9">
        <v>260</v>
      </c>
      <c r="B264" s="9" t="s">
        <v>20</v>
      </c>
      <c r="C264" s="9" t="s">
        <v>18</v>
      </c>
      <c r="D264" s="9" t="s">
        <v>16</v>
      </c>
      <c r="E264" s="9">
        <v>1</v>
      </c>
      <c r="F264" s="9" t="s">
        <v>17</v>
      </c>
      <c r="G264" s="9">
        <v>3</v>
      </c>
      <c r="H264" s="9">
        <v>17.674600000000002</v>
      </c>
      <c r="I264" s="9">
        <v>68.732531429282702</v>
      </c>
      <c r="J264" s="9">
        <v>7.05</v>
      </c>
      <c r="K264" s="9">
        <v>5.5263999999999998</v>
      </c>
      <c r="L264" s="9">
        <f t="shared" si="8"/>
        <v>21.611347517730497</v>
      </c>
      <c r="M264" s="9">
        <f t="shared" si="9"/>
        <v>1.3421032965220645</v>
      </c>
      <c r="N264" s="9"/>
      <c r="O264" s="9"/>
      <c r="P264" s="9"/>
    </row>
    <row r="265" spans="1:16" x14ac:dyDescent="0.3">
      <c r="A265" s="9">
        <v>266</v>
      </c>
      <c r="B265" s="9" t="s">
        <v>20</v>
      </c>
      <c r="C265" s="9" t="s">
        <v>18</v>
      </c>
      <c r="D265" s="9" t="s">
        <v>16</v>
      </c>
      <c r="E265" s="9">
        <v>2</v>
      </c>
      <c r="F265" s="9" t="s">
        <v>17</v>
      </c>
      <c r="G265" s="9">
        <v>3</v>
      </c>
      <c r="H265" s="9">
        <v>16.7014</v>
      </c>
      <c r="I265" s="9">
        <v>66.575855916270484</v>
      </c>
      <c r="J265" s="9">
        <v>7.02</v>
      </c>
      <c r="K265" s="9">
        <v>5.5823</v>
      </c>
      <c r="L265" s="9">
        <f t="shared" si="8"/>
        <v>20.480056980056975</v>
      </c>
      <c r="M265" s="9">
        <f t="shared" si="9"/>
        <v>1.3277746288581513</v>
      </c>
      <c r="N265" s="9"/>
      <c r="O265" s="9"/>
      <c r="P265" s="9"/>
    </row>
    <row r="266" spans="1:16" x14ac:dyDescent="0.3">
      <c r="A266" s="9">
        <v>269</v>
      </c>
      <c r="B266" s="9" t="s">
        <v>20</v>
      </c>
      <c r="C266" s="9" t="s">
        <v>15</v>
      </c>
      <c r="D266" s="9" t="s">
        <v>16</v>
      </c>
      <c r="E266" s="9">
        <v>3</v>
      </c>
      <c r="F266" s="9" t="s">
        <v>17</v>
      </c>
      <c r="G266" s="9">
        <v>3</v>
      </c>
      <c r="H266" s="9">
        <v>9.9959000000000007</v>
      </c>
      <c r="I266" s="9">
        <v>43.555857901739714</v>
      </c>
      <c r="J266" s="9">
        <v>6.9999999999999991</v>
      </c>
      <c r="K266" s="9">
        <v>5.6421000000000001</v>
      </c>
      <c r="L266" s="9">
        <f t="shared" si="8"/>
        <v>19.398571428571419</v>
      </c>
      <c r="M266" s="9">
        <f t="shared" si="9"/>
        <v>1.3142661010894177</v>
      </c>
      <c r="N266" s="9"/>
      <c r="O266" s="9"/>
      <c r="P266" s="9"/>
    </row>
    <row r="267" spans="1:16" x14ac:dyDescent="0.3">
      <c r="A267" s="9">
        <v>278</v>
      </c>
      <c r="B267" s="9" t="s">
        <v>20</v>
      </c>
      <c r="C267" s="9" t="s">
        <v>18</v>
      </c>
      <c r="D267" s="9" t="s">
        <v>16</v>
      </c>
      <c r="E267" s="9">
        <v>3</v>
      </c>
      <c r="F267" s="9" t="s">
        <v>17</v>
      </c>
      <c r="G267" s="9">
        <v>3</v>
      </c>
      <c r="H267" s="9">
        <v>9.0296000000000003</v>
      </c>
      <c r="I267" s="9">
        <v>37.063657304864009</v>
      </c>
      <c r="J267" s="9">
        <v>7.06</v>
      </c>
      <c r="K267" s="9">
        <v>5.6829000000000001</v>
      </c>
      <c r="L267" s="9">
        <f t="shared" si="8"/>
        <v>19.505665722379597</v>
      </c>
      <c r="M267" s="9">
        <f t="shared" si="9"/>
        <v>1.3155956743530546</v>
      </c>
      <c r="N267" s="9"/>
      <c r="O267" s="9"/>
      <c r="P267" s="9"/>
    </row>
    <row r="268" spans="1:16" x14ac:dyDescent="0.3">
      <c r="A268" s="9">
        <v>281</v>
      </c>
      <c r="B268" s="9" t="s">
        <v>20</v>
      </c>
      <c r="C268" s="9" t="s">
        <v>15</v>
      </c>
      <c r="D268" s="9" t="s">
        <v>16</v>
      </c>
      <c r="E268" s="9">
        <v>2</v>
      </c>
      <c r="F268" s="9" t="s">
        <v>17</v>
      </c>
      <c r="G268" s="9">
        <v>3</v>
      </c>
      <c r="H268" s="9">
        <v>15.992900000000001</v>
      </c>
      <c r="I268" s="9">
        <v>65.258333385439798</v>
      </c>
      <c r="J268" s="9">
        <v>7.04</v>
      </c>
      <c r="K268" s="9">
        <v>5.5561999999999996</v>
      </c>
      <c r="L268" s="9">
        <f t="shared" si="8"/>
        <v>21.076704545454554</v>
      </c>
      <c r="M268" s="9">
        <f t="shared" si="9"/>
        <v>1.3353060374736139</v>
      </c>
      <c r="N268" s="9"/>
      <c r="O268" s="9"/>
      <c r="P268" s="9"/>
    </row>
    <row r="269" spans="1:16" x14ac:dyDescent="0.3">
      <c r="A269" s="9">
        <v>287</v>
      </c>
      <c r="B269" s="9" t="s">
        <v>20</v>
      </c>
      <c r="C269" s="9" t="s">
        <v>15</v>
      </c>
      <c r="D269" s="9" t="s">
        <v>16</v>
      </c>
      <c r="E269" s="9">
        <v>1</v>
      </c>
      <c r="F269" s="9" t="s">
        <v>17</v>
      </c>
      <c r="G269" s="9">
        <v>3</v>
      </c>
      <c r="H269" s="9">
        <v>12.0032</v>
      </c>
      <c r="I269" s="9">
        <v>51.682884564116236</v>
      </c>
      <c r="J269" s="9">
        <v>7.0100000000000007</v>
      </c>
      <c r="K269" s="9">
        <v>5.7995999999999999</v>
      </c>
      <c r="L269" s="9">
        <f t="shared" si="8"/>
        <v>17.266761768901578</v>
      </c>
      <c r="M269" s="9">
        <f t="shared" si="9"/>
        <v>1.288161040057707</v>
      </c>
      <c r="N269" s="9"/>
      <c r="O269" s="9"/>
      <c r="P269" s="9"/>
    </row>
    <row r="270" spans="1:16" x14ac:dyDescent="0.3">
      <c r="A270" s="9">
        <v>290</v>
      </c>
      <c r="B270" s="9" t="s">
        <v>20</v>
      </c>
      <c r="C270" s="9" t="s">
        <v>18</v>
      </c>
      <c r="D270" s="9" t="s">
        <v>16</v>
      </c>
      <c r="E270" s="9">
        <v>4</v>
      </c>
      <c r="F270" s="9" t="s">
        <v>17</v>
      </c>
      <c r="G270" s="9">
        <v>3</v>
      </c>
      <c r="H270" s="9">
        <v>6.9192999999999998</v>
      </c>
      <c r="I270" s="9">
        <v>17.868859566719173</v>
      </c>
      <c r="J270" s="9">
        <v>6.92</v>
      </c>
      <c r="K270" s="9">
        <v>5.6829000000000001</v>
      </c>
      <c r="L270" s="9">
        <f t="shared" si="8"/>
        <v>17.877167630057802</v>
      </c>
      <c r="M270" s="9">
        <f t="shared" si="9"/>
        <v>1.2955663924774821</v>
      </c>
      <c r="N270" s="9"/>
      <c r="O270" s="9"/>
      <c r="P270" s="9"/>
    </row>
    <row r="271" spans="1:16" x14ac:dyDescent="0.3">
      <c r="A271" s="9">
        <v>299</v>
      </c>
      <c r="B271" s="9" t="s">
        <v>20</v>
      </c>
      <c r="C271" s="9" t="s">
        <v>15</v>
      </c>
      <c r="D271" s="9" t="s">
        <v>16</v>
      </c>
      <c r="E271" s="9">
        <v>4</v>
      </c>
      <c r="F271" s="9" t="s">
        <v>17</v>
      </c>
      <c r="G271" s="9">
        <v>3</v>
      </c>
      <c r="H271" s="9">
        <v>20.890999999999998</v>
      </c>
      <c r="I271" s="9">
        <v>73.560863529749653</v>
      </c>
      <c r="J271" s="9">
        <v>6.9099999999999993</v>
      </c>
      <c r="K271" s="9">
        <v>5.5233999999999996</v>
      </c>
      <c r="L271" s="9">
        <f t="shared" si="8"/>
        <v>20.066570188133138</v>
      </c>
      <c r="M271" s="9">
        <f t="shared" si="9"/>
        <v>1.3225883137441334</v>
      </c>
      <c r="N271" s="9"/>
      <c r="O271" s="9"/>
      <c r="P271" s="9"/>
    </row>
    <row r="272" spans="1:16" x14ac:dyDescent="0.3">
      <c r="A272" s="9">
        <v>372</v>
      </c>
      <c r="B272" s="9" t="s">
        <v>20</v>
      </c>
      <c r="C272" s="9" t="s">
        <v>18</v>
      </c>
      <c r="D272" s="9" t="s">
        <v>19</v>
      </c>
      <c r="E272" s="9">
        <v>1</v>
      </c>
      <c r="F272" s="9" t="s">
        <v>17</v>
      </c>
      <c r="G272" s="9">
        <v>3</v>
      </c>
      <c r="H272" s="9">
        <v>19.230499999999999</v>
      </c>
      <c r="I272" s="9">
        <v>71.03299446192247</v>
      </c>
      <c r="J272" s="9">
        <v>6.97</v>
      </c>
      <c r="K272" s="9">
        <v>5.5705</v>
      </c>
      <c r="L272" s="9">
        <f t="shared" si="8"/>
        <v>20.078909612625534</v>
      </c>
      <c r="M272" s="9">
        <f t="shared" si="9"/>
        <v>1.322742696923308</v>
      </c>
      <c r="N272" s="9"/>
      <c r="O272" s="9"/>
      <c r="P272" s="9"/>
    </row>
    <row r="273" spans="1:16" x14ac:dyDescent="0.3">
      <c r="A273" s="9">
        <v>374</v>
      </c>
      <c r="B273" s="9" t="s">
        <v>20</v>
      </c>
      <c r="C273" s="9" t="s">
        <v>15</v>
      </c>
      <c r="D273" s="9" t="s">
        <v>19</v>
      </c>
      <c r="E273" s="9">
        <v>3</v>
      </c>
      <c r="F273" s="9" t="s">
        <v>17</v>
      </c>
      <c r="G273" s="9">
        <v>3</v>
      </c>
      <c r="H273" s="9">
        <v>10.6341</v>
      </c>
      <c r="I273" s="9">
        <v>48.103741736489219</v>
      </c>
      <c r="J273" s="9">
        <v>6.99</v>
      </c>
      <c r="K273" s="9">
        <v>5.5186999999999999</v>
      </c>
      <c r="L273" s="9">
        <f t="shared" si="8"/>
        <v>21.048640915593708</v>
      </c>
      <c r="M273" s="9">
        <f t="shared" si="9"/>
        <v>1.3349505196073879</v>
      </c>
      <c r="N273" s="9"/>
      <c r="O273" s="9"/>
      <c r="P273" s="9"/>
    </row>
    <row r="274" spans="1:16" x14ac:dyDescent="0.3">
      <c r="A274" s="9">
        <v>385</v>
      </c>
      <c r="B274" s="9" t="s">
        <v>20</v>
      </c>
      <c r="C274" s="9" t="s">
        <v>15</v>
      </c>
      <c r="D274" s="9" t="s">
        <v>19</v>
      </c>
      <c r="E274" s="9">
        <v>2</v>
      </c>
      <c r="F274" s="9" t="s">
        <v>17</v>
      </c>
      <c r="G274" s="9">
        <v>3</v>
      </c>
      <c r="H274" s="9">
        <v>13.993</v>
      </c>
      <c r="I274" s="9">
        <v>58.767955406274574</v>
      </c>
      <c r="J274" s="9">
        <v>7.01</v>
      </c>
      <c r="K274" s="9">
        <v>5.7695999999999996</v>
      </c>
      <c r="L274" s="9">
        <f t="shared" si="8"/>
        <v>17.694721825962915</v>
      </c>
      <c r="M274" s="9">
        <f t="shared" si="9"/>
        <v>1.2933472356877473</v>
      </c>
      <c r="N274" s="9"/>
      <c r="O274" s="9"/>
      <c r="P274" s="9"/>
    </row>
    <row r="275" spans="1:16" x14ac:dyDescent="0.3">
      <c r="A275" s="9">
        <v>386</v>
      </c>
      <c r="B275" s="9" t="s">
        <v>20</v>
      </c>
      <c r="C275" s="9" t="s">
        <v>18</v>
      </c>
      <c r="D275" s="9" t="s">
        <v>19</v>
      </c>
      <c r="E275" s="9">
        <v>2</v>
      </c>
      <c r="F275" s="9" t="s">
        <v>17</v>
      </c>
      <c r="G275" s="9">
        <v>3</v>
      </c>
      <c r="H275" s="9">
        <v>13.8095</v>
      </c>
      <c r="I275" s="9">
        <v>59.716861580795836</v>
      </c>
      <c r="J275" s="9">
        <v>6.91</v>
      </c>
      <c r="K275" s="9">
        <v>5.5629</v>
      </c>
      <c r="L275" s="9">
        <f t="shared" si="8"/>
        <v>19.494934876989873</v>
      </c>
      <c r="M275" s="9">
        <f t="shared" si="9"/>
        <v>1.3154623714283782</v>
      </c>
      <c r="N275" s="9"/>
      <c r="O275" s="9"/>
      <c r="P275" s="9"/>
    </row>
    <row r="276" spans="1:16" x14ac:dyDescent="0.3">
      <c r="A276" s="9">
        <v>394</v>
      </c>
      <c r="B276" s="9" t="s">
        <v>20</v>
      </c>
      <c r="C276" s="9" t="s">
        <v>18</v>
      </c>
      <c r="D276" s="9" t="s">
        <v>19</v>
      </c>
      <c r="E276" s="9">
        <v>3</v>
      </c>
      <c r="F276" s="9" t="s">
        <v>17</v>
      </c>
      <c r="G276" s="9">
        <v>3</v>
      </c>
      <c r="H276" s="9">
        <v>11.0466</v>
      </c>
      <c r="I276" s="9">
        <v>50.829214418916223</v>
      </c>
      <c r="J276" s="9">
        <v>6.94</v>
      </c>
      <c r="K276" s="9">
        <v>5.4317000000000002</v>
      </c>
      <c r="L276" s="9">
        <f t="shared" si="8"/>
        <v>21.733429394812681</v>
      </c>
      <c r="M276" s="9">
        <f t="shared" si="9"/>
        <v>1.343661902732443</v>
      </c>
      <c r="N276" s="9"/>
      <c r="O276" s="9"/>
      <c r="P276" s="9"/>
    </row>
    <row r="277" spans="1:16" x14ac:dyDescent="0.3">
      <c r="A277" s="9">
        <v>398</v>
      </c>
      <c r="B277" s="9" t="s">
        <v>20</v>
      </c>
      <c r="C277" s="9" t="s">
        <v>18</v>
      </c>
      <c r="D277" s="9" t="s">
        <v>19</v>
      </c>
      <c r="E277" s="9">
        <v>4</v>
      </c>
      <c r="F277" s="9" t="s">
        <v>17</v>
      </c>
      <c r="G277" s="9">
        <v>3</v>
      </c>
      <c r="H277" s="9">
        <v>9.3363999999999994</v>
      </c>
      <c r="I277" s="9">
        <v>37.119232252259962</v>
      </c>
      <c r="J277" s="9">
        <v>7.06</v>
      </c>
      <c r="K277" s="9">
        <v>5.8708</v>
      </c>
      <c r="L277" s="9">
        <f t="shared" si="8"/>
        <v>16.844192634560901</v>
      </c>
      <c r="M277" s="9">
        <f t="shared" si="9"/>
        <v>1.2830664294183538</v>
      </c>
      <c r="N277" s="9"/>
      <c r="O277" s="9"/>
      <c r="P277" s="9"/>
    </row>
    <row r="278" spans="1:16" x14ac:dyDescent="0.3">
      <c r="A278" s="9">
        <v>413</v>
      </c>
      <c r="B278" s="9" t="s">
        <v>20</v>
      </c>
      <c r="C278" s="9" t="s">
        <v>15</v>
      </c>
      <c r="D278" s="9" t="s">
        <v>19</v>
      </c>
      <c r="E278" s="9">
        <v>1</v>
      </c>
      <c r="F278" s="9" t="s">
        <v>17</v>
      </c>
      <c r="G278" s="9">
        <v>3</v>
      </c>
      <c r="H278" s="9">
        <v>10.5387</v>
      </c>
      <c r="I278" s="9">
        <v>47.674760644102214</v>
      </c>
      <c r="J278" s="9">
        <v>6.93</v>
      </c>
      <c r="K278" s="9">
        <v>5.5144000000000002</v>
      </c>
      <c r="L278" s="9">
        <f t="shared" si="8"/>
        <v>20.427128427128423</v>
      </c>
      <c r="M278" s="9">
        <f t="shared" si="9"/>
        <v>1.3271092492806165</v>
      </c>
      <c r="N278" s="9"/>
      <c r="O278" s="9"/>
      <c r="P278" s="9"/>
    </row>
    <row r="279" spans="1:16" x14ac:dyDescent="0.3">
      <c r="A279" s="9">
        <v>414</v>
      </c>
      <c r="B279" s="9" t="s">
        <v>20</v>
      </c>
      <c r="C279" s="9" t="s">
        <v>15</v>
      </c>
      <c r="D279" s="9" t="s">
        <v>19</v>
      </c>
      <c r="E279" s="9">
        <v>5</v>
      </c>
      <c r="F279" s="9" t="s">
        <v>17</v>
      </c>
      <c r="G279" s="9">
        <v>3</v>
      </c>
      <c r="H279" s="9">
        <v>18.811</v>
      </c>
      <c r="I279" s="9">
        <v>69.945776407421178</v>
      </c>
      <c r="J279" s="9">
        <v>7.07</v>
      </c>
      <c r="K279" s="9">
        <v>5.6535000000000002</v>
      </c>
      <c r="L279" s="9">
        <f t="shared" si="8"/>
        <v>20.035360678925034</v>
      </c>
      <c r="M279" s="9">
        <f t="shared" si="9"/>
        <v>1.3221979461834283</v>
      </c>
      <c r="N279" s="9"/>
      <c r="O279" s="9"/>
      <c r="P279" s="9"/>
    </row>
    <row r="280" spans="1:16" x14ac:dyDescent="0.3">
      <c r="A280" s="9">
        <v>417</v>
      </c>
      <c r="B280" s="9" t="s">
        <v>20</v>
      </c>
      <c r="C280" s="9" t="s">
        <v>18</v>
      </c>
      <c r="D280" s="9" t="s">
        <v>19</v>
      </c>
      <c r="E280" s="9">
        <v>5</v>
      </c>
      <c r="F280" s="9" t="s">
        <v>17</v>
      </c>
      <c r="G280" s="9">
        <v>3</v>
      </c>
      <c r="H280" s="9">
        <v>17.663</v>
      </c>
      <c r="I280" s="9">
        <v>68.28511577874653</v>
      </c>
      <c r="J280" s="9">
        <v>7.02</v>
      </c>
      <c r="K280" s="9">
        <v>5.6017999999999999</v>
      </c>
      <c r="L280" s="9">
        <f t="shared" si="8"/>
        <v>20.2022792022792</v>
      </c>
      <c r="M280" s="9">
        <f t="shared" si="9"/>
        <v>1.3242875320403935</v>
      </c>
      <c r="N280" s="9"/>
      <c r="O280" s="9"/>
      <c r="P280" s="9"/>
    </row>
    <row r="281" spans="1:16" x14ac:dyDescent="0.3">
      <c r="A281" s="9">
        <v>418</v>
      </c>
      <c r="B281" s="9" t="s">
        <v>20</v>
      </c>
      <c r="C281" s="9" t="s">
        <v>15</v>
      </c>
      <c r="D281" s="9" t="s">
        <v>19</v>
      </c>
      <c r="E281" s="9">
        <v>4</v>
      </c>
      <c r="F281" s="9" t="s">
        <v>17</v>
      </c>
      <c r="G281" s="9">
        <v>3</v>
      </c>
      <c r="H281" s="9">
        <v>21.006799999999998</v>
      </c>
      <c r="I281" s="9">
        <v>73.22962088466592</v>
      </c>
      <c r="J281" s="9">
        <v>6.91</v>
      </c>
      <c r="K281" s="9">
        <v>5.6235999999999997</v>
      </c>
      <c r="L281" s="9">
        <f t="shared" si="8"/>
        <v>18.616497829233001</v>
      </c>
      <c r="M281" s="9">
        <f t="shared" si="9"/>
        <v>1.304609898224073</v>
      </c>
      <c r="N281" s="9"/>
      <c r="O281" s="9"/>
      <c r="P281" s="9"/>
    </row>
    <row r="282" spans="1:16" x14ac:dyDescent="0.3">
      <c r="A282" s="9">
        <v>488</v>
      </c>
      <c r="B282" s="9" t="s">
        <v>21</v>
      </c>
      <c r="C282" s="9" t="s">
        <v>18</v>
      </c>
      <c r="D282" s="9" t="s">
        <v>16</v>
      </c>
      <c r="E282" s="9">
        <v>4</v>
      </c>
      <c r="F282" s="9" t="s">
        <v>17</v>
      </c>
      <c r="G282" s="9">
        <v>3</v>
      </c>
      <c r="H282" s="9">
        <v>21.667999999999999</v>
      </c>
      <c r="I282" s="9">
        <v>25.838102270629506</v>
      </c>
      <c r="J282" s="9">
        <v>7.08</v>
      </c>
      <c r="K282" s="9">
        <v>5.5986000000000002</v>
      </c>
      <c r="L282" s="9">
        <f t="shared" si="8"/>
        <v>20.923728813559318</v>
      </c>
      <c r="M282" s="9">
        <f t="shared" si="9"/>
        <v>1.3333696298878439</v>
      </c>
      <c r="N282" s="9"/>
      <c r="O282" s="9"/>
      <c r="P282" s="9"/>
    </row>
    <row r="283" spans="1:16" x14ac:dyDescent="0.3">
      <c r="A283" s="9">
        <v>500</v>
      </c>
      <c r="B283" s="9" t="s">
        <v>21</v>
      </c>
      <c r="C283" s="9" t="s">
        <v>15</v>
      </c>
      <c r="D283" s="9" t="s">
        <v>16</v>
      </c>
      <c r="E283" s="9">
        <v>4</v>
      </c>
      <c r="F283" s="9" t="s">
        <v>17</v>
      </c>
      <c r="G283" s="9">
        <v>3</v>
      </c>
      <c r="H283" s="9">
        <v>19.6919</v>
      </c>
      <c r="I283" s="9">
        <v>27.523499509950796</v>
      </c>
      <c r="J283" s="9">
        <v>7.04</v>
      </c>
      <c r="K283" s="9">
        <v>5.4199000000000002</v>
      </c>
      <c r="L283" s="9">
        <f t="shared" si="8"/>
        <v>23.01278409090909</v>
      </c>
      <c r="M283" s="9">
        <f t="shared" si="9"/>
        <v>1.3601430937412144</v>
      </c>
      <c r="N283" s="9"/>
      <c r="O283" s="9"/>
      <c r="P283" s="9"/>
    </row>
    <row r="284" spans="1:16" x14ac:dyDescent="0.3">
      <c r="A284" s="9">
        <v>501</v>
      </c>
      <c r="B284" s="9" t="s">
        <v>21</v>
      </c>
      <c r="C284" s="9" t="s">
        <v>15</v>
      </c>
      <c r="D284" s="9" t="s">
        <v>16</v>
      </c>
      <c r="E284" s="9">
        <v>4</v>
      </c>
      <c r="F284" s="9" t="s">
        <v>17</v>
      </c>
      <c r="G284" s="9">
        <v>3</v>
      </c>
      <c r="H284" s="9">
        <v>22.454699999999999</v>
      </c>
      <c r="I284" s="9">
        <v>23.881859922421587</v>
      </c>
      <c r="J284" s="9">
        <v>6.94</v>
      </c>
      <c r="K284" s="9">
        <v>5.3625999999999996</v>
      </c>
      <c r="L284" s="9">
        <f t="shared" si="8"/>
        <v>22.729106628242086</v>
      </c>
      <c r="M284" s="9">
        <f t="shared" si="9"/>
        <v>1.3564651310879119</v>
      </c>
      <c r="N284" s="9"/>
      <c r="O284" s="9"/>
      <c r="P284" s="9"/>
    </row>
    <row r="285" spans="1:16" x14ac:dyDescent="0.3">
      <c r="A285" s="9">
        <v>502</v>
      </c>
      <c r="B285" s="9" t="s">
        <v>21</v>
      </c>
      <c r="C285" s="9" t="s">
        <v>15</v>
      </c>
      <c r="D285" s="9" t="s">
        <v>16</v>
      </c>
      <c r="E285" s="9">
        <v>2</v>
      </c>
      <c r="F285" s="9" t="s">
        <v>17</v>
      </c>
      <c r="G285" s="9">
        <v>3</v>
      </c>
      <c r="H285" s="9">
        <v>22.043099999999999</v>
      </c>
      <c r="I285" s="9">
        <v>25.399784966724283</v>
      </c>
      <c r="J285" s="9">
        <v>7</v>
      </c>
      <c r="K285" s="9">
        <v>5.5989000000000004</v>
      </c>
      <c r="L285" s="9">
        <f t="shared" si="8"/>
        <v>20.015714285714278</v>
      </c>
      <c r="M285" s="9">
        <f t="shared" si="9"/>
        <v>1.3219522878483665</v>
      </c>
      <c r="N285" s="9"/>
      <c r="O285" s="9"/>
      <c r="P285" s="9"/>
    </row>
    <row r="286" spans="1:16" x14ac:dyDescent="0.3">
      <c r="A286" s="9">
        <v>506</v>
      </c>
      <c r="B286" s="9" t="s">
        <v>21</v>
      </c>
      <c r="C286" s="9" t="s">
        <v>15</v>
      </c>
      <c r="D286" s="9" t="s">
        <v>16</v>
      </c>
      <c r="E286" s="9">
        <v>1</v>
      </c>
      <c r="F286" s="9" t="s">
        <v>17</v>
      </c>
      <c r="G286" s="9">
        <v>3</v>
      </c>
      <c r="H286" s="9">
        <v>21.81</v>
      </c>
      <c r="I286" s="9">
        <v>23.883539660706099</v>
      </c>
      <c r="J286" s="9">
        <v>6.94</v>
      </c>
      <c r="K286" s="9">
        <v>5.2089999999999996</v>
      </c>
      <c r="L286" s="9">
        <f t="shared" si="8"/>
        <v>24.942363112391941</v>
      </c>
      <c r="M286" s="9">
        <f t="shared" si="9"/>
        <v>1.3855261644237684</v>
      </c>
      <c r="N286" s="9"/>
      <c r="O286" s="9"/>
      <c r="P286" s="9"/>
    </row>
    <row r="287" spans="1:16" x14ac:dyDescent="0.3">
      <c r="A287" s="9">
        <v>513</v>
      </c>
      <c r="B287" s="9" t="s">
        <v>21</v>
      </c>
      <c r="C287" s="9" t="s">
        <v>18</v>
      </c>
      <c r="D287" s="9" t="s">
        <v>16</v>
      </c>
      <c r="E287" s="9">
        <v>3</v>
      </c>
      <c r="F287" s="9" t="s">
        <v>17</v>
      </c>
      <c r="G287" s="9">
        <v>3</v>
      </c>
      <c r="H287" s="9">
        <v>25.606999999999999</v>
      </c>
      <c r="I287" s="9">
        <v>22.234935759753192</v>
      </c>
      <c r="J287" s="9">
        <v>7.02</v>
      </c>
      <c r="K287" s="9">
        <v>5.6936999999999998</v>
      </c>
      <c r="L287" s="9">
        <f t="shared" si="8"/>
        <v>18.893162393162392</v>
      </c>
      <c r="M287" s="9">
        <f t="shared" si="9"/>
        <v>1.3080152062769828</v>
      </c>
      <c r="N287" s="9"/>
      <c r="O287" s="9"/>
      <c r="P287" s="9"/>
    </row>
    <row r="288" spans="1:16" x14ac:dyDescent="0.3">
      <c r="A288" s="9">
        <v>518</v>
      </c>
      <c r="B288" s="9" t="s">
        <v>21</v>
      </c>
      <c r="C288" s="9" t="s">
        <v>18</v>
      </c>
      <c r="D288" s="9" t="s">
        <v>16</v>
      </c>
      <c r="E288" s="9">
        <v>5</v>
      </c>
      <c r="F288" s="9" t="s">
        <v>17</v>
      </c>
      <c r="G288" s="9">
        <v>3</v>
      </c>
      <c r="H288" s="9">
        <v>23.661300000000001</v>
      </c>
      <c r="I288" s="9">
        <v>23.173705586759812</v>
      </c>
      <c r="J288" s="9">
        <v>6.97</v>
      </c>
      <c r="K288" s="9">
        <v>5.4832000000000001</v>
      </c>
      <c r="L288" s="9">
        <f t="shared" si="8"/>
        <v>21.331420373027253</v>
      </c>
      <c r="M288" s="9">
        <f t="shared" si="9"/>
        <v>1.3385386413023348</v>
      </c>
      <c r="N288" s="9"/>
      <c r="O288" s="9"/>
      <c r="P288" s="9"/>
    </row>
    <row r="289" spans="1:16" x14ac:dyDescent="0.3">
      <c r="A289" s="9">
        <v>521</v>
      </c>
      <c r="B289" s="9" t="s">
        <v>21</v>
      </c>
      <c r="C289" s="9" t="s">
        <v>18</v>
      </c>
      <c r="D289" s="9" t="s">
        <v>16</v>
      </c>
      <c r="E289" s="9">
        <v>2</v>
      </c>
      <c r="F289" s="9" t="s">
        <v>17</v>
      </c>
      <c r="G289" s="9">
        <v>3</v>
      </c>
      <c r="H289" s="9">
        <v>17.267299999999999</v>
      </c>
      <c r="I289" s="9">
        <v>32.4202394120679</v>
      </c>
      <c r="J289" s="9">
        <v>7.08</v>
      </c>
      <c r="K289" s="9">
        <v>5.5980999999999996</v>
      </c>
      <c r="L289" s="9">
        <f t="shared" si="8"/>
        <v>20.930790960451983</v>
      </c>
      <c r="M289" s="9">
        <f t="shared" si="9"/>
        <v>1.3334589419173406</v>
      </c>
      <c r="N289" s="9"/>
      <c r="O289" s="9"/>
      <c r="P289" s="9"/>
    </row>
    <row r="290" spans="1:16" x14ac:dyDescent="0.3">
      <c r="A290" s="9">
        <v>530</v>
      </c>
      <c r="B290" s="9" t="s">
        <v>21</v>
      </c>
      <c r="C290" s="9" t="s">
        <v>15</v>
      </c>
      <c r="D290" s="9" t="s">
        <v>16</v>
      </c>
      <c r="E290" s="9">
        <v>3</v>
      </c>
      <c r="F290" s="9" t="s">
        <v>17</v>
      </c>
      <c r="G290" s="9">
        <v>3</v>
      </c>
      <c r="H290" s="9">
        <v>24.96</v>
      </c>
      <c r="I290" s="9">
        <v>21.867387820512821</v>
      </c>
      <c r="J290" s="9">
        <v>6.91</v>
      </c>
      <c r="K290" s="9">
        <v>5.4581</v>
      </c>
      <c r="L290" s="9">
        <f t="shared" si="8"/>
        <v>21.011577424023155</v>
      </c>
      <c r="M290" s="9">
        <f t="shared" si="9"/>
        <v>1.3344811825998111</v>
      </c>
      <c r="N290" s="9"/>
      <c r="O290" s="9"/>
      <c r="P290" s="9"/>
    </row>
    <row r="291" spans="1:16" x14ac:dyDescent="0.3">
      <c r="A291" s="9">
        <v>536</v>
      </c>
      <c r="B291" s="9" t="s">
        <v>21</v>
      </c>
      <c r="C291" s="9" t="s">
        <v>15</v>
      </c>
      <c r="D291" s="9" t="s">
        <v>16</v>
      </c>
      <c r="E291" s="9">
        <v>5</v>
      </c>
      <c r="F291" s="9" t="s">
        <v>17</v>
      </c>
      <c r="G291" s="9">
        <v>3</v>
      </c>
      <c r="H291" s="9">
        <v>16.0059</v>
      </c>
      <c r="I291" s="9">
        <v>34.623482590794644</v>
      </c>
      <c r="J291" s="9">
        <v>6.94</v>
      </c>
      <c r="K291" s="9">
        <v>5.5418000000000003</v>
      </c>
      <c r="L291" s="9">
        <f t="shared" si="8"/>
        <v>20.146974063400577</v>
      </c>
      <c r="M291" s="9">
        <f t="shared" si="9"/>
        <v>1.3235947054520796</v>
      </c>
      <c r="N291" s="9"/>
      <c r="O291" s="9"/>
      <c r="P291" s="9"/>
    </row>
    <row r="292" spans="1:16" x14ac:dyDescent="0.3">
      <c r="A292" s="9">
        <v>609</v>
      </c>
      <c r="B292" s="9" t="s">
        <v>21</v>
      </c>
      <c r="C292" s="9" t="s">
        <v>18</v>
      </c>
      <c r="D292" s="9" t="s">
        <v>19</v>
      </c>
      <c r="E292" s="9">
        <v>4</v>
      </c>
      <c r="F292" s="9" t="s">
        <v>17</v>
      </c>
      <c r="G292" s="9">
        <v>3</v>
      </c>
      <c r="H292" s="9">
        <v>16.0059</v>
      </c>
      <c r="I292" s="9">
        <v>29.819004242185692</v>
      </c>
      <c r="J292" s="9">
        <v>7</v>
      </c>
      <c r="K292" s="9">
        <v>4.7728000000000002</v>
      </c>
      <c r="L292" s="9">
        <f t="shared" si="8"/>
        <v>31.817142857142855</v>
      </c>
      <c r="M292" s="9">
        <f t="shared" si="9"/>
        <v>1.481589302945076</v>
      </c>
      <c r="N292" s="9"/>
      <c r="O292" s="9"/>
      <c r="P292" s="9"/>
    </row>
    <row r="293" spans="1:16" x14ac:dyDescent="0.3">
      <c r="A293" s="9">
        <v>611</v>
      </c>
      <c r="B293" s="9" t="s">
        <v>21</v>
      </c>
      <c r="C293" s="9" t="s">
        <v>18</v>
      </c>
      <c r="D293" s="9" t="s">
        <v>16</v>
      </c>
      <c r="E293" s="9">
        <v>1</v>
      </c>
      <c r="F293" s="9" t="s">
        <v>17</v>
      </c>
      <c r="G293" s="9">
        <v>3</v>
      </c>
      <c r="H293" s="9">
        <v>16.385999999999999</v>
      </c>
      <c r="I293" s="9">
        <v>29.055291102160385</v>
      </c>
      <c r="J293" s="9">
        <v>6.99</v>
      </c>
      <c r="K293" s="9">
        <v>4.7610000000000001</v>
      </c>
      <c r="L293" s="9">
        <f t="shared" si="8"/>
        <v>31.888412017167383</v>
      </c>
      <c r="M293" s="9">
        <f t="shared" si="9"/>
        <v>1.4826351147014467</v>
      </c>
      <c r="N293" s="9"/>
      <c r="O293" s="9"/>
      <c r="P293" s="9"/>
    </row>
    <row r="294" spans="1:16" x14ac:dyDescent="0.3">
      <c r="A294" s="9">
        <v>619</v>
      </c>
      <c r="B294" s="9" t="s">
        <v>21</v>
      </c>
      <c r="C294" s="9" t="s">
        <v>15</v>
      </c>
      <c r="D294" s="9" t="s">
        <v>19</v>
      </c>
      <c r="E294" s="9">
        <v>3</v>
      </c>
      <c r="F294" s="9" t="s">
        <v>17</v>
      </c>
      <c r="G294" s="9">
        <v>3</v>
      </c>
      <c r="H294" s="9">
        <v>20.043800000000001</v>
      </c>
      <c r="I294" s="9">
        <v>26.969436933116476</v>
      </c>
      <c r="J294" s="9">
        <v>7.09</v>
      </c>
      <c r="K294" s="9">
        <v>5.4057000000000004</v>
      </c>
      <c r="L294" s="9">
        <f t="shared" si="8"/>
        <v>23.755994358251051</v>
      </c>
      <c r="M294" s="9">
        <f t="shared" si="9"/>
        <v>1.3698436767934046</v>
      </c>
      <c r="N294" s="9"/>
      <c r="O294" s="9"/>
      <c r="P294" s="9"/>
    </row>
    <row r="295" spans="1:16" x14ac:dyDescent="0.3">
      <c r="A295" s="9">
        <v>623</v>
      </c>
      <c r="B295" s="9" t="s">
        <v>21</v>
      </c>
      <c r="C295" s="9" t="s">
        <v>18</v>
      </c>
      <c r="D295" s="9" t="s">
        <v>19</v>
      </c>
      <c r="E295" s="9">
        <v>1</v>
      </c>
      <c r="F295" s="9" t="s">
        <v>17</v>
      </c>
      <c r="G295" s="9">
        <v>3</v>
      </c>
      <c r="H295" s="9">
        <v>23.178999999999998</v>
      </c>
      <c r="I295" s="9">
        <v>22.990638077570214</v>
      </c>
      <c r="J295" s="9">
        <v>6.97</v>
      </c>
      <c r="K295" s="9">
        <v>5.3289999999999997</v>
      </c>
      <c r="L295" s="9">
        <f t="shared" si="8"/>
        <v>23.543758967001434</v>
      </c>
      <c r="M295" s="9">
        <f t="shared" si="9"/>
        <v>1.367063910125897</v>
      </c>
      <c r="N295" s="9"/>
      <c r="O295" s="9"/>
      <c r="P295" s="9"/>
    </row>
    <row r="296" spans="1:16" x14ac:dyDescent="0.3">
      <c r="A296" s="9">
        <v>625</v>
      </c>
      <c r="B296" s="9" t="s">
        <v>21</v>
      </c>
      <c r="C296" s="9" t="s">
        <v>18</v>
      </c>
      <c r="D296" s="9" t="s">
        <v>19</v>
      </c>
      <c r="E296" s="9">
        <v>3</v>
      </c>
      <c r="F296" s="9" t="s">
        <v>17</v>
      </c>
      <c r="G296" s="9">
        <v>3</v>
      </c>
      <c r="H296" s="9">
        <v>24.944099999999999</v>
      </c>
      <c r="I296" s="9">
        <v>21.463993489442394</v>
      </c>
      <c r="J296" s="9">
        <v>7.04</v>
      </c>
      <c r="K296" s="9">
        <v>5.3540000000000001</v>
      </c>
      <c r="L296" s="9">
        <f t="shared" si="8"/>
        <v>23.948863636363633</v>
      </c>
      <c r="M296" s="9">
        <f t="shared" si="9"/>
        <v>1.3723765137399</v>
      </c>
      <c r="N296" s="9"/>
      <c r="O296" s="9"/>
      <c r="P296" s="9"/>
    </row>
    <row r="297" spans="1:16" x14ac:dyDescent="0.3">
      <c r="A297" s="9">
        <v>627</v>
      </c>
      <c r="B297" s="9" t="s">
        <v>21</v>
      </c>
      <c r="C297" s="9" t="s">
        <v>15</v>
      </c>
      <c r="D297" s="9" t="s">
        <v>19</v>
      </c>
      <c r="E297" s="9">
        <v>1</v>
      </c>
      <c r="F297" s="9" t="s">
        <v>17</v>
      </c>
      <c r="G297" s="9">
        <v>3</v>
      </c>
      <c r="H297" s="9">
        <v>18.384</v>
      </c>
      <c r="I297" s="9">
        <v>29.074194952132288</v>
      </c>
      <c r="J297" s="9">
        <v>6.94</v>
      </c>
      <c r="K297" s="9">
        <v>5.3449999999999998</v>
      </c>
      <c r="L297" s="9">
        <f t="shared" si="8"/>
        <v>22.982708933717589</v>
      </c>
      <c r="M297" s="9">
        <f t="shared" si="9"/>
        <v>1.3597525187098143</v>
      </c>
      <c r="N297" s="9"/>
      <c r="O297" s="9"/>
      <c r="P297" s="9"/>
    </row>
    <row r="298" spans="1:16" x14ac:dyDescent="0.3">
      <c r="A298" s="9">
        <v>628</v>
      </c>
      <c r="B298" s="9" t="s">
        <v>21</v>
      </c>
      <c r="C298" s="9" t="s">
        <v>15</v>
      </c>
      <c r="D298" s="9" t="s">
        <v>19</v>
      </c>
      <c r="E298" s="9">
        <v>5</v>
      </c>
      <c r="F298" s="9" t="s">
        <v>17</v>
      </c>
      <c r="G298" s="9">
        <v>3</v>
      </c>
      <c r="H298" s="9">
        <v>13.2371</v>
      </c>
      <c r="I298" s="9">
        <v>40.828429187661946</v>
      </c>
      <c r="J298" s="9">
        <v>6.94</v>
      </c>
      <c r="K298" s="9">
        <v>5.4044999999999996</v>
      </c>
      <c r="L298" s="9">
        <f t="shared" si="8"/>
        <v>22.12536023054756</v>
      </c>
      <c r="M298" s="9">
        <f t="shared" si="9"/>
        <v>1.3486821233127024</v>
      </c>
      <c r="N298" s="9"/>
      <c r="O298" s="9"/>
      <c r="P298" s="9"/>
    </row>
    <row r="299" spans="1:16" x14ac:dyDescent="0.3">
      <c r="A299" s="9">
        <v>630</v>
      </c>
      <c r="B299" s="9" t="s">
        <v>21</v>
      </c>
      <c r="C299" s="9" t="s">
        <v>18</v>
      </c>
      <c r="D299" s="9" t="s">
        <v>19</v>
      </c>
      <c r="E299" s="9">
        <v>5</v>
      </c>
      <c r="F299" s="9" t="s">
        <v>17</v>
      </c>
      <c r="G299" s="9">
        <v>3</v>
      </c>
      <c r="H299" s="9">
        <v>18.229700000000001</v>
      </c>
      <c r="I299" s="9">
        <v>27.190244491132599</v>
      </c>
      <c r="J299" s="9">
        <v>6.94</v>
      </c>
      <c r="K299" s="9">
        <v>4.9566999999999997</v>
      </c>
      <c r="L299" s="9">
        <f t="shared" si="8"/>
        <v>28.577809798270902</v>
      </c>
      <c r="M299" s="9">
        <f t="shared" si="9"/>
        <v>1.4351738664559184</v>
      </c>
      <c r="N299" s="9"/>
      <c r="O299" s="9"/>
      <c r="P299" s="9"/>
    </row>
    <row r="300" spans="1:16" x14ac:dyDescent="0.3">
      <c r="A300" s="9">
        <v>649</v>
      </c>
      <c r="B300" s="9" t="s">
        <v>21</v>
      </c>
      <c r="C300" s="9" t="s">
        <v>18</v>
      </c>
      <c r="D300" s="9" t="s">
        <v>19</v>
      </c>
      <c r="E300" s="9">
        <v>2</v>
      </c>
      <c r="F300" s="9" t="s">
        <v>17</v>
      </c>
      <c r="G300" s="9">
        <v>3</v>
      </c>
      <c r="H300" s="9">
        <v>18.371500000000001</v>
      </c>
      <c r="I300" s="9">
        <v>27.772909125547717</v>
      </c>
      <c r="J300" s="9">
        <v>7</v>
      </c>
      <c r="K300" s="9">
        <v>5.1022999999999996</v>
      </c>
      <c r="L300" s="9">
        <f t="shared" si="8"/>
        <v>27.110000000000007</v>
      </c>
      <c r="M300" s="9">
        <f t="shared" si="9"/>
        <v>1.4148310192620794</v>
      </c>
      <c r="N300" s="9"/>
      <c r="O300" s="9"/>
      <c r="P300" s="9"/>
    </row>
    <row r="301" spans="1:16" x14ac:dyDescent="0.3">
      <c r="A301" s="9">
        <v>651</v>
      </c>
      <c r="B301" s="9" t="s">
        <v>21</v>
      </c>
      <c r="C301" s="9" t="s">
        <v>15</v>
      </c>
      <c r="D301" s="9" t="s">
        <v>19</v>
      </c>
      <c r="E301" s="9">
        <v>2</v>
      </c>
      <c r="F301" s="9" t="s">
        <v>17</v>
      </c>
      <c r="G301" s="9">
        <v>3</v>
      </c>
      <c r="H301" s="9">
        <v>15.3287</v>
      </c>
      <c r="I301" s="9">
        <v>33.40857346024125</v>
      </c>
      <c r="J301" s="9">
        <v>6.97</v>
      </c>
      <c r="K301" s="9">
        <v>5.1211000000000002</v>
      </c>
      <c r="L301" s="9">
        <f t="shared" si="8"/>
        <v>26.526542324246766</v>
      </c>
      <c r="M301" s="9">
        <f t="shared" si="9"/>
        <v>1.4068582537147392</v>
      </c>
      <c r="N301" s="9"/>
      <c r="O301" s="9"/>
      <c r="P301" s="9"/>
    </row>
    <row r="302" spans="1:16" x14ac:dyDescent="0.3">
      <c r="A302" s="13">
        <v>61</v>
      </c>
      <c r="B302" s="13" t="s">
        <v>14</v>
      </c>
      <c r="C302" s="13" t="s">
        <v>15</v>
      </c>
      <c r="D302" s="13" t="s">
        <v>16</v>
      </c>
      <c r="E302" s="13">
        <v>3</v>
      </c>
      <c r="F302" s="13" t="s">
        <v>22</v>
      </c>
      <c r="G302" s="13">
        <v>3</v>
      </c>
      <c r="H302" s="13">
        <v>6.0030000000000001</v>
      </c>
      <c r="I302" s="13">
        <v>9.5785440613026847</v>
      </c>
      <c r="J302" s="13">
        <v>7.05</v>
      </c>
      <c r="K302" s="13">
        <v>5.4279999999999999</v>
      </c>
      <c r="L302" s="13">
        <f t="shared" si="8"/>
        <v>23.007092198581557</v>
      </c>
      <c r="M302" s="13">
        <f t="shared" si="9"/>
        <v>1.3600691635196642</v>
      </c>
      <c r="N302" s="13"/>
      <c r="O302" s="13"/>
      <c r="P302" s="13"/>
    </row>
    <row r="303" spans="1:16" x14ac:dyDescent="0.3">
      <c r="A303" s="13">
        <v>62</v>
      </c>
      <c r="B303" s="13" t="s">
        <v>14</v>
      </c>
      <c r="C303" s="13" t="s">
        <v>18</v>
      </c>
      <c r="D303" s="13" t="s">
        <v>16</v>
      </c>
      <c r="E303" s="13">
        <v>5</v>
      </c>
      <c r="F303" s="13" t="s">
        <v>22</v>
      </c>
      <c r="G303" s="13">
        <v>3</v>
      </c>
      <c r="H303" s="13">
        <v>6.66</v>
      </c>
      <c r="I303" s="13">
        <v>15.195195195195202</v>
      </c>
      <c r="J303" s="13">
        <v>6.97</v>
      </c>
      <c r="K303" s="13">
        <v>5.6479999999999997</v>
      </c>
      <c r="L303" s="13">
        <f t="shared" si="8"/>
        <v>18.967001434720231</v>
      </c>
      <c r="M303" s="13">
        <f t="shared" si="9"/>
        <v>1.3089260132496014</v>
      </c>
      <c r="N303" s="13"/>
      <c r="O303" s="13"/>
      <c r="P303" s="13"/>
    </row>
    <row r="304" spans="1:16" x14ac:dyDescent="0.3">
      <c r="A304" s="13">
        <v>64</v>
      </c>
      <c r="B304" s="13" t="s">
        <v>14</v>
      </c>
      <c r="C304" s="13" t="s">
        <v>15</v>
      </c>
      <c r="D304" s="13" t="s">
        <v>16</v>
      </c>
      <c r="E304" s="13">
        <v>5</v>
      </c>
      <c r="F304" s="13" t="s">
        <v>22</v>
      </c>
      <c r="G304" s="13">
        <v>3</v>
      </c>
      <c r="H304" s="13">
        <v>6.2590000000000003</v>
      </c>
      <c r="I304" s="13">
        <v>10.816424348937536</v>
      </c>
      <c r="J304" s="13">
        <v>7.02</v>
      </c>
      <c r="K304" s="13">
        <v>5.5819999999999999</v>
      </c>
      <c r="L304" s="13">
        <f t="shared" si="8"/>
        <v>20.484330484330481</v>
      </c>
      <c r="M304" s="13">
        <f t="shared" si="9"/>
        <v>1.327828371591699</v>
      </c>
      <c r="N304" s="13"/>
      <c r="O304" s="13"/>
      <c r="P304" s="13"/>
    </row>
    <row r="305" spans="1:16" x14ac:dyDescent="0.3">
      <c r="A305" s="13">
        <v>76</v>
      </c>
      <c r="B305" s="13" t="s">
        <v>14</v>
      </c>
      <c r="C305" s="13" t="s">
        <v>15</v>
      </c>
      <c r="D305" s="13" t="s">
        <v>16</v>
      </c>
      <c r="E305" s="13">
        <v>4</v>
      </c>
      <c r="F305" s="13" t="s">
        <v>22</v>
      </c>
      <c r="G305" s="13">
        <v>3</v>
      </c>
      <c r="H305" s="13">
        <v>6.625</v>
      </c>
      <c r="I305" s="13">
        <v>9.9773584905660311</v>
      </c>
      <c r="J305" s="13">
        <v>7</v>
      </c>
      <c r="K305" s="13">
        <v>5.9640000000000004</v>
      </c>
      <c r="L305" s="13">
        <f t="shared" si="8"/>
        <v>14.799999999999994</v>
      </c>
      <c r="M305" s="13">
        <f t="shared" si="9"/>
        <v>1.258781040820931</v>
      </c>
      <c r="N305" s="13"/>
      <c r="O305" s="13"/>
      <c r="P305" s="13"/>
    </row>
    <row r="306" spans="1:16" x14ac:dyDescent="0.3">
      <c r="A306" s="13">
        <v>85</v>
      </c>
      <c r="B306" s="13" t="s">
        <v>14</v>
      </c>
      <c r="C306" s="13" t="s">
        <v>18</v>
      </c>
      <c r="D306" s="13" t="s">
        <v>16</v>
      </c>
      <c r="E306" s="13">
        <v>2</v>
      </c>
      <c r="F306" s="13" t="s">
        <v>22</v>
      </c>
      <c r="G306" s="13">
        <v>3</v>
      </c>
      <c r="H306" s="13">
        <v>6.5529999999999999</v>
      </c>
      <c r="I306" s="13">
        <v>13.200061040744702</v>
      </c>
      <c r="J306" s="13">
        <v>7.04</v>
      </c>
      <c r="K306" s="13">
        <v>5.6879999999999997</v>
      </c>
      <c r="L306" s="13">
        <f t="shared" si="8"/>
        <v>19.20454545454546</v>
      </c>
      <c r="M306" s="13">
        <f t="shared" si="9"/>
        <v>1.311861766337121</v>
      </c>
      <c r="N306" s="13"/>
      <c r="O306" s="13"/>
      <c r="P306" s="13"/>
    </row>
    <row r="307" spans="1:16" x14ac:dyDescent="0.3">
      <c r="A307" s="13">
        <v>88</v>
      </c>
      <c r="B307" s="13" t="s">
        <v>14</v>
      </c>
      <c r="C307" s="13" t="s">
        <v>15</v>
      </c>
      <c r="D307" s="13" t="s">
        <v>16</v>
      </c>
      <c r="E307" s="13">
        <v>1</v>
      </c>
      <c r="F307" s="13" t="s">
        <v>22</v>
      </c>
      <c r="G307" s="13">
        <v>3</v>
      </c>
      <c r="H307" s="13">
        <v>6.2990000000000004</v>
      </c>
      <c r="I307" s="13">
        <v>6.3184632481346332</v>
      </c>
      <c r="J307" s="13">
        <v>7.05</v>
      </c>
      <c r="K307" s="13">
        <v>5.9009999999999998</v>
      </c>
      <c r="L307" s="13">
        <f t="shared" si="8"/>
        <v>16.297872340425531</v>
      </c>
      <c r="M307" s="13">
        <f t="shared" si="9"/>
        <v>1.2765180774172553</v>
      </c>
      <c r="N307" s="13"/>
      <c r="O307" s="13"/>
      <c r="P307" s="13"/>
    </row>
    <row r="308" spans="1:16" x14ac:dyDescent="0.3">
      <c r="A308" s="13">
        <v>93</v>
      </c>
      <c r="B308" s="13" t="s">
        <v>14</v>
      </c>
      <c r="C308" s="13" t="s">
        <v>15</v>
      </c>
      <c r="D308" s="13" t="s">
        <v>16</v>
      </c>
      <c r="E308" s="13">
        <v>3</v>
      </c>
      <c r="F308" s="13" t="s">
        <v>22</v>
      </c>
      <c r="G308" s="13">
        <v>3</v>
      </c>
      <c r="H308" s="13">
        <v>6.0209999999999999</v>
      </c>
      <c r="I308" s="13">
        <v>9.3339976748048539</v>
      </c>
      <c r="J308" s="13">
        <v>7.02</v>
      </c>
      <c r="K308" s="13">
        <v>5.4589999999999996</v>
      </c>
      <c r="L308" s="13">
        <f t="shared" si="8"/>
        <v>22.236467236467234</v>
      </c>
      <c r="M308" s="13">
        <f t="shared" si="9"/>
        <v>1.3501098839062089</v>
      </c>
      <c r="N308" s="13"/>
      <c r="O308" s="13"/>
      <c r="P308" s="13"/>
    </row>
    <row r="309" spans="1:16" x14ac:dyDescent="0.3">
      <c r="A309" s="13">
        <v>100</v>
      </c>
      <c r="B309" s="13" t="s">
        <v>14</v>
      </c>
      <c r="C309" s="13" t="s">
        <v>18</v>
      </c>
      <c r="D309" s="13" t="s">
        <v>16</v>
      </c>
      <c r="E309" s="13">
        <v>1</v>
      </c>
      <c r="F309" s="13" t="s">
        <v>22</v>
      </c>
      <c r="G309" s="13">
        <v>3</v>
      </c>
      <c r="H309" s="13">
        <v>6.4420000000000002</v>
      </c>
      <c r="I309" s="13">
        <v>11.45606954362</v>
      </c>
      <c r="J309" s="13">
        <v>7.06</v>
      </c>
      <c r="K309" s="13">
        <v>5.7039999999999997</v>
      </c>
      <c r="L309" s="13">
        <f t="shared" si="8"/>
        <v>19.206798866855522</v>
      </c>
      <c r="M309" s="13">
        <f t="shared" si="9"/>
        <v>1.3118896570612657</v>
      </c>
      <c r="N309" s="13"/>
      <c r="O309" s="13"/>
      <c r="P309" s="13"/>
    </row>
    <row r="310" spans="1:16" x14ac:dyDescent="0.3">
      <c r="A310" s="13">
        <v>101</v>
      </c>
      <c r="B310" s="13" t="s">
        <v>14</v>
      </c>
      <c r="C310" s="13" t="s">
        <v>18</v>
      </c>
      <c r="D310" s="13" t="s">
        <v>16</v>
      </c>
      <c r="E310" s="13">
        <v>4</v>
      </c>
      <c r="F310" s="13" t="s">
        <v>22</v>
      </c>
      <c r="G310" s="13">
        <v>3</v>
      </c>
      <c r="H310" s="13">
        <v>18.414000000000001</v>
      </c>
      <c r="I310" s="13">
        <v>70.956880634300006</v>
      </c>
      <c r="J310" s="13">
        <v>6.95</v>
      </c>
      <c r="K310" s="13">
        <v>5.3479999999999999</v>
      </c>
      <c r="L310" s="13">
        <f t="shared" si="8"/>
        <v>23.050359712230222</v>
      </c>
      <c r="M310" s="13">
        <f t="shared" si="9"/>
        <v>1.3606312890051138</v>
      </c>
      <c r="N310" s="13"/>
      <c r="O310" s="13"/>
      <c r="P310" s="13"/>
    </row>
    <row r="311" spans="1:16" x14ac:dyDescent="0.3">
      <c r="A311" s="13">
        <v>115</v>
      </c>
      <c r="B311" s="13" t="s">
        <v>14</v>
      </c>
      <c r="C311" s="13" t="s">
        <v>18</v>
      </c>
      <c r="D311" s="13" t="s">
        <v>16</v>
      </c>
      <c r="E311" s="13">
        <v>3</v>
      </c>
      <c r="F311" s="13" t="s">
        <v>22</v>
      </c>
      <c r="G311" s="13">
        <v>3</v>
      </c>
      <c r="H311" s="13">
        <v>6.2069999999999999</v>
      </c>
      <c r="I311" s="13">
        <v>9.2154019655227994</v>
      </c>
      <c r="J311" s="13">
        <v>7.05</v>
      </c>
      <c r="K311" s="13">
        <v>5.6349999999999998</v>
      </c>
      <c r="L311" s="13">
        <f t="shared" si="8"/>
        <v>20.070921985815605</v>
      </c>
      <c r="M311" s="13">
        <f t="shared" si="9"/>
        <v>1.3226427580005473</v>
      </c>
      <c r="N311" s="13"/>
      <c r="O311" s="13"/>
      <c r="P311" s="13"/>
    </row>
    <row r="312" spans="1:16" x14ac:dyDescent="0.3">
      <c r="A312" s="13">
        <v>185</v>
      </c>
      <c r="B312" s="13" t="s">
        <v>14</v>
      </c>
      <c r="C312" s="13" t="s">
        <v>18</v>
      </c>
      <c r="D312" s="13" t="s">
        <v>19</v>
      </c>
      <c r="E312" s="13"/>
      <c r="F312" s="13" t="s">
        <v>22</v>
      </c>
      <c r="G312" s="13">
        <v>3</v>
      </c>
      <c r="H312" s="13">
        <v>6.6289999999999996</v>
      </c>
      <c r="I312" s="13">
        <v>14.210288127922755</v>
      </c>
      <c r="J312" s="13">
        <v>6.98</v>
      </c>
      <c r="K312" s="13">
        <v>5.6870000000000003</v>
      </c>
      <c r="L312" s="13">
        <f t="shared" si="8"/>
        <v>18.5243553008596</v>
      </c>
      <c r="M312" s="13">
        <f t="shared" si="9"/>
        <v>1.3034783371177281</v>
      </c>
      <c r="N312" s="13"/>
      <c r="O312" s="13"/>
      <c r="P312" s="13"/>
    </row>
    <row r="313" spans="1:16" x14ac:dyDescent="0.3">
      <c r="A313" s="13">
        <v>191</v>
      </c>
      <c r="B313" s="13" t="s">
        <v>14</v>
      </c>
      <c r="C313" s="13" t="s">
        <v>15</v>
      </c>
      <c r="D313" s="13" t="s">
        <v>19</v>
      </c>
      <c r="E313" s="13"/>
      <c r="F313" s="13" t="s">
        <v>22</v>
      </c>
      <c r="G313" s="13">
        <v>3</v>
      </c>
      <c r="H313" s="13">
        <v>7.3209999999999997</v>
      </c>
      <c r="I313" s="13">
        <v>20.980740336019664</v>
      </c>
      <c r="J313" s="13">
        <v>7.06</v>
      </c>
      <c r="K313" s="13">
        <v>5.7850000000000001</v>
      </c>
      <c r="L313" s="13">
        <f t="shared" si="8"/>
        <v>18.059490084985828</v>
      </c>
      <c r="M313" s="13">
        <f t="shared" si="9"/>
        <v>1.2977889795276205</v>
      </c>
      <c r="N313" s="13"/>
      <c r="O313" s="13"/>
      <c r="P313" s="13"/>
    </row>
    <row r="314" spans="1:16" x14ac:dyDescent="0.3">
      <c r="A314" s="13">
        <v>207</v>
      </c>
      <c r="B314" s="13" t="s">
        <v>14</v>
      </c>
      <c r="C314" s="13" t="s">
        <v>15</v>
      </c>
      <c r="D314" s="13" t="s">
        <v>19</v>
      </c>
      <c r="E314" s="13"/>
      <c r="F314" s="13" t="s">
        <v>22</v>
      </c>
      <c r="G314" s="13">
        <v>3</v>
      </c>
      <c r="H314" s="13">
        <v>6.4749999999999996</v>
      </c>
      <c r="I314" s="13">
        <v>10.918918918918918</v>
      </c>
      <c r="J314" s="13">
        <v>6.98</v>
      </c>
      <c r="K314" s="13">
        <v>5.7679999999999998</v>
      </c>
      <c r="L314" s="13">
        <f t="shared" si="8"/>
        <v>17.363896848137543</v>
      </c>
      <c r="M314" s="13">
        <f t="shared" si="9"/>
        <v>1.2893358054597428</v>
      </c>
      <c r="N314" s="13"/>
      <c r="O314" s="13"/>
      <c r="P314" s="13"/>
    </row>
    <row r="315" spans="1:16" x14ac:dyDescent="0.3">
      <c r="A315" s="13">
        <v>208</v>
      </c>
      <c r="B315" s="13" t="s">
        <v>14</v>
      </c>
      <c r="C315" s="13" t="s">
        <v>18</v>
      </c>
      <c r="D315" s="13" t="s">
        <v>19</v>
      </c>
      <c r="E315" s="13"/>
      <c r="F315" s="13" t="s">
        <v>22</v>
      </c>
      <c r="G315" s="13">
        <v>3</v>
      </c>
      <c r="H315" s="13">
        <v>19.946000000000002</v>
      </c>
      <c r="I315" s="13">
        <v>72.019452521808887</v>
      </c>
      <c r="J315" s="13">
        <v>7.02</v>
      </c>
      <c r="K315" s="13">
        <v>5.5810000000000004</v>
      </c>
      <c r="L315" s="13">
        <f t="shared" si="8"/>
        <v>20.498575498575487</v>
      </c>
      <c r="M315" s="13">
        <f t="shared" si="9"/>
        <v>1.3280075348995328</v>
      </c>
      <c r="N315" s="13"/>
      <c r="O315" s="13"/>
      <c r="P315" s="13"/>
    </row>
    <row r="316" spans="1:16" x14ac:dyDescent="0.3">
      <c r="A316" s="13">
        <v>213</v>
      </c>
      <c r="B316" s="13" t="s">
        <v>14</v>
      </c>
      <c r="C316" s="13" t="s">
        <v>18</v>
      </c>
      <c r="D316" s="13" t="s">
        <v>19</v>
      </c>
      <c r="E316" s="13"/>
      <c r="F316" s="13" t="s">
        <v>22</v>
      </c>
      <c r="G316" s="13">
        <v>3</v>
      </c>
      <c r="H316" s="13">
        <v>7.4980000000000002</v>
      </c>
      <c r="I316" s="13">
        <v>21.859162443318219</v>
      </c>
      <c r="J316" s="13">
        <v>7.04</v>
      </c>
      <c r="K316" s="13">
        <v>5.859</v>
      </c>
      <c r="L316" s="13">
        <f t="shared" si="8"/>
        <v>16.775568181818183</v>
      </c>
      <c r="M316" s="13">
        <f t="shared" si="9"/>
        <v>1.2822415182754092</v>
      </c>
      <c r="N316" s="13"/>
      <c r="O316" s="13"/>
      <c r="P316" s="13"/>
    </row>
    <row r="317" spans="1:16" x14ac:dyDescent="0.3">
      <c r="A317" s="13">
        <v>217</v>
      </c>
      <c r="B317" s="13" t="s">
        <v>14</v>
      </c>
      <c r="C317" s="13" t="s">
        <v>15</v>
      </c>
      <c r="D317" s="13" t="s">
        <v>19</v>
      </c>
      <c r="E317" s="13"/>
      <c r="F317" s="13" t="s">
        <v>22</v>
      </c>
      <c r="G317" s="13">
        <v>3</v>
      </c>
      <c r="H317" s="13">
        <v>6.0810000000000004</v>
      </c>
      <c r="I317" s="13">
        <v>4.6045058378556192</v>
      </c>
      <c r="J317" s="13">
        <v>6.99</v>
      </c>
      <c r="K317" s="13">
        <v>5.8010000000000002</v>
      </c>
      <c r="L317" s="13">
        <f t="shared" si="8"/>
        <v>17.010014306151646</v>
      </c>
      <c r="M317" s="13">
        <f t="shared" si="9"/>
        <v>1.2850625284299013</v>
      </c>
      <c r="N317" s="13"/>
      <c r="O317" s="13"/>
      <c r="P317" s="13"/>
    </row>
    <row r="318" spans="1:16" x14ac:dyDescent="0.3">
      <c r="A318" s="13">
        <v>220</v>
      </c>
      <c r="B318" s="13" t="s">
        <v>14</v>
      </c>
      <c r="C318" s="13" t="s">
        <v>18</v>
      </c>
      <c r="D318" s="13" t="s">
        <v>19</v>
      </c>
      <c r="E318" s="13"/>
      <c r="F318" s="13" t="s">
        <v>22</v>
      </c>
      <c r="G318" s="13">
        <v>3</v>
      </c>
      <c r="H318" s="13">
        <v>8.1890000000000001</v>
      </c>
      <c r="I318" s="13">
        <v>33.215288802051532</v>
      </c>
      <c r="J318" s="13">
        <v>6.97</v>
      </c>
      <c r="K318" s="13">
        <v>5.4690000000000003</v>
      </c>
      <c r="L318" s="13">
        <f t="shared" si="8"/>
        <v>21.535150645624096</v>
      </c>
      <c r="M318" s="13">
        <f t="shared" si="9"/>
        <v>1.3411317290759066</v>
      </c>
      <c r="N318" s="13"/>
      <c r="O318" s="13"/>
      <c r="P318" s="13"/>
    </row>
    <row r="319" spans="1:16" x14ac:dyDescent="0.3">
      <c r="A319" s="13">
        <v>225</v>
      </c>
      <c r="B319" s="13" t="s">
        <v>14</v>
      </c>
      <c r="C319" s="13" t="s">
        <v>15</v>
      </c>
      <c r="D319" s="13" t="s">
        <v>19</v>
      </c>
      <c r="E319" s="13"/>
      <c r="F319" s="13" t="s">
        <v>22</v>
      </c>
      <c r="G319" s="13">
        <v>3</v>
      </c>
      <c r="H319" s="13">
        <v>6.6029999999999998</v>
      </c>
      <c r="I319" s="13">
        <v>15.311222171740122</v>
      </c>
      <c r="J319" s="13">
        <v>6.97</v>
      </c>
      <c r="K319" s="13">
        <v>5.5919999999999996</v>
      </c>
      <c r="L319" s="13">
        <f t="shared" si="8"/>
        <v>19.770444763271165</v>
      </c>
      <c r="M319" s="13">
        <f t="shared" si="9"/>
        <v>1.3188905085090332</v>
      </c>
      <c r="N319" s="13"/>
      <c r="O319" s="13"/>
      <c r="P319" s="13"/>
    </row>
    <row r="320" spans="1:16" x14ac:dyDescent="0.3">
      <c r="A320" s="13">
        <v>235</v>
      </c>
      <c r="B320" s="13" t="s">
        <v>14</v>
      </c>
      <c r="C320" s="13" t="s">
        <v>18</v>
      </c>
      <c r="D320" s="13" t="s">
        <v>19</v>
      </c>
      <c r="E320" s="13"/>
      <c r="F320" s="13" t="s">
        <v>22</v>
      </c>
      <c r="G320" s="13">
        <v>3</v>
      </c>
      <c r="H320" s="13">
        <v>6.5620000000000003</v>
      </c>
      <c r="I320" s="13">
        <v>13.212435233160621</v>
      </c>
      <c r="J320" s="13">
        <v>7.04</v>
      </c>
      <c r="K320" s="13">
        <v>5.6950000000000003</v>
      </c>
      <c r="L320" s="13">
        <f t="shared" si="8"/>
        <v>19.105113636363633</v>
      </c>
      <c r="M320" s="13">
        <f t="shared" si="9"/>
        <v>1.3106318619389152</v>
      </c>
      <c r="N320" s="13"/>
      <c r="O320" s="13"/>
      <c r="P320" s="13"/>
    </row>
    <row r="321" spans="1:16" x14ac:dyDescent="0.3">
      <c r="A321" s="13">
        <v>240</v>
      </c>
      <c r="B321" s="13" t="s">
        <v>14</v>
      </c>
      <c r="C321" s="13" t="s">
        <v>15</v>
      </c>
      <c r="D321" s="13" t="s">
        <v>19</v>
      </c>
      <c r="E321" s="13"/>
      <c r="F321" s="13" t="s">
        <v>22</v>
      </c>
      <c r="G321" s="13">
        <v>3</v>
      </c>
      <c r="H321" s="13">
        <v>6.97</v>
      </c>
      <c r="I321" s="13">
        <v>14.505021520803446</v>
      </c>
      <c r="J321" s="13">
        <v>7.02</v>
      </c>
      <c r="K321" s="13">
        <v>5.9589999999999996</v>
      </c>
      <c r="L321" s="13">
        <f t="shared" si="8"/>
        <v>15.113960113960115</v>
      </c>
      <c r="M321" s="13">
        <f t="shared" si="9"/>
        <v>1.2624728249409876</v>
      </c>
      <c r="N321" s="13"/>
      <c r="O321" s="13"/>
      <c r="P321" s="13"/>
    </row>
    <row r="322" spans="1:16" x14ac:dyDescent="0.3">
      <c r="A322" s="13">
        <v>304</v>
      </c>
      <c r="B322" s="13" t="s">
        <v>20</v>
      </c>
      <c r="C322" s="13" t="s">
        <v>18</v>
      </c>
      <c r="D322" s="13" t="s">
        <v>16</v>
      </c>
      <c r="E322" s="13">
        <v>4</v>
      </c>
      <c r="F322" s="13" t="s">
        <v>22</v>
      </c>
      <c r="G322" s="13">
        <v>3</v>
      </c>
      <c r="H322" s="13">
        <v>14.79</v>
      </c>
      <c r="I322" s="13">
        <v>60.689655172413794</v>
      </c>
      <c r="J322" s="13">
        <v>7.05</v>
      </c>
      <c r="K322" s="13">
        <v>5.8140000000000001</v>
      </c>
      <c r="L322" s="13">
        <f t="shared" si="8"/>
        <v>17.531914893617017</v>
      </c>
      <c r="M322" s="13">
        <f t="shared" si="9"/>
        <v>1.2913711033556028</v>
      </c>
      <c r="N322" s="13"/>
      <c r="O322" s="13"/>
      <c r="P322" s="13"/>
    </row>
    <row r="323" spans="1:16" x14ac:dyDescent="0.3">
      <c r="A323" s="13">
        <v>320</v>
      </c>
      <c r="B323" s="13" t="s">
        <v>20</v>
      </c>
      <c r="C323" s="13" t="s">
        <v>15</v>
      </c>
      <c r="D323" s="13" t="s">
        <v>16</v>
      </c>
      <c r="E323" s="13">
        <v>5</v>
      </c>
      <c r="F323" s="13" t="s">
        <v>22</v>
      </c>
      <c r="G323" s="13">
        <v>3</v>
      </c>
      <c r="H323" s="13">
        <v>14.298999999999999</v>
      </c>
      <c r="I323" s="13">
        <v>58.773340793062459</v>
      </c>
      <c r="J323" s="13">
        <v>7.05</v>
      </c>
      <c r="K323" s="13">
        <v>5.8949999999999996</v>
      </c>
      <c r="L323" s="13">
        <f t="shared" ref="L323:L386" si="10">((J323-K323)/J323)*100</f>
        <v>16.382978723404261</v>
      </c>
      <c r="M323" s="13">
        <f t="shared" ref="M323:M386" si="11">-LN((K323/J323)/G323)</f>
        <v>1.2775353715029529</v>
      </c>
      <c r="N323" s="13"/>
      <c r="O323" s="13"/>
      <c r="P323" s="13"/>
    </row>
    <row r="324" spans="1:16" x14ac:dyDescent="0.3">
      <c r="A324" s="13">
        <v>323</v>
      </c>
      <c r="B324" s="13" t="s">
        <v>20</v>
      </c>
      <c r="C324" s="13" t="s">
        <v>18</v>
      </c>
      <c r="D324" s="13" t="s">
        <v>16</v>
      </c>
      <c r="E324" s="13">
        <v>1</v>
      </c>
      <c r="F324" s="13" t="s">
        <v>22</v>
      </c>
      <c r="G324" s="13">
        <v>3</v>
      </c>
      <c r="H324" s="13">
        <v>32.539000000000001</v>
      </c>
      <c r="I324" s="13">
        <v>82.657733796367438</v>
      </c>
      <c r="J324" s="13">
        <v>6.97</v>
      </c>
      <c r="K324" s="13">
        <v>5.6429999999999998</v>
      </c>
      <c r="L324" s="13">
        <f t="shared" si="10"/>
        <v>19.038737446197992</v>
      </c>
      <c r="M324" s="13">
        <f t="shared" si="11"/>
        <v>1.3098116744535393</v>
      </c>
      <c r="N324" s="13"/>
      <c r="O324" s="13"/>
      <c r="P324" s="13"/>
    </row>
    <row r="325" spans="1:16" x14ac:dyDescent="0.3">
      <c r="A325" s="13">
        <v>324</v>
      </c>
      <c r="B325" s="13" t="s">
        <v>20</v>
      </c>
      <c r="C325" s="13" t="s">
        <v>15</v>
      </c>
      <c r="D325" s="13" t="s">
        <v>16</v>
      </c>
      <c r="E325" s="13">
        <v>4</v>
      </c>
      <c r="F325" s="13" t="s">
        <v>22</v>
      </c>
      <c r="G325" s="13">
        <v>3</v>
      </c>
      <c r="H325" s="13">
        <v>24.056999999999999</v>
      </c>
      <c r="I325" s="13">
        <v>76.214823128403367</v>
      </c>
      <c r="J325" s="13">
        <v>6.98</v>
      </c>
      <c r="K325" s="13">
        <v>5.7220000000000004</v>
      </c>
      <c r="L325" s="13">
        <f t="shared" si="10"/>
        <v>18.02292263610315</v>
      </c>
      <c r="M325" s="13">
        <f t="shared" si="11"/>
        <v>1.2973428108144722</v>
      </c>
      <c r="N325" s="13"/>
      <c r="O325" s="13"/>
      <c r="P325" s="13"/>
    </row>
    <row r="326" spans="1:16" x14ac:dyDescent="0.3">
      <c r="A326" s="13">
        <v>327</v>
      </c>
      <c r="B326" s="13" t="s">
        <v>20</v>
      </c>
      <c r="C326" s="13" t="s">
        <v>15</v>
      </c>
      <c r="D326" s="13" t="s">
        <v>16</v>
      </c>
      <c r="E326" s="13">
        <v>2</v>
      </c>
      <c r="F326" s="13" t="s">
        <v>22</v>
      </c>
      <c r="G326" s="13">
        <v>3</v>
      </c>
      <c r="H326" s="13">
        <v>7.694</v>
      </c>
      <c r="I326" s="13">
        <v>24.499610085781125</v>
      </c>
      <c r="J326" s="13">
        <v>7.01</v>
      </c>
      <c r="K326" s="13">
        <v>5.8090000000000002</v>
      </c>
      <c r="L326" s="13">
        <f t="shared" si="10"/>
        <v>17.132667617689009</v>
      </c>
      <c r="M326" s="13">
        <f t="shared" si="11"/>
        <v>1.2865415507042128</v>
      </c>
      <c r="N326" s="13"/>
      <c r="O326" s="13"/>
      <c r="P326" s="13"/>
    </row>
    <row r="327" spans="1:16" x14ac:dyDescent="0.3">
      <c r="A327" s="13">
        <v>335</v>
      </c>
      <c r="B327" s="13" t="s">
        <v>20</v>
      </c>
      <c r="C327" s="13" t="s">
        <v>18</v>
      </c>
      <c r="D327" s="13" t="s">
        <v>16</v>
      </c>
      <c r="E327" s="13">
        <v>3</v>
      </c>
      <c r="F327" s="13" t="s">
        <v>22</v>
      </c>
      <c r="G327" s="13">
        <v>3</v>
      </c>
      <c r="H327" s="13">
        <v>6.1849999999999996</v>
      </c>
      <c r="I327" s="13">
        <v>8.957154405820523</v>
      </c>
      <c r="J327" s="13">
        <v>7.07</v>
      </c>
      <c r="K327" s="13">
        <v>5.6310000000000002</v>
      </c>
      <c r="L327" s="13">
        <f t="shared" si="10"/>
        <v>20.353606789250353</v>
      </c>
      <c r="M327" s="13">
        <f t="shared" si="11"/>
        <v>1.3261857223041098</v>
      </c>
      <c r="N327" s="13"/>
      <c r="O327" s="13"/>
      <c r="P327" s="13"/>
    </row>
    <row r="328" spans="1:16" x14ac:dyDescent="0.3">
      <c r="A328" s="13">
        <v>337</v>
      </c>
      <c r="B328" s="13" t="s">
        <v>20</v>
      </c>
      <c r="C328" s="13" t="s">
        <v>15</v>
      </c>
      <c r="D328" s="13" t="s">
        <v>16</v>
      </c>
      <c r="E328" s="13">
        <v>5</v>
      </c>
      <c r="F328" s="13" t="s">
        <v>22</v>
      </c>
      <c r="G328" s="13">
        <v>3</v>
      </c>
      <c r="H328" s="13">
        <v>24.556000000000001</v>
      </c>
      <c r="I328" s="13">
        <v>77.378237497963838</v>
      </c>
      <c r="J328" s="13">
        <v>7.07</v>
      </c>
      <c r="K328" s="13">
        <v>5.5549999999999997</v>
      </c>
      <c r="L328" s="13">
        <f t="shared" si="10"/>
        <v>21.428571428571434</v>
      </c>
      <c r="M328" s="13">
        <f t="shared" si="11"/>
        <v>1.339774345484998</v>
      </c>
      <c r="N328" s="13"/>
      <c r="O328" s="13"/>
      <c r="P328" s="13"/>
    </row>
    <row r="329" spans="1:16" x14ac:dyDescent="0.3">
      <c r="A329" s="13">
        <v>339</v>
      </c>
      <c r="B329" s="13" t="s">
        <v>20</v>
      </c>
      <c r="C329" s="13" t="s">
        <v>18</v>
      </c>
      <c r="D329" s="13" t="s">
        <v>16</v>
      </c>
      <c r="E329" s="13">
        <v>2</v>
      </c>
      <c r="F329" s="13" t="s">
        <v>22</v>
      </c>
      <c r="G329" s="13">
        <v>3</v>
      </c>
      <c r="H329" s="13">
        <v>10.145</v>
      </c>
      <c r="I329" s="13">
        <v>43.331690487925087</v>
      </c>
      <c r="J329" s="13">
        <v>7.07</v>
      </c>
      <c r="K329" s="13">
        <v>5.7489999999999997</v>
      </c>
      <c r="L329" s="13">
        <f t="shared" si="10"/>
        <v>18.684582743988692</v>
      </c>
      <c r="M329" s="13">
        <f t="shared" si="11"/>
        <v>1.3054468419354375</v>
      </c>
      <c r="N329" s="13"/>
      <c r="O329" s="13"/>
      <c r="P329" s="13"/>
    </row>
    <row r="330" spans="1:16" x14ac:dyDescent="0.3">
      <c r="A330" s="13">
        <v>354</v>
      </c>
      <c r="B330" s="13" t="s">
        <v>20</v>
      </c>
      <c r="C330" s="13" t="s">
        <v>18</v>
      </c>
      <c r="D330" s="13" t="s">
        <v>16</v>
      </c>
      <c r="E330" s="13">
        <v>5</v>
      </c>
      <c r="F330" s="13" t="s">
        <v>22</v>
      </c>
      <c r="G330" s="13">
        <v>3</v>
      </c>
      <c r="H330" s="13">
        <v>23.456</v>
      </c>
      <c r="I330" s="13">
        <v>76.990961800818553</v>
      </c>
      <c r="J330" s="13">
        <v>6.97</v>
      </c>
      <c r="K330" s="13">
        <v>5.3970000000000002</v>
      </c>
      <c r="L330" s="13">
        <f t="shared" si="10"/>
        <v>22.568149210903869</v>
      </c>
      <c r="M330" s="13">
        <f t="shared" si="11"/>
        <v>1.3543842698040365</v>
      </c>
      <c r="N330" s="13"/>
      <c r="O330" s="13"/>
      <c r="P330" s="13"/>
    </row>
    <row r="331" spans="1:16" x14ac:dyDescent="0.3">
      <c r="A331" s="13">
        <v>356</v>
      </c>
      <c r="B331" s="13" t="s">
        <v>20</v>
      </c>
      <c r="C331" s="13" t="s">
        <v>15</v>
      </c>
      <c r="D331" s="13" t="s">
        <v>16</v>
      </c>
      <c r="E331" s="13">
        <v>3</v>
      </c>
      <c r="F331" s="13" t="s">
        <v>22</v>
      </c>
      <c r="G331" s="13">
        <v>3</v>
      </c>
      <c r="H331" s="13">
        <v>10.58</v>
      </c>
      <c r="I331" s="13">
        <v>49.281663516068058</v>
      </c>
      <c r="J331" s="13">
        <v>6.94</v>
      </c>
      <c r="K331" s="13">
        <v>5.3659999999999997</v>
      </c>
      <c r="L331" s="13">
        <f t="shared" si="10"/>
        <v>22.680115273775225</v>
      </c>
      <c r="M331" s="13">
        <f t="shared" si="11"/>
        <v>1.3558313111833906</v>
      </c>
      <c r="N331" s="13"/>
      <c r="O331" s="13"/>
      <c r="P331" s="13"/>
    </row>
    <row r="332" spans="1:16" x14ac:dyDescent="0.3">
      <c r="A332" s="13">
        <v>422</v>
      </c>
      <c r="B332" s="13" t="s">
        <v>20</v>
      </c>
      <c r="C332" s="13" t="s">
        <v>18</v>
      </c>
      <c r="D332" s="13" t="s">
        <v>19</v>
      </c>
      <c r="E332" s="13">
        <v>1</v>
      </c>
      <c r="F332" s="13" t="s">
        <v>22</v>
      </c>
      <c r="G332" s="13">
        <v>3</v>
      </c>
      <c r="H332" s="13">
        <v>28.768000000000001</v>
      </c>
      <c r="I332" s="13">
        <v>80.488737486095658</v>
      </c>
      <c r="J332" s="13">
        <v>6.91</v>
      </c>
      <c r="K332" s="13">
        <v>5.6130000000000004</v>
      </c>
      <c r="L332" s="13">
        <f t="shared" si="10"/>
        <v>18.769898697539794</v>
      </c>
      <c r="M332" s="13">
        <f t="shared" si="11"/>
        <v>1.3064965904876258</v>
      </c>
      <c r="N332" s="13"/>
      <c r="O332" s="13"/>
      <c r="P332" s="13"/>
    </row>
    <row r="333" spans="1:16" x14ac:dyDescent="0.3">
      <c r="A333" s="13">
        <v>425</v>
      </c>
      <c r="B333" s="13" t="s">
        <v>20</v>
      </c>
      <c r="C333" s="13" t="s">
        <v>15</v>
      </c>
      <c r="D333" s="13" t="s">
        <v>19</v>
      </c>
      <c r="E333" s="13">
        <v>3</v>
      </c>
      <c r="F333" s="13" t="s">
        <v>22</v>
      </c>
      <c r="G333" s="13">
        <v>3</v>
      </c>
      <c r="H333" s="13">
        <v>9.5530000000000008</v>
      </c>
      <c r="I333" s="13">
        <v>39.495446456610487</v>
      </c>
      <c r="J333" s="13">
        <v>6.92</v>
      </c>
      <c r="K333" s="13">
        <v>5.78</v>
      </c>
      <c r="L333" s="13">
        <f t="shared" si="10"/>
        <v>16.473988439306353</v>
      </c>
      <c r="M333" s="13">
        <f t="shared" si="11"/>
        <v>1.2786243756134017</v>
      </c>
      <c r="N333" s="13"/>
      <c r="O333" s="13"/>
      <c r="P333" s="13"/>
    </row>
    <row r="334" spans="1:16" x14ac:dyDescent="0.3">
      <c r="A334" s="13">
        <v>430</v>
      </c>
      <c r="B334" s="13" t="s">
        <v>20</v>
      </c>
      <c r="C334" s="13" t="s">
        <v>18</v>
      </c>
      <c r="D334" s="13" t="s">
        <v>19</v>
      </c>
      <c r="E334" s="13">
        <v>4</v>
      </c>
      <c r="F334" s="13" t="s">
        <v>22</v>
      </c>
      <c r="G334" s="13">
        <v>3</v>
      </c>
      <c r="H334" s="13">
        <v>14.614000000000001</v>
      </c>
      <c r="I334" s="13">
        <v>60.544683180511839</v>
      </c>
      <c r="J334" s="13">
        <v>6.92</v>
      </c>
      <c r="K334" s="13">
        <v>5.766</v>
      </c>
      <c r="L334" s="13">
        <f t="shared" si="10"/>
        <v>16.676300578034681</v>
      </c>
      <c r="M334" s="13">
        <f t="shared" si="11"/>
        <v>1.2810494590814776</v>
      </c>
      <c r="N334" s="13"/>
      <c r="O334" s="13"/>
      <c r="P334" s="13"/>
    </row>
    <row r="335" spans="1:16" x14ac:dyDescent="0.3">
      <c r="A335" s="13">
        <v>434</v>
      </c>
      <c r="B335" s="13" t="s">
        <v>20</v>
      </c>
      <c r="C335" s="13" t="s">
        <v>15</v>
      </c>
      <c r="D335" s="13" t="s">
        <v>19</v>
      </c>
      <c r="E335" s="13">
        <v>1</v>
      </c>
      <c r="F335" s="13" t="s">
        <v>22</v>
      </c>
      <c r="G335" s="13">
        <v>3</v>
      </c>
      <c r="H335" s="13">
        <v>12.641999999999999</v>
      </c>
      <c r="I335" s="13">
        <v>52.68153773137162</v>
      </c>
      <c r="J335" s="13">
        <v>6.92</v>
      </c>
      <c r="K335" s="13">
        <v>5.9820000000000002</v>
      </c>
      <c r="L335" s="13">
        <f t="shared" si="10"/>
        <v>13.554913294797686</v>
      </c>
      <c r="M335" s="13">
        <f t="shared" si="11"/>
        <v>1.2442730980899317</v>
      </c>
      <c r="N335" s="13"/>
      <c r="O335" s="13"/>
      <c r="P335" s="13"/>
    </row>
    <row r="336" spans="1:16" x14ac:dyDescent="0.3">
      <c r="A336" s="13">
        <v>439</v>
      </c>
      <c r="B336" s="13" t="s">
        <v>20</v>
      </c>
      <c r="C336" s="13" t="s">
        <v>18</v>
      </c>
      <c r="D336" s="13" t="s">
        <v>19</v>
      </c>
      <c r="E336" s="13">
        <v>5</v>
      </c>
      <c r="F336" s="13" t="s">
        <v>22</v>
      </c>
      <c r="G336" s="13">
        <v>3</v>
      </c>
      <c r="H336" s="13">
        <v>21.949000000000002</v>
      </c>
      <c r="I336" s="13">
        <v>74.969246890518932</v>
      </c>
      <c r="J336" s="13">
        <v>7.01</v>
      </c>
      <c r="K336" s="13">
        <v>5.4939999999999998</v>
      </c>
      <c r="L336" s="13">
        <f t="shared" si="10"/>
        <v>21.626248216833098</v>
      </c>
      <c r="M336" s="13">
        <f t="shared" si="11"/>
        <v>1.3422934020415263</v>
      </c>
      <c r="N336" s="13"/>
      <c r="O336" s="13"/>
      <c r="P336" s="13"/>
    </row>
    <row r="337" spans="1:16" x14ac:dyDescent="0.3">
      <c r="A337" s="13">
        <v>442</v>
      </c>
      <c r="B337" s="13" t="s">
        <v>20</v>
      </c>
      <c r="C337" s="13" t="s">
        <v>15</v>
      </c>
      <c r="D337" s="13" t="s">
        <v>19</v>
      </c>
      <c r="E337" s="13">
        <v>4</v>
      </c>
      <c r="F337" s="13" t="s">
        <v>22</v>
      </c>
      <c r="G337" s="13">
        <v>3</v>
      </c>
      <c r="H337" s="13">
        <v>21.015000000000001</v>
      </c>
      <c r="I337" s="13">
        <v>72.610040447299554</v>
      </c>
      <c r="J337" s="13">
        <v>6.96</v>
      </c>
      <c r="K337" s="13">
        <v>5.7560000000000002</v>
      </c>
      <c r="L337" s="13">
        <f t="shared" si="10"/>
        <v>17.298850574712642</v>
      </c>
      <c r="M337" s="13">
        <f t="shared" si="11"/>
        <v>1.2885489739893166</v>
      </c>
      <c r="N337" s="13"/>
      <c r="O337" s="13"/>
      <c r="P337" s="13"/>
    </row>
    <row r="338" spans="1:16" x14ac:dyDescent="0.3">
      <c r="A338" s="13">
        <v>443</v>
      </c>
      <c r="B338" s="13" t="s">
        <v>20</v>
      </c>
      <c r="C338" s="13" t="s">
        <v>15</v>
      </c>
      <c r="D338" s="13" t="s">
        <v>19</v>
      </c>
      <c r="E338" s="13">
        <v>5</v>
      </c>
      <c r="F338" s="13" t="s">
        <v>22</v>
      </c>
      <c r="G338" s="13">
        <v>3</v>
      </c>
      <c r="H338" s="13">
        <v>21.815999999999999</v>
      </c>
      <c r="I338" s="13">
        <v>72.960212687935453</v>
      </c>
      <c r="J338" s="13">
        <v>7.03</v>
      </c>
      <c r="K338" s="13">
        <v>5.899</v>
      </c>
      <c r="L338" s="13">
        <f t="shared" si="10"/>
        <v>16.088193456614512</v>
      </c>
      <c r="M338" s="13">
        <f t="shared" si="11"/>
        <v>1.2740161494697451</v>
      </c>
      <c r="N338" s="13"/>
      <c r="O338" s="13"/>
      <c r="P338" s="13"/>
    </row>
    <row r="339" spans="1:16" x14ac:dyDescent="0.3">
      <c r="A339" s="13">
        <v>450</v>
      </c>
      <c r="B339" s="13" t="s">
        <v>20</v>
      </c>
      <c r="C339" s="13" t="s">
        <v>18</v>
      </c>
      <c r="D339" s="13" t="s">
        <v>19</v>
      </c>
      <c r="E339" s="13">
        <v>2</v>
      </c>
      <c r="F339" s="13" t="s">
        <v>22</v>
      </c>
      <c r="G339" s="13">
        <v>3</v>
      </c>
      <c r="H339" s="13">
        <v>10.218999999999999</v>
      </c>
      <c r="I339" s="13">
        <v>43.252764458361867</v>
      </c>
      <c r="J339" s="13">
        <v>7.02</v>
      </c>
      <c r="K339" s="13">
        <v>5.7990000000000004</v>
      </c>
      <c r="L339" s="13">
        <f t="shared" si="10"/>
        <v>17.393162393162385</v>
      </c>
      <c r="M339" s="13">
        <f t="shared" si="11"/>
        <v>1.2896900178115258</v>
      </c>
      <c r="N339" s="13"/>
      <c r="O339" s="13"/>
      <c r="P339" s="13"/>
    </row>
    <row r="340" spans="1:16" x14ac:dyDescent="0.3">
      <c r="A340" s="13">
        <v>455</v>
      </c>
      <c r="B340" s="13" t="s">
        <v>20</v>
      </c>
      <c r="C340" s="13" t="s">
        <v>18</v>
      </c>
      <c r="D340" s="13" t="s">
        <v>19</v>
      </c>
      <c r="E340" s="13">
        <v>3</v>
      </c>
      <c r="F340" s="13" t="s">
        <v>22</v>
      </c>
      <c r="G340" s="13">
        <v>3</v>
      </c>
      <c r="H340" s="13">
        <v>11.856</v>
      </c>
      <c r="I340" s="13">
        <v>52.682186234817806</v>
      </c>
      <c r="J340" s="13">
        <v>6.93</v>
      </c>
      <c r="K340" s="13">
        <v>5.61</v>
      </c>
      <c r="L340" s="13">
        <f t="shared" si="10"/>
        <v>19.04761904761904</v>
      </c>
      <c r="M340" s="13">
        <f t="shared" si="11"/>
        <v>1.3099213823353164</v>
      </c>
      <c r="N340" s="13"/>
      <c r="O340" s="13"/>
      <c r="P340" s="13"/>
    </row>
    <row r="341" spans="1:16" x14ac:dyDescent="0.3">
      <c r="A341" s="13">
        <v>467</v>
      </c>
      <c r="B341" s="13" t="s">
        <v>20</v>
      </c>
      <c r="C341" s="13" t="s">
        <v>15</v>
      </c>
      <c r="D341" s="13" t="s">
        <v>19</v>
      </c>
      <c r="E341" s="13">
        <v>2</v>
      </c>
      <c r="F341" s="13" t="s">
        <v>22</v>
      </c>
      <c r="G341" s="13">
        <v>3</v>
      </c>
      <c r="H341" s="13">
        <v>11.865</v>
      </c>
      <c r="I341" s="13">
        <v>51.698272229245681</v>
      </c>
      <c r="J341" s="13">
        <v>7.07</v>
      </c>
      <c r="K341" s="13">
        <v>5.7309999999999999</v>
      </c>
      <c r="L341" s="13">
        <f t="shared" si="10"/>
        <v>18.939179632248944</v>
      </c>
      <c r="M341" s="13">
        <f t="shared" si="11"/>
        <v>1.3085827330069908</v>
      </c>
      <c r="N341" s="13"/>
      <c r="O341" s="13"/>
      <c r="P341" s="13"/>
    </row>
    <row r="342" spans="1:16" x14ac:dyDescent="0.3">
      <c r="A342" s="13">
        <v>544</v>
      </c>
      <c r="B342" s="13" t="s">
        <v>21</v>
      </c>
      <c r="C342" s="13" t="s">
        <v>18</v>
      </c>
      <c r="D342" s="13" t="s">
        <v>16</v>
      </c>
      <c r="E342" s="13">
        <v>5</v>
      </c>
      <c r="F342" s="13" t="s">
        <v>22</v>
      </c>
      <c r="G342" s="13">
        <v>3</v>
      </c>
      <c r="H342" s="13">
        <v>17.367000000000001</v>
      </c>
      <c r="I342" s="13">
        <v>34.490700754304136</v>
      </c>
      <c r="J342" s="13">
        <v>7.08</v>
      </c>
      <c r="K342" s="13">
        <v>5.99</v>
      </c>
      <c r="L342" s="13">
        <f t="shared" si="10"/>
        <v>15.395480225988697</v>
      </c>
      <c r="M342" s="13">
        <f t="shared" si="11"/>
        <v>1.2657947842463801</v>
      </c>
      <c r="N342" s="13"/>
      <c r="O342" s="13"/>
      <c r="P342" s="13"/>
    </row>
    <row r="343" spans="1:16" x14ac:dyDescent="0.3">
      <c r="A343" s="13">
        <v>545</v>
      </c>
      <c r="B343" s="13" t="s">
        <v>21</v>
      </c>
      <c r="C343" s="13" t="s">
        <v>15</v>
      </c>
      <c r="D343" s="13" t="s">
        <v>16</v>
      </c>
      <c r="E343" s="13">
        <v>3</v>
      </c>
      <c r="F343" s="13" t="s">
        <v>22</v>
      </c>
      <c r="G343" s="13">
        <v>3</v>
      </c>
      <c r="H343" s="13">
        <v>16.036000000000001</v>
      </c>
      <c r="I343" s="13">
        <v>36.885757046645047</v>
      </c>
      <c r="J343" s="13">
        <v>7.04</v>
      </c>
      <c r="K343" s="13">
        <v>5.915</v>
      </c>
      <c r="L343" s="13">
        <f t="shared" si="10"/>
        <v>15.980113636363635</v>
      </c>
      <c r="M343" s="13">
        <f t="shared" si="11"/>
        <v>1.2727289614077106</v>
      </c>
      <c r="N343" s="13"/>
      <c r="O343" s="13"/>
      <c r="P343" s="13"/>
    </row>
    <row r="344" spans="1:16" x14ac:dyDescent="0.3">
      <c r="A344" s="13">
        <v>553</v>
      </c>
      <c r="B344" s="13" t="s">
        <v>21</v>
      </c>
      <c r="C344" s="13" t="s">
        <v>15</v>
      </c>
      <c r="D344" s="13" t="s">
        <v>16</v>
      </c>
      <c r="E344" s="13">
        <v>1</v>
      </c>
      <c r="F344" s="13" t="s">
        <v>22</v>
      </c>
      <c r="G344" s="13">
        <v>3</v>
      </c>
      <c r="H344" s="13">
        <v>15.532999999999999</v>
      </c>
      <c r="I344" s="13">
        <v>36.444988089873171</v>
      </c>
      <c r="J344" s="13">
        <v>7.09</v>
      </c>
      <c r="K344" s="13">
        <v>5.6609999999999996</v>
      </c>
      <c r="L344" s="13">
        <f t="shared" si="10"/>
        <v>20.155148095909738</v>
      </c>
      <c r="M344" s="13">
        <f t="shared" si="11"/>
        <v>1.3236970741576231</v>
      </c>
      <c r="N344" s="13"/>
      <c r="O344" s="13"/>
      <c r="P344" s="13"/>
    </row>
    <row r="345" spans="1:16" x14ac:dyDescent="0.3">
      <c r="A345" s="13">
        <v>557</v>
      </c>
      <c r="B345" s="13" t="s">
        <v>21</v>
      </c>
      <c r="C345" s="13" t="s">
        <v>15</v>
      </c>
      <c r="D345" s="13" t="s">
        <v>16</v>
      </c>
      <c r="E345" s="13">
        <v>4</v>
      </c>
      <c r="F345" s="13" t="s">
        <v>22</v>
      </c>
      <c r="G345" s="13">
        <v>3</v>
      </c>
      <c r="H345" s="13">
        <v>18.681999999999999</v>
      </c>
      <c r="I345" s="13">
        <v>32.164650465688908</v>
      </c>
      <c r="J345" s="13">
        <v>7.02</v>
      </c>
      <c r="K345" s="13">
        <v>6.0090000000000003</v>
      </c>
      <c r="L345" s="13">
        <f t="shared" si="10"/>
        <v>14.401709401709391</v>
      </c>
      <c r="M345" s="13">
        <f t="shared" si="11"/>
        <v>1.2541171613540385</v>
      </c>
      <c r="N345" s="13"/>
      <c r="O345" s="13"/>
      <c r="P345" s="13"/>
    </row>
    <row r="346" spans="1:16" x14ac:dyDescent="0.3">
      <c r="A346" s="13">
        <v>564</v>
      </c>
      <c r="B346" s="13" t="s">
        <v>21</v>
      </c>
      <c r="C346" s="13" t="s">
        <v>18</v>
      </c>
      <c r="D346" s="13" t="s">
        <v>16</v>
      </c>
      <c r="E346" s="13">
        <v>4</v>
      </c>
      <c r="F346" s="13" t="s">
        <v>22</v>
      </c>
      <c r="G346" s="13">
        <v>3</v>
      </c>
      <c r="H346" s="13">
        <v>20.623999999999999</v>
      </c>
      <c r="I346" s="13">
        <v>28.835337470907685</v>
      </c>
      <c r="J346" s="13">
        <v>6.95</v>
      </c>
      <c r="K346" s="13">
        <v>5.9470000000000001</v>
      </c>
      <c r="L346" s="13">
        <f t="shared" si="10"/>
        <v>14.431654676258995</v>
      </c>
      <c r="M346" s="13">
        <f t="shared" si="11"/>
        <v>1.2544670575203538</v>
      </c>
      <c r="N346" s="13"/>
      <c r="O346" s="13"/>
      <c r="P346" s="13"/>
    </row>
    <row r="347" spans="1:16" x14ac:dyDescent="0.3">
      <c r="A347" s="13">
        <v>581</v>
      </c>
      <c r="B347" s="13" t="s">
        <v>21</v>
      </c>
      <c r="C347" s="13" t="s">
        <v>18</v>
      </c>
      <c r="D347" s="13" t="s">
        <v>16</v>
      </c>
      <c r="E347" s="13">
        <v>3</v>
      </c>
      <c r="F347" s="13" t="s">
        <v>22</v>
      </c>
      <c r="G347" s="13">
        <v>3</v>
      </c>
      <c r="H347" s="13">
        <v>17.747</v>
      </c>
      <c r="I347" s="13">
        <v>33.814165774497098</v>
      </c>
      <c r="J347" s="13">
        <v>7.1</v>
      </c>
      <c r="K347" s="13">
        <v>6.0010000000000003</v>
      </c>
      <c r="L347" s="13">
        <f t="shared" si="10"/>
        <v>15.478873239436611</v>
      </c>
      <c r="M347" s="13">
        <f t="shared" si="11"/>
        <v>1.2667809507080035</v>
      </c>
      <c r="N347" s="13"/>
      <c r="O347" s="13"/>
      <c r="P347" s="13"/>
    </row>
    <row r="348" spans="1:16" x14ac:dyDescent="0.3">
      <c r="A348" s="13">
        <v>588</v>
      </c>
      <c r="B348" s="13" t="s">
        <v>21</v>
      </c>
      <c r="C348" s="13" t="s">
        <v>18</v>
      </c>
      <c r="D348" s="13" t="s">
        <v>16</v>
      </c>
      <c r="E348" s="13">
        <v>2</v>
      </c>
      <c r="F348" s="13" t="s">
        <v>22</v>
      </c>
      <c r="G348" s="13">
        <v>3</v>
      </c>
      <c r="H348" s="13">
        <v>22.143000000000001</v>
      </c>
      <c r="I348" s="13">
        <v>26.961116379894325</v>
      </c>
      <c r="J348" s="13">
        <v>7</v>
      </c>
      <c r="K348" s="13">
        <v>5.97</v>
      </c>
      <c r="L348" s="13">
        <f t="shared" si="10"/>
        <v>14.714285714285719</v>
      </c>
      <c r="M348" s="13">
        <f t="shared" si="11"/>
        <v>1.2577755103189121</v>
      </c>
      <c r="N348" s="13"/>
      <c r="O348" s="13"/>
      <c r="P348" s="13"/>
    </row>
    <row r="349" spans="1:16" x14ac:dyDescent="0.3">
      <c r="A349" s="13">
        <v>589</v>
      </c>
      <c r="B349" s="13" t="s">
        <v>21</v>
      </c>
      <c r="C349" s="13" t="s">
        <v>15</v>
      </c>
      <c r="D349" s="13" t="s">
        <v>16</v>
      </c>
      <c r="E349" s="13">
        <v>5</v>
      </c>
      <c r="F349" s="13" t="s">
        <v>22</v>
      </c>
      <c r="G349" s="13">
        <v>3</v>
      </c>
      <c r="H349" s="13">
        <v>15.615</v>
      </c>
      <c r="I349" s="13">
        <v>40.531540185718853</v>
      </c>
      <c r="J349" s="13">
        <v>6.93</v>
      </c>
      <c r="K349" s="13">
        <v>6.3289999999999997</v>
      </c>
      <c r="L349" s="13">
        <f t="shared" si="10"/>
        <v>8.6724386724386733</v>
      </c>
      <c r="M349" s="13">
        <f t="shared" si="11"/>
        <v>1.1893298560767531</v>
      </c>
      <c r="N349" s="13"/>
      <c r="O349" s="13"/>
      <c r="P349" s="13"/>
    </row>
    <row r="350" spans="1:16" x14ac:dyDescent="0.3">
      <c r="A350" s="13">
        <v>594</v>
      </c>
      <c r="B350" s="13" t="s">
        <v>21</v>
      </c>
      <c r="C350" s="13" t="s">
        <v>15</v>
      </c>
      <c r="D350" s="13" t="s">
        <v>16</v>
      </c>
      <c r="E350" s="13">
        <v>2</v>
      </c>
      <c r="F350" s="13" t="s">
        <v>22</v>
      </c>
      <c r="G350" s="13">
        <v>3</v>
      </c>
      <c r="H350" s="13">
        <v>17.707999999999998</v>
      </c>
      <c r="I350" s="13">
        <v>34.0185227016038</v>
      </c>
      <c r="J350" s="13">
        <v>6.92</v>
      </c>
      <c r="K350" s="13">
        <v>6.024</v>
      </c>
      <c r="L350" s="13">
        <f t="shared" si="10"/>
        <v>12.947976878612716</v>
      </c>
      <c r="M350" s="13">
        <f t="shared" si="11"/>
        <v>1.2372765678000954</v>
      </c>
      <c r="N350" s="13"/>
      <c r="O350" s="13"/>
      <c r="P350" s="13"/>
    </row>
    <row r="351" spans="1:16" x14ac:dyDescent="0.3">
      <c r="A351" s="13">
        <v>599</v>
      </c>
      <c r="B351" s="13" t="s">
        <v>21</v>
      </c>
      <c r="C351" s="13" t="s">
        <v>18</v>
      </c>
      <c r="D351" s="13" t="s">
        <v>16</v>
      </c>
      <c r="E351" s="13">
        <v>1</v>
      </c>
      <c r="F351" s="13" t="s">
        <v>22</v>
      </c>
      <c r="G351" s="13">
        <v>3</v>
      </c>
      <c r="H351" s="13">
        <v>23.652000000000001</v>
      </c>
      <c r="I351" s="13">
        <v>23.647048875359378</v>
      </c>
      <c r="J351" s="13">
        <v>7.02</v>
      </c>
      <c r="K351" s="13">
        <v>5.593</v>
      </c>
      <c r="L351" s="13">
        <f t="shared" si="10"/>
        <v>20.327635327635324</v>
      </c>
      <c r="M351" s="13">
        <f t="shared" si="11"/>
        <v>1.3258596908663782</v>
      </c>
      <c r="N351" s="13"/>
      <c r="O351" s="13"/>
      <c r="P351" s="13"/>
    </row>
    <row r="352" spans="1:16" x14ac:dyDescent="0.3">
      <c r="A352" s="13">
        <v>662</v>
      </c>
      <c r="B352" s="13" t="s">
        <v>21</v>
      </c>
      <c r="C352" s="13" t="s">
        <v>15</v>
      </c>
      <c r="D352" s="13" t="s">
        <v>19</v>
      </c>
      <c r="E352" s="13">
        <v>5</v>
      </c>
      <c r="F352" s="13" t="s">
        <v>22</v>
      </c>
      <c r="G352" s="13">
        <v>3</v>
      </c>
      <c r="H352" s="13">
        <v>13.036</v>
      </c>
      <c r="I352" s="13">
        <v>45.819269714636391</v>
      </c>
      <c r="J352" s="13">
        <v>7.01</v>
      </c>
      <c r="K352" s="13">
        <v>5.9729999999999999</v>
      </c>
      <c r="L352" s="13">
        <f t="shared" si="10"/>
        <v>14.793152639087017</v>
      </c>
      <c r="M352" s="13">
        <f t="shared" si="11"/>
        <v>1.2587006759644395</v>
      </c>
      <c r="N352" s="13"/>
      <c r="O352" s="13"/>
      <c r="P352" s="13"/>
    </row>
    <row r="353" spans="1:16" x14ac:dyDescent="0.3">
      <c r="A353" s="13">
        <v>670</v>
      </c>
      <c r="B353" s="13" t="s">
        <v>21</v>
      </c>
      <c r="C353" s="13" t="s">
        <v>18</v>
      </c>
      <c r="D353" s="13" t="s">
        <v>19</v>
      </c>
      <c r="E353" s="13">
        <v>3</v>
      </c>
      <c r="F353" s="13" t="s">
        <v>22</v>
      </c>
      <c r="G353" s="13">
        <v>3</v>
      </c>
      <c r="H353" s="13">
        <v>17.707999999999998</v>
      </c>
      <c r="I353" s="13">
        <v>33.312627061215274</v>
      </c>
      <c r="J353" s="13">
        <v>7</v>
      </c>
      <c r="K353" s="13">
        <v>5.899</v>
      </c>
      <c r="L353" s="13">
        <f t="shared" si="10"/>
        <v>15.728571428571428</v>
      </c>
      <c r="M353" s="13">
        <f t="shared" si="11"/>
        <v>1.2697395927024846</v>
      </c>
      <c r="N353" s="13"/>
      <c r="O353" s="13"/>
      <c r="P353" s="13"/>
    </row>
    <row r="354" spans="1:16" x14ac:dyDescent="0.3">
      <c r="A354" s="13">
        <v>674</v>
      </c>
      <c r="B354" s="13" t="s">
        <v>21</v>
      </c>
      <c r="C354" s="13" t="s">
        <v>15</v>
      </c>
      <c r="D354" s="13" t="s">
        <v>19</v>
      </c>
      <c r="E354" s="13">
        <v>1</v>
      </c>
      <c r="F354" s="13" t="s">
        <v>22</v>
      </c>
      <c r="G354" s="13">
        <v>3</v>
      </c>
      <c r="H354" s="13">
        <v>14.382999999999999</v>
      </c>
      <c r="I354" s="13">
        <v>40.15156782312453</v>
      </c>
      <c r="J354" s="13">
        <v>6.92</v>
      </c>
      <c r="K354" s="13">
        <v>5.7750000000000004</v>
      </c>
      <c r="L354" s="13">
        <f t="shared" si="10"/>
        <v>16.546242774566469</v>
      </c>
      <c r="M354" s="13">
        <f t="shared" si="11"/>
        <v>1.2794898018898306</v>
      </c>
      <c r="N354" s="13"/>
      <c r="O354" s="13"/>
      <c r="P354" s="13"/>
    </row>
    <row r="355" spans="1:16" x14ac:dyDescent="0.3">
      <c r="A355" s="13">
        <v>680</v>
      </c>
      <c r="B355" s="13" t="s">
        <v>21</v>
      </c>
      <c r="C355" s="13" t="s">
        <v>18</v>
      </c>
      <c r="D355" s="13" t="s">
        <v>19</v>
      </c>
      <c r="E355" s="13">
        <v>2</v>
      </c>
      <c r="F355" s="13" t="s">
        <v>22</v>
      </c>
      <c r="G355" s="13">
        <v>3</v>
      </c>
      <c r="H355" s="13">
        <v>19.251000000000001</v>
      </c>
      <c r="I355" s="13">
        <v>31.016570567762713</v>
      </c>
      <c r="J355" s="13">
        <v>6.98</v>
      </c>
      <c r="K355" s="13">
        <v>5.9710000000000001</v>
      </c>
      <c r="L355" s="13">
        <f t="shared" si="10"/>
        <v>14.455587392550148</v>
      </c>
      <c r="M355" s="13">
        <f t="shared" si="11"/>
        <v>1.2547467878775354</v>
      </c>
      <c r="N355" s="13"/>
      <c r="O355" s="13"/>
      <c r="P355" s="13"/>
    </row>
    <row r="356" spans="1:16" x14ac:dyDescent="0.3">
      <c r="A356" s="13">
        <v>683</v>
      </c>
      <c r="B356" s="13" t="s">
        <v>21</v>
      </c>
      <c r="C356" s="13" t="s">
        <v>18</v>
      </c>
      <c r="D356" s="13" t="s">
        <v>19</v>
      </c>
      <c r="E356" s="13">
        <v>4</v>
      </c>
      <c r="F356" s="13" t="s">
        <v>22</v>
      </c>
      <c r="G356" s="13">
        <v>3</v>
      </c>
      <c r="H356" s="13">
        <v>13.725</v>
      </c>
      <c r="I356" s="13">
        <v>44.495446265938071</v>
      </c>
      <c r="J356" s="13">
        <v>7.09</v>
      </c>
      <c r="K356" s="13">
        <v>6.1070000000000002</v>
      </c>
      <c r="L356" s="13">
        <f t="shared" si="10"/>
        <v>13.864598025387863</v>
      </c>
      <c r="M356" s="13">
        <f t="shared" si="11"/>
        <v>1.2478619749711481</v>
      </c>
      <c r="N356" s="13"/>
      <c r="O356" s="13"/>
      <c r="P356" s="13"/>
    </row>
    <row r="357" spans="1:16" x14ac:dyDescent="0.3">
      <c r="A357" s="13">
        <v>687</v>
      </c>
      <c r="B357" s="13" t="s">
        <v>21</v>
      </c>
      <c r="C357" s="13" t="s">
        <v>15</v>
      </c>
      <c r="D357" s="13" t="s">
        <v>19</v>
      </c>
      <c r="E357" s="13">
        <v>3</v>
      </c>
      <c r="F357" s="13" t="s">
        <v>22</v>
      </c>
      <c r="G357" s="13">
        <v>3</v>
      </c>
      <c r="H357" s="13">
        <v>14.164</v>
      </c>
      <c r="I357" s="13">
        <v>43.024569330697545</v>
      </c>
      <c r="J357" s="13">
        <v>6.99</v>
      </c>
      <c r="K357" s="13">
        <v>6.0940000000000003</v>
      </c>
      <c r="L357" s="13">
        <f t="shared" si="10"/>
        <v>12.818311874105865</v>
      </c>
      <c r="M357" s="13">
        <f t="shared" si="11"/>
        <v>1.2357881643503112</v>
      </c>
      <c r="N357" s="13"/>
      <c r="O357" s="13"/>
      <c r="P357" s="13"/>
    </row>
    <row r="358" spans="1:16" x14ac:dyDescent="0.3">
      <c r="A358" s="13">
        <v>697</v>
      </c>
      <c r="B358" s="13" t="s">
        <v>21</v>
      </c>
      <c r="C358" s="13" t="s">
        <v>18</v>
      </c>
      <c r="D358" s="13" t="s">
        <v>19</v>
      </c>
      <c r="E358" s="13">
        <v>1</v>
      </c>
      <c r="F358" s="13" t="s">
        <v>22</v>
      </c>
      <c r="G358" s="13">
        <v>3</v>
      </c>
      <c r="H358" s="13">
        <v>22.155000000000001</v>
      </c>
      <c r="I358" s="13">
        <v>25.488603024148048</v>
      </c>
      <c r="J358" s="13">
        <v>7.02</v>
      </c>
      <c r="K358" s="13">
        <v>5.6470000000000002</v>
      </c>
      <c r="L358" s="13">
        <f t="shared" si="10"/>
        <v>19.55840455840455</v>
      </c>
      <c r="M358" s="13">
        <f t="shared" si="11"/>
        <v>1.3162510760151296</v>
      </c>
      <c r="N358" s="13"/>
      <c r="O358" s="13"/>
      <c r="P358" s="13"/>
    </row>
    <row r="359" spans="1:16" x14ac:dyDescent="0.3">
      <c r="A359" s="13">
        <v>698</v>
      </c>
      <c r="B359" s="13" t="s">
        <v>21</v>
      </c>
      <c r="C359" s="13" t="s">
        <v>15</v>
      </c>
      <c r="D359" s="13" t="s">
        <v>19</v>
      </c>
      <c r="E359" s="13">
        <v>2</v>
      </c>
      <c r="F359" s="13" t="s">
        <v>22</v>
      </c>
      <c r="G359" s="13">
        <v>3</v>
      </c>
      <c r="H359" s="13">
        <v>18.623999999999999</v>
      </c>
      <c r="I359" s="13">
        <v>32.893041237113408</v>
      </c>
      <c r="J359" s="13">
        <v>7.05</v>
      </c>
      <c r="K359" s="13">
        <v>6.1260000000000003</v>
      </c>
      <c r="L359" s="13">
        <f t="shared" si="10"/>
        <v>13.106382978723396</v>
      </c>
      <c r="M359" s="13">
        <f t="shared" si="11"/>
        <v>1.2390978970817035</v>
      </c>
      <c r="N359" s="13"/>
      <c r="O359" s="13"/>
      <c r="P359" s="13"/>
    </row>
    <row r="360" spans="1:16" x14ac:dyDescent="0.3">
      <c r="A360" s="13">
        <v>700</v>
      </c>
      <c r="B360" s="13" t="s">
        <v>21</v>
      </c>
      <c r="C360" s="13" t="s">
        <v>15</v>
      </c>
      <c r="D360" s="13" t="s">
        <v>19</v>
      </c>
      <c r="E360" s="13">
        <v>4</v>
      </c>
      <c r="F360" s="13" t="s">
        <v>22</v>
      </c>
      <c r="G360" s="13">
        <v>3</v>
      </c>
      <c r="H360" s="13">
        <v>17.462</v>
      </c>
      <c r="I360" s="13">
        <v>33.123353567747102</v>
      </c>
      <c r="J360" s="13">
        <v>6.96</v>
      </c>
      <c r="K360" s="13">
        <v>5.7839999999999998</v>
      </c>
      <c r="L360" s="13">
        <f t="shared" si="10"/>
        <v>16.896551724137936</v>
      </c>
      <c r="M360" s="13">
        <f t="shared" si="11"/>
        <v>1.2836962781579744</v>
      </c>
      <c r="N360" s="13"/>
      <c r="O360" s="13"/>
      <c r="P360" s="13"/>
    </row>
    <row r="361" spans="1:16" x14ac:dyDescent="0.3">
      <c r="A361" s="13">
        <v>705</v>
      </c>
      <c r="B361" s="13" t="s">
        <v>21</v>
      </c>
      <c r="C361" s="13" t="s">
        <v>18</v>
      </c>
      <c r="D361" s="13" t="s">
        <v>19</v>
      </c>
      <c r="E361" s="13">
        <v>5</v>
      </c>
      <c r="F361" s="13" t="s">
        <v>22</v>
      </c>
      <c r="G361" s="13">
        <v>3</v>
      </c>
      <c r="H361" s="13">
        <v>19.576000000000001</v>
      </c>
      <c r="I361" s="13">
        <v>28.417449938700447</v>
      </c>
      <c r="J361" s="13">
        <v>6.92</v>
      </c>
      <c r="K361" s="13">
        <v>5.5629999999999997</v>
      </c>
      <c r="L361" s="13">
        <f t="shared" si="10"/>
        <v>19.609826589595379</v>
      </c>
      <c r="M361" s="13">
        <f t="shared" si="11"/>
        <v>1.3168905272045317</v>
      </c>
      <c r="N361" s="13"/>
      <c r="O361" s="13"/>
      <c r="P361" s="13"/>
    </row>
    <row r="362" spans="1:16" x14ac:dyDescent="0.3">
      <c r="A362" s="10">
        <v>9</v>
      </c>
      <c r="B362" s="10" t="s">
        <v>14</v>
      </c>
      <c r="C362" s="10" t="s">
        <v>15</v>
      </c>
      <c r="D362" s="10" t="s">
        <v>16</v>
      </c>
      <c r="E362" s="10">
        <v>3</v>
      </c>
      <c r="F362" s="10" t="s">
        <v>17</v>
      </c>
      <c r="G362" s="10">
        <v>6</v>
      </c>
      <c r="H362" s="10">
        <v>6.3006000000000002</v>
      </c>
      <c r="I362" s="10">
        <v>13.041615084277685</v>
      </c>
      <c r="J362" s="10">
        <v>6.93</v>
      </c>
      <c r="K362" s="10">
        <v>5.4789000000000003</v>
      </c>
      <c r="L362" s="10">
        <f t="shared" si="10"/>
        <v>20.939393939393934</v>
      </c>
      <c r="M362" s="10">
        <f t="shared" si="11"/>
        <v>2.0267149315458979</v>
      </c>
      <c r="N362" s="10">
        <v>48</v>
      </c>
      <c r="O362" s="10">
        <v>1.175</v>
      </c>
      <c r="P362" s="10">
        <v>7.3460000000000001</v>
      </c>
    </row>
    <row r="363" spans="1:16" x14ac:dyDescent="0.3">
      <c r="A363" s="10">
        <v>12</v>
      </c>
      <c r="B363" s="10" t="s">
        <v>14</v>
      </c>
      <c r="C363" s="10" t="s">
        <v>18</v>
      </c>
      <c r="D363" s="10" t="s">
        <v>16</v>
      </c>
      <c r="E363" s="10">
        <v>2</v>
      </c>
      <c r="F363" s="10" t="s">
        <v>17</v>
      </c>
      <c r="G363" s="10">
        <v>6</v>
      </c>
      <c r="H363" s="10">
        <v>6.5397999999999996</v>
      </c>
      <c r="I363" s="10">
        <v>18.355301385363457</v>
      </c>
      <c r="J363" s="10">
        <v>6.99</v>
      </c>
      <c r="K363" s="10">
        <v>5.3394000000000004</v>
      </c>
      <c r="L363" s="10">
        <f t="shared" si="10"/>
        <v>23.613733905579394</v>
      </c>
      <c r="M363" s="10">
        <f t="shared" si="11"/>
        <v>2.0611267383650396</v>
      </c>
      <c r="N363" s="10">
        <v>47.49</v>
      </c>
      <c r="O363" s="10">
        <v>0.91</v>
      </c>
      <c r="P363" s="10">
        <v>5.6870000000000003</v>
      </c>
    </row>
    <row r="364" spans="1:16" x14ac:dyDescent="0.3">
      <c r="A364" s="10">
        <v>21</v>
      </c>
      <c r="B364" s="10" t="s">
        <v>14</v>
      </c>
      <c r="C364" s="10" t="s">
        <v>15</v>
      </c>
      <c r="D364" s="10" t="s">
        <v>16</v>
      </c>
      <c r="E364" s="10">
        <v>2</v>
      </c>
      <c r="F364" s="10" t="s">
        <v>17</v>
      </c>
      <c r="G364" s="10">
        <v>6</v>
      </c>
      <c r="H364" s="10">
        <v>5.8028000000000004</v>
      </c>
      <c r="I364" s="10">
        <v>12.690425311918393</v>
      </c>
      <c r="J364" s="10">
        <v>6.9499999999999993</v>
      </c>
      <c r="K364" s="10">
        <v>5.0663999999999998</v>
      </c>
      <c r="L364" s="10">
        <f t="shared" si="10"/>
        <v>27.102158273381288</v>
      </c>
      <c r="M364" s="10">
        <f t="shared" si="11"/>
        <v>2.1078706225846724</v>
      </c>
      <c r="N364" s="10">
        <v>47.51</v>
      </c>
      <c r="O364" s="10">
        <v>1.246</v>
      </c>
      <c r="P364" s="10">
        <v>7.7850000000000001</v>
      </c>
    </row>
    <row r="365" spans="1:16" x14ac:dyDescent="0.3">
      <c r="A365" s="10">
        <v>27</v>
      </c>
      <c r="B365" s="10" t="s">
        <v>14</v>
      </c>
      <c r="C365" s="10" t="s">
        <v>18</v>
      </c>
      <c r="D365" s="10" t="s">
        <v>16</v>
      </c>
      <c r="E365" s="10">
        <v>1</v>
      </c>
      <c r="F365" s="10" t="s">
        <v>17</v>
      </c>
      <c r="G365" s="10">
        <v>6</v>
      </c>
      <c r="H365" s="10">
        <v>5.8532000000000002</v>
      </c>
      <c r="I365" s="10">
        <v>11.716667805644782</v>
      </c>
      <c r="J365" s="10">
        <v>7.05</v>
      </c>
      <c r="K365" s="10">
        <v>5.1673999999999998</v>
      </c>
      <c r="L365" s="10">
        <f t="shared" si="10"/>
        <v>26.703546099290783</v>
      </c>
      <c r="M365" s="10">
        <f t="shared" si="11"/>
        <v>2.102417425383158</v>
      </c>
      <c r="N365" s="10">
        <v>48.11</v>
      </c>
      <c r="O365" s="10">
        <v>1.3069999999999999</v>
      </c>
      <c r="P365" s="10">
        <v>8.1660000000000004</v>
      </c>
    </row>
    <row r="366" spans="1:16" x14ac:dyDescent="0.3">
      <c r="A366" s="10">
        <v>44</v>
      </c>
      <c r="B366" s="10" t="s">
        <v>14</v>
      </c>
      <c r="C366" s="10" t="s">
        <v>18</v>
      </c>
      <c r="D366" s="10" t="s">
        <v>16</v>
      </c>
      <c r="E366" s="10">
        <v>5</v>
      </c>
      <c r="F366" s="10" t="s">
        <v>17</v>
      </c>
      <c r="G366" s="10">
        <v>6</v>
      </c>
      <c r="H366" s="10">
        <v>6.0739999999999998</v>
      </c>
      <c r="I366" s="10">
        <v>18.14784326638129</v>
      </c>
      <c r="J366" s="10">
        <v>7.06</v>
      </c>
      <c r="K366" s="10">
        <v>4.9717000000000002</v>
      </c>
      <c r="L366" s="10">
        <f t="shared" si="10"/>
        <v>29.579320113314438</v>
      </c>
      <c r="M366" s="10">
        <f t="shared" si="11"/>
        <v>2.1424426867973412</v>
      </c>
      <c r="N366" s="10">
        <v>47.8</v>
      </c>
      <c r="O366" s="10">
        <v>1.121</v>
      </c>
      <c r="P366" s="10">
        <v>7.0039999999999996</v>
      </c>
    </row>
    <row r="367" spans="1:16" x14ac:dyDescent="0.3">
      <c r="A367" s="10">
        <v>46</v>
      </c>
      <c r="B367" s="10" t="s">
        <v>14</v>
      </c>
      <c r="C367" s="10" t="s">
        <v>18</v>
      </c>
      <c r="D367" s="10" t="s">
        <v>16</v>
      </c>
      <c r="E367" s="10">
        <v>4</v>
      </c>
      <c r="F367" s="10" t="s">
        <v>17</v>
      </c>
      <c r="G367" s="10">
        <v>6</v>
      </c>
      <c r="H367" s="10">
        <v>8.0637000000000008</v>
      </c>
      <c r="I367" s="10">
        <v>34.908292719223191</v>
      </c>
      <c r="J367" s="10">
        <v>6.98</v>
      </c>
      <c r="K367" s="10">
        <v>5.2488000000000001</v>
      </c>
      <c r="L367" s="10">
        <f t="shared" si="10"/>
        <v>24.802292263610319</v>
      </c>
      <c r="M367" s="10">
        <f t="shared" si="11"/>
        <v>2.0768089069538056</v>
      </c>
      <c r="N367" s="10">
        <v>44.99</v>
      </c>
      <c r="O367" s="10">
        <v>1.1200000000000001</v>
      </c>
      <c r="P367" s="10">
        <v>7</v>
      </c>
    </row>
    <row r="368" spans="1:16" x14ac:dyDescent="0.3">
      <c r="A368" s="10">
        <v>49</v>
      </c>
      <c r="B368" s="10" t="s">
        <v>14</v>
      </c>
      <c r="C368" s="10" t="s">
        <v>15</v>
      </c>
      <c r="D368" s="10" t="s">
        <v>16</v>
      </c>
      <c r="E368" s="10">
        <v>1</v>
      </c>
      <c r="F368" s="10" t="s">
        <v>17</v>
      </c>
      <c r="G368" s="10">
        <v>6</v>
      </c>
      <c r="H368" s="10">
        <v>6.0578000000000003</v>
      </c>
      <c r="I368" s="10">
        <v>13.277097296048076</v>
      </c>
      <c r="J368" s="10">
        <v>6.9300000000000006</v>
      </c>
      <c r="K368" s="10">
        <v>5.2534999999999998</v>
      </c>
      <c r="L368" s="10">
        <f t="shared" si="10"/>
        <v>24.191919191919201</v>
      </c>
      <c r="M368" s="10">
        <f t="shared" si="11"/>
        <v>2.0687247612831738</v>
      </c>
      <c r="N368" s="10">
        <v>48.21</v>
      </c>
      <c r="O368" s="10">
        <v>1.0609999999999999</v>
      </c>
      <c r="P368" s="10">
        <v>6.63</v>
      </c>
    </row>
    <row r="369" spans="1:16" x14ac:dyDescent="0.3">
      <c r="A369" s="10">
        <v>52</v>
      </c>
      <c r="B369" s="10" t="s">
        <v>14</v>
      </c>
      <c r="C369" s="10" t="s">
        <v>15</v>
      </c>
      <c r="D369" s="10" t="s">
        <v>16</v>
      </c>
      <c r="E369" s="10">
        <v>4</v>
      </c>
      <c r="F369" s="10" t="s">
        <v>17</v>
      </c>
      <c r="G369" s="10">
        <v>6</v>
      </c>
      <c r="H369" s="10">
        <v>5.8727</v>
      </c>
      <c r="I369" s="10">
        <v>14.894341614589537</v>
      </c>
      <c r="J369" s="10">
        <v>6.9500000000000011</v>
      </c>
      <c r="K369" s="10">
        <v>4.9980000000000002</v>
      </c>
      <c r="L369" s="10">
        <f t="shared" si="10"/>
        <v>28.086330935251809</v>
      </c>
      <c r="M369" s="10">
        <f t="shared" si="11"/>
        <v>2.1214632963919953</v>
      </c>
      <c r="N369" s="10">
        <v>47.25</v>
      </c>
      <c r="O369" s="10">
        <v>1.2070000000000001</v>
      </c>
      <c r="P369" s="10">
        <v>7.5419999999999998</v>
      </c>
    </row>
    <row r="370" spans="1:16" x14ac:dyDescent="0.3">
      <c r="A370" s="10">
        <v>58</v>
      </c>
      <c r="B370" s="10" t="s">
        <v>14</v>
      </c>
      <c r="C370" s="10" t="s">
        <v>15</v>
      </c>
      <c r="D370" s="10" t="s">
        <v>16</v>
      </c>
      <c r="E370" s="10">
        <v>5</v>
      </c>
      <c r="F370" s="10" t="s">
        <v>17</v>
      </c>
      <c r="G370" s="10">
        <v>6</v>
      </c>
      <c r="H370" s="10">
        <v>6.1505999999999998</v>
      </c>
      <c r="I370" s="10">
        <v>14.335186811042815</v>
      </c>
      <c r="J370" s="10">
        <v>7.0200000000000005</v>
      </c>
      <c r="K370" s="10">
        <v>5.2689000000000004</v>
      </c>
      <c r="L370" s="10">
        <f t="shared" si="10"/>
        <v>24.944444444444443</v>
      </c>
      <c r="M370" s="10">
        <f t="shared" si="11"/>
        <v>2.0787010751521122</v>
      </c>
      <c r="N370" s="10">
        <v>47.3</v>
      </c>
      <c r="O370" s="10">
        <v>1.034</v>
      </c>
      <c r="P370" s="10">
        <v>6.4619999999999997</v>
      </c>
    </row>
    <row r="371" spans="1:16" x14ac:dyDescent="0.3">
      <c r="A371" s="10">
        <v>122</v>
      </c>
      <c r="B371" s="10" t="s">
        <v>14</v>
      </c>
      <c r="C371" s="10" t="s">
        <v>18</v>
      </c>
      <c r="D371" s="10" t="s">
        <v>19</v>
      </c>
      <c r="E371" s="10">
        <v>5</v>
      </c>
      <c r="F371" s="10" t="s">
        <v>17</v>
      </c>
      <c r="G371" s="10">
        <v>6</v>
      </c>
      <c r="H371" s="10">
        <v>7.1124000000000001</v>
      </c>
      <c r="I371" s="10">
        <v>24.275912490861039</v>
      </c>
      <c r="J371" s="10">
        <v>7.08</v>
      </c>
      <c r="K371" s="10">
        <v>5.3857999999999997</v>
      </c>
      <c r="L371" s="10">
        <f t="shared" si="10"/>
        <v>23.92937853107345</v>
      </c>
      <c r="M371" s="10">
        <f t="shared" si="11"/>
        <v>2.0652675165423124</v>
      </c>
      <c r="N371" s="10">
        <v>48.4</v>
      </c>
      <c r="O371" s="10">
        <v>1.0169999999999999</v>
      </c>
      <c r="P371" s="10">
        <v>6.3540000000000001</v>
      </c>
    </row>
    <row r="372" spans="1:16" x14ac:dyDescent="0.3">
      <c r="A372" s="10">
        <v>128</v>
      </c>
      <c r="B372" s="10" t="s">
        <v>14</v>
      </c>
      <c r="C372" s="10" t="s">
        <v>18</v>
      </c>
      <c r="D372" s="10" t="s">
        <v>19</v>
      </c>
      <c r="E372" s="10">
        <v>4</v>
      </c>
      <c r="F372" s="10" t="s">
        <v>17</v>
      </c>
      <c r="G372" s="10">
        <v>6</v>
      </c>
      <c r="H372" s="10">
        <v>9.2081</v>
      </c>
      <c r="I372" s="10">
        <v>36.574320435268945</v>
      </c>
      <c r="J372" s="10">
        <v>7.06</v>
      </c>
      <c r="K372" s="10">
        <v>5.8403</v>
      </c>
      <c r="L372" s="10">
        <f t="shared" si="10"/>
        <v>17.27620396600566</v>
      </c>
      <c r="M372" s="10">
        <f t="shared" si="11"/>
        <v>1.9814223553494426</v>
      </c>
      <c r="N372" s="10">
        <v>39.340000000000003</v>
      </c>
      <c r="O372" s="10">
        <v>1.1910000000000001</v>
      </c>
      <c r="P372" s="10">
        <v>7.4420000000000002</v>
      </c>
    </row>
    <row r="373" spans="1:16" x14ac:dyDescent="0.3">
      <c r="A373" s="10">
        <v>147</v>
      </c>
      <c r="B373" s="10" t="s">
        <v>14</v>
      </c>
      <c r="C373" s="10" t="s">
        <v>15</v>
      </c>
      <c r="D373" s="10" t="s">
        <v>19</v>
      </c>
      <c r="E373" s="10">
        <v>3</v>
      </c>
      <c r="F373" s="10" t="s">
        <v>17</v>
      </c>
      <c r="G373" s="10">
        <v>6</v>
      </c>
      <c r="H373" s="10">
        <v>6.2760999999999996</v>
      </c>
      <c r="I373" s="10">
        <v>15.315243542964579</v>
      </c>
      <c r="J373" s="10">
        <v>6.99</v>
      </c>
      <c r="K373" s="10">
        <v>5.3148999999999997</v>
      </c>
      <c r="L373" s="10">
        <f t="shared" si="10"/>
        <v>23.964234620886987</v>
      </c>
      <c r="M373" s="10">
        <f t="shared" si="11"/>
        <v>2.0657258285323077</v>
      </c>
      <c r="N373" s="10">
        <v>47.06</v>
      </c>
      <c r="O373" s="10">
        <v>0.97499999999999998</v>
      </c>
      <c r="P373" s="10">
        <v>6.0949999999999998</v>
      </c>
    </row>
    <row r="374" spans="1:16" x14ac:dyDescent="0.3">
      <c r="A374" s="10">
        <v>149</v>
      </c>
      <c r="B374" s="10" t="s">
        <v>14</v>
      </c>
      <c r="C374" s="10" t="s">
        <v>15</v>
      </c>
      <c r="D374" s="10" t="s">
        <v>19</v>
      </c>
      <c r="E374" s="10">
        <v>5</v>
      </c>
      <c r="F374" s="10" t="s">
        <v>17</v>
      </c>
      <c r="G374" s="10">
        <v>6</v>
      </c>
      <c r="H374" s="10">
        <v>6.0053000000000001</v>
      </c>
      <c r="I374" s="10">
        <v>14.971774932143269</v>
      </c>
      <c r="J374" s="10">
        <v>7.01</v>
      </c>
      <c r="K374" s="10">
        <v>5.1062000000000003</v>
      </c>
      <c r="L374" s="10">
        <f t="shared" si="10"/>
        <v>27.15834522111269</v>
      </c>
      <c r="M374" s="10">
        <f t="shared" si="11"/>
        <v>2.1086416826179835</v>
      </c>
      <c r="N374" s="10">
        <v>47.25</v>
      </c>
      <c r="O374" s="10">
        <v>1.008</v>
      </c>
      <c r="P374" s="10">
        <v>6.298</v>
      </c>
    </row>
    <row r="375" spans="1:16" x14ac:dyDescent="0.3">
      <c r="A375" s="10">
        <v>150</v>
      </c>
      <c r="B375" s="10" t="s">
        <v>14</v>
      </c>
      <c r="C375" s="10" t="s">
        <v>18</v>
      </c>
      <c r="D375" s="10" t="s">
        <v>19</v>
      </c>
      <c r="E375" s="10">
        <v>3</v>
      </c>
      <c r="F375" s="10" t="s">
        <v>17</v>
      </c>
      <c r="G375" s="10">
        <v>6</v>
      </c>
      <c r="H375" s="10">
        <v>6.4962</v>
      </c>
      <c r="I375" s="10">
        <v>15.387457282719128</v>
      </c>
      <c r="J375" s="10">
        <v>7.04</v>
      </c>
      <c r="K375" s="10">
        <v>5.4965999999999999</v>
      </c>
      <c r="L375" s="10">
        <f t="shared" si="10"/>
        <v>21.923295454545453</v>
      </c>
      <c r="M375" s="10">
        <f t="shared" si="11"/>
        <v>2.0392379201309252</v>
      </c>
      <c r="N375" s="10">
        <v>47.23</v>
      </c>
      <c r="O375" s="10">
        <v>0.84</v>
      </c>
      <c r="P375" s="10">
        <v>5.2510000000000003</v>
      </c>
    </row>
    <row r="376" spans="1:16" x14ac:dyDescent="0.3">
      <c r="A376" s="10">
        <v>152</v>
      </c>
      <c r="B376" s="10" t="s">
        <v>14</v>
      </c>
      <c r="C376" s="10" t="s">
        <v>15</v>
      </c>
      <c r="D376" s="10" t="s">
        <v>19</v>
      </c>
      <c r="E376" s="10">
        <v>2</v>
      </c>
      <c r="F376" s="10" t="s">
        <v>17</v>
      </c>
      <c r="G376" s="10">
        <v>6</v>
      </c>
      <c r="H376" s="10">
        <v>6.1037999999999997</v>
      </c>
      <c r="I376" s="10">
        <v>13.927389495068637</v>
      </c>
      <c r="J376" s="10">
        <v>7.02</v>
      </c>
      <c r="K376" s="10">
        <v>5.2537000000000003</v>
      </c>
      <c r="L376" s="10">
        <f t="shared" si="10"/>
        <v>25.160968660968653</v>
      </c>
      <c r="M376" s="10">
        <f t="shared" si="11"/>
        <v>2.0815900969855305</v>
      </c>
      <c r="N376" s="10">
        <v>47.15</v>
      </c>
      <c r="O376" s="10">
        <v>1.044</v>
      </c>
      <c r="P376" s="10">
        <v>6.5220000000000002</v>
      </c>
    </row>
    <row r="377" spans="1:16" x14ac:dyDescent="0.3">
      <c r="A377" s="10">
        <v>154</v>
      </c>
      <c r="B377" s="10" t="s">
        <v>14</v>
      </c>
      <c r="C377" s="10" t="s">
        <v>15</v>
      </c>
      <c r="D377" s="10" t="s">
        <v>19</v>
      </c>
      <c r="E377" s="10">
        <v>4</v>
      </c>
      <c r="F377" s="10" t="s">
        <v>17</v>
      </c>
      <c r="G377" s="10">
        <v>6</v>
      </c>
      <c r="H377" s="10">
        <v>6.4123999999999999</v>
      </c>
      <c r="I377" s="10">
        <v>13.307030129124819</v>
      </c>
      <c r="J377" s="10">
        <v>7.07</v>
      </c>
      <c r="K377" s="10">
        <v>5.5590999999999999</v>
      </c>
      <c r="L377" s="10">
        <f t="shared" si="10"/>
        <v>21.370579915134375</v>
      </c>
      <c r="M377" s="10">
        <f t="shared" si="11"/>
        <v>2.0321837244800864</v>
      </c>
      <c r="N377" s="10">
        <v>48.31</v>
      </c>
      <c r="O377" s="10">
        <v>0.70499999999999996</v>
      </c>
      <c r="P377" s="10">
        <v>4.4039999999999999</v>
      </c>
    </row>
    <row r="378" spans="1:16" x14ac:dyDescent="0.3">
      <c r="A378" s="10">
        <v>161</v>
      </c>
      <c r="B378" s="10" t="s">
        <v>14</v>
      </c>
      <c r="C378" s="10" t="s">
        <v>18</v>
      </c>
      <c r="D378" s="10" t="s">
        <v>19</v>
      </c>
      <c r="E378" s="10">
        <v>1</v>
      </c>
      <c r="F378" s="10" t="s">
        <v>17</v>
      </c>
      <c r="G378" s="10">
        <v>6</v>
      </c>
      <c r="H378" s="10">
        <v>6.9043999999999999</v>
      </c>
      <c r="I378" s="10">
        <v>20.052430334279592</v>
      </c>
      <c r="J378" s="10">
        <v>7.07</v>
      </c>
      <c r="K378" s="10">
        <v>5.5198999999999998</v>
      </c>
      <c r="L378" s="10">
        <f t="shared" si="10"/>
        <v>21.925035360678933</v>
      </c>
      <c r="M378" s="10">
        <f t="shared" si="11"/>
        <v>2.0392602049536572</v>
      </c>
      <c r="N378" s="10">
        <v>47.27</v>
      </c>
      <c r="O378" s="10">
        <v>0.68300000000000005</v>
      </c>
      <c r="P378" s="10">
        <v>4.2670000000000003</v>
      </c>
    </row>
    <row r="379" spans="1:16" x14ac:dyDescent="0.3">
      <c r="A379" s="10">
        <v>167</v>
      </c>
      <c r="B379" s="10" t="s">
        <v>14</v>
      </c>
      <c r="C379" s="10" t="s">
        <v>15</v>
      </c>
      <c r="D379" s="10" t="s">
        <v>19</v>
      </c>
      <c r="E379" s="10">
        <v>1</v>
      </c>
      <c r="F379" s="10" t="s">
        <v>17</v>
      </c>
      <c r="G379" s="10">
        <v>6</v>
      </c>
      <c r="H379" s="10">
        <v>6.0449000000000002</v>
      </c>
      <c r="I379" s="10">
        <v>12.215255835497699</v>
      </c>
      <c r="J379" s="10">
        <v>6.99</v>
      </c>
      <c r="K379" s="10">
        <v>5.3064999999999998</v>
      </c>
      <c r="L379" s="10">
        <f t="shared" si="10"/>
        <v>24.084406294706728</v>
      </c>
      <c r="M379" s="10">
        <f t="shared" si="11"/>
        <v>2.0673075412540336</v>
      </c>
      <c r="N379" s="10">
        <v>48.23</v>
      </c>
      <c r="O379" s="10">
        <v>0.89200000000000002</v>
      </c>
      <c r="P379" s="10">
        <v>5.5720000000000001</v>
      </c>
    </row>
    <row r="380" spans="1:16" x14ac:dyDescent="0.3">
      <c r="A380" s="10">
        <v>180</v>
      </c>
      <c r="B380" s="10" t="s">
        <v>14</v>
      </c>
      <c r="C380" s="10" t="s">
        <v>18</v>
      </c>
      <c r="D380" s="10" t="s">
        <v>19</v>
      </c>
      <c r="E380" s="10">
        <v>2</v>
      </c>
      <c r="F380" s="10" t="s">
        <v>17</v>
      </c>
      <c r="G380" s="10">
        <v>6</v>
      </c>
      <c r="H380" s="10">
        <v>6.9192</v>
      </c>
      <c r="I380" s="10">
        <v>21.035668863452418</v>
      </c>
      <c r="J380" s="10">
        <v>7.06</v>
      </c>
      <c r="K380" s="10">
        <v>5.4637000000000002</v>
      </c>
      <c r="L380" s="10">
        <f t="shared" si="10"/>
        <v>22.610481586402258</v>
      </c>
      <c r="M380" s="10">
        <f t="shared" si="11"/>
        <v>2.048078304803667</v>
      </c>
      <c r="N380" s="10">
        <v>47.38</v>
      </c>
      <c r="O380" s="10">
        <v>0.94</v>
      </c>
      <c r="P380" s="10">
        <v>5.8730000000000002</v>
      </c>
    </row>
    <row r="381" spans="1:16" x14ac:dyDescent="0.3">
      <c r="A381" s="10">
        <v>245</v>
      </c>
      <c r="B381" s="10" t="s">
        <v>20</v>
      </c>
      <c r="C381" s="10" t="s">
        <v>18</v>
      </c>
      <c r="D381" s="10" t="s">
        <v>16</v>
      </c>
      <c r="E381" s="10">
        <v>5</v>
      </c>
      <c r="F381" s="10" t="s">
        <v>17</v>
      </c>
      <c r="G381" s="10">
        <v>6</v>
      </c>
      <c r="H381" s="10">
        <v>6.7293000000000003</v>
      </c>
      <c r="I381" s="10">
        <v>21.257783127516984</v>
      </c>
      <c r="J381" s="10">
        <v>6.9699999999999989</v>
      </c>
      <c r="K381" s="10">
        <v>5.2988</v>
      </c>
      <c r="L381" s="10">
        <f t="shared" si="10"/>
        <v>23.977044476327105</v>
      </c>
      <c r="M381" s="10">
        <f t="shared" si="11"/>
        <v>2.0658943141725179</v>
      </c>
      <c r="N381" s="10">
        <v>47.2</v>
      </c>
      <c r="O381" s="10">
        <v>1.4750000000000001</v>
      </c>
      <c r="P381" s="10">
        <v>9.2189999999999994</v>
      </c>
    </row>
    <row r="382" spans="1:16" x14ac:dyDescent="0.3">
      <c r="A382" s="10">
        <v>248</v>
      </c>
      <c r="B382" s="10" t="s">
        <v>20</v>
      </c>
      <c r="C382" s="10" t="s">
        <v>15</v>
      </c>
      <c r="D382" s="10" t="s">
        <v>16</v>
      </c>
      <c r="E382" s="10">
        <v>4</v>
      </c>
      <c r="F382" s="10" t="s">
        <v>17</v>
      </c>
      <c r="G382" s="10">
        <v>6</v>
      </c>
      <c r="H382" s="10">
        <v>6.7751000000000001</v>
      </c>
      <c r="I382" s="10">
        <v>18.683119068353239</v>
      </c>
      <c r="J382" s="10">
        <v>7.0799999999999992</v>
      </c>
      <c r="K382" s="10">
        <v>5.5092999999999996</v>
      </c>
      <c r="L382" s="10">
        <f t="shared" si="10"/>
        <v>22.185028248587564</v>
      </c>
      <c r="M382" s="10">
        <f t="shared" si="11"/>
        <v>2.0425958035816327</v>
      </c>
      <c r="N382" s="10">
        <v>48.17</v>
      </c>
      <c r="O382" s="10">
        <v>1.4770000000000001</v>
      </c>
      <c r="P382" s="10">
        <v>9.2289999999999992</v>
      </c>
    </row>
    <row r="383" spans="1:16" x14ac:dyDescent="0.3">
      <c r="A383" s="10">
        <v>255</v>
      </c>
      <c r="B383" s="10" t="s">
        <v>20</v>
      </c>
      <c r="C383" s="10" t="s">
        <v>15</v>
      </c>
      <c r="D383" s="10" t="s">
        <v>16</v>
      </c>
      <c r="E383" s="10">
        <v>5</v>
      </c>
      <c r="F383" s="10" t="s">
        <v>17</v>
      </c>
      <c r="G383" s="10">
        <v>6</v>
      </c>
      <c r="H383" s="10">
        <v>6.7332000000000001</v>
      </c>
      <c r="I383" s="10">
        <v>22.335590803778288</v>
      </c>
      <c r="J383" s="10">
        <v>6.9499999999999993</v>
      </c>
      <c r="K383" s="10">
        <v>5.2293000000000003</v>
      </c>
      <c r="L383" s="10">
        <f t="shared" si="10"/>
        <v>24.758273381294952</v>
      </c>
      <c r="M383" s="10">
        <f t="shared" si="11"/>
        <v>2.0762237028979631</v>
      </c>
      <c r="N383" s="10">
        <v>46.96</v>
      </c>
      <c r="O383" s="10">
        <v>1.5629999999999999</v>
      </c>
      <c r="P383" s="10">
        <v>9.7680000000000007</v>
      </c>
    </row>
    <row r="384" spans="1:16" x14ac:dyDescent="0.3">
      <c r="A384" s="10">
        <v>261</v>
      </c>
      <c r="B384" s="10" t="s">
        <v>20</v>
      </c>
      <c r="C384" s="10" t="s">
        <v>15</v>
      </c>
      <c r="D384" s="10" t="s">
        <v>16</v>
      </c>
      <c r="E384" s="10">
        <v>3</v>
      </c>
      <c r="F384" s="10" t="s">
        <v>17</v>
      </c>
      <c r="G384" s="10">
        <v>6</v>
      </c>
      <c r="H384" s="10">
        <v>6.5052000000000003</v>
      </c>
      <c r="I384" s="10">
        <v>20.535878989116409</v>
      </c>
      <c r="J384" s="10">
        <v>6.97</v>
      </c>
      <c r="K384" s="10">
        <v>5.1692999999999998</v>
      </c>
      <c r="L384" s="10">
        <f t="shared" si="10"/>
        <v>25.835007173601149</v>
      </c>
      <c r="M384" s="10">
        <f t="shared" si="11"/>
        <v>2.0906374111654609</v>
      </c>
      <c r="N384" s="10">
        <v>47.28</v>
      </c>
      <c r="O384" s="10">
        <v>1.5629999999999999</v>
      </c>
      <c r="P384" s="10">
        <v>9.7680000000000007</v>
      </c>
    </row>
    <row r="385" spans="1:16" x14ac:dyDescent="0.3">
      <c r="A385" s="10">
        <v>262</v>
      </c>
      <c r="B385" s="10" t="s">
        <v>20</v>
      </c>
      <c r="C385" s="10" t="s">
        <v>18</v>
      </c>
      <c r="D385" s="10" t="s">
        <v>16</v>
      </c>
      <c r="E385" s="10">
        <v>4</v>
      </c>
      <c r="F385" s="10" t="s">
        <v>17</v>
      </c>
      <c r="G385" s="10">
        <v>6</v>
      </c>
      <c r="H385" s="10">
        <v>8.5045000000000002</v>
      </c>
      <c r="I385" s="10">
        <v>36.85578223293551</v>
      </c>
      <c r="J385" s="10">
        <v>7.0299999999999994</v>
      </c>
      <c r="K385" s="10">
        <v>5.3700999999999999</v>
      </c>
      <c r="L385" s="10">
        <f t="shared" si="10"/>
        <v>23.611664295874817</v>
      </c>
      <c r="M385" s="10">
        <f t="shared" si="11"/>
        <v>2.0610996447293126</v>
      </c>
      <c r="N385" s="10">
        <v>48.68</v>
      </c>
      <c r="O385" s="10">
        <v>1.5309999999999999</v>
      </c>
      <c r="P385" s="10">
        <v>9.5679999999999996</v>
      </c>
    </row>
    <row r="386" spans="1:16" x14ac:dyDescent="0.3">
      <c r="A386" s="10">
        <v>279</v>
      </c>
      <c r="B386" s="10" t="s">
        <v>20</v>
      </c>
      <c r="C386" s="10" t="s">
        <v>18</v>
      </c>
      <c r="D386" s="10" t="s">
        <v>16</v>
      </c>
      <c r="E386" s="10">
        <v>3</v>
      </c>
      <c r="F386" s="10" t="s">
        <v>17</v>
      </c>
      <c r="G386" s="10">
        <v>6</v>
      </c>
      <c r="H386" s="10">
        <v>6.7671999999999999</v>
      </c>
      <c r="I386" s="10">
        <v>22.906076368365049</v>
      </c>
      <c r="J386" s="10">
        <v>6.9399999999999995</v>
      </c>
      <c r="K386" s="10">
        <v>5.2171000000000003</v>
      </c>
      <c r="L386" s="10">
        <f t="shared" si="10"/>
        <v>24.825648414985583</v>
      </c>
      <c r="M386" s="10">
        <f t="shared" si="11"/>
        <v>2.0771195517859433</v>
      </c>
      <c r="N386" s="10">
        <v>48.64</v>
      </c>
      <c r="O386" s="10">
        <v>1.36</v>
      </c>
      <c r="P386" s="10">
        <v>8.5009999999999994</v>
      </c>
    </row>
    <row r="387" spans="1:16" x14ac:dyDescent="0.3">
      <c r="A387" s="10">
        <v>284</v>
      </c>
      <c r="B387" s="10" t="s">
        <v>20</v>
      </c>
      <c r="C387" s="10" t="s">
        <v>15</v>
      </c>
      <c r="D387" s="10" t="s">
        <v>16</v>
      </c>
      <c r="E387" s="10">
        <v>2</v>
      </c>
      <c r="F387" s="10" t="s">
        <v>17</v>
      </c>
      <c r="G387" s="10">
        <v>6</v>
      </c>
      <c r="H387" s="10">
        <v>6.3775000000000004</v>
      </c>
      <c r="I387" s="10">
        <v>19.390043120344963</v>
      </c>
      <c r="J387" s="10">
        <v>6.99</v>
      </c>
      <c r="K387" s="10">
        <v>5.1409000000000002</v>
      </c>
      <c r="L387" s="10">
        <f t="shared" ref="L387:L450" si="12">((J387-K387)/J387)*100</f>
        <v>26.453505007153073</v>
      </c>
      <c r="M387" s="10">
        <f t="shared" ref="M387:M450" si="13">-LN((K387/J387)/G387)</f>
        <v>2.0990118640581743</v>
      </c>
      <c r="N387" s="10">
        <v>47.98</v>
      </c>
      <c r="O387" s="10">
        <v>1.304</v>
      </c>
      <c r="P387" s="10">
        <v>8.1530000000000005</v>
      </c>
    </row>
    <row r="388" spans="1:16" x14ac:dyDescent="0.3">
      <c r="A388" s="10">
        <v>286</v>
      </c>
      <c r="B388" s="10" t="s">
        <v>20</v>
      </c>
      <c r="C388" s="10" t="s">
        <v>18</v>
      </c>
      <c r="D388" s="10" t="s">
        <v>16</v>
      </c>
      <c r="E388" s="10">
        <v>2</v>
      </c>
      <c r="F388" s="10" t="s">
        <v>17</v>
      </c>
      <c r="G388" s="10">
        <v>6</v>
      </c>
      <c r="H388" s="10">
        <v>6.2054</v>
      </c>
      <c r="I388" s="10">
        <v>17.55245431398459</v>
      </c>
      <c r="J388" s="10">
        <v>7.0100000000000007</v>
      </c>
      <c r="K388" s="10">
        <v>5.1162000000000001</v>
      </c>
      <c r="L388" s="10">
        <f t="shared" si="12"/>
        <v>27.015691868758925</v>
      </c>
      <c r="M388" s="10">
        <f t="shared" si="13"/>
        <v>2.1066851942806317</v>
      </c>
      <c r="N388" s="10">
        <v>47.63</v>
      </c>
      <c r="O388" s="10">
        <v>1.3859999999999999</v>
      </c>
      <c r="P388" s="10">
        <v>8.6639999999999997</v>
      </c>
    </row>
    <row r="389" spans="1:16" x14ac:dyDescent="0.3">
      <c r="A389" s="10">
        <v>291</v>
      </c>
      <c r="B389" s="10" t="s">
        <v>20</v>
      </c>
      <c r="C389" s="10" t="s">
        <v>18</v>
      </c>
      <c r="D389" s="10" t="s">
        <v>16</v>
      </c>
      <c r="E389" s="10">
        <v>1</v>
      </c>
      <c r="F389" s="10" t="s">
        <v>17</v>
      </c>
      <c r="G389" s="10">
        <v>6</v>
      </c>
      <c r="H389" s="10">
        <v>8.3793000000000006</v>
      </c>
      <c r="I389" s="10">
        <v>48.794052009117713</v>
      </c>
      <c r="J389" s="10">
        <v>7.0200000000000005</v>
      </c>
      <c r="K389" s="10">
        <v>4.2907000000000002</v>
      </c>
      <c r="L389" s="10">
        <f t="shared" si="12"/>
        <v>38.878917378917386</v>
      </c>
      <c r="M389" s="10">
        <f t="shared" si="13"/>
        <v>2.284072797473482</v>
      </c>
      <c r="N389" s="10">
        <v>44.9</v>
      </c>
      <c r="O389" s="10">
        <v>1.621</v>
      </c>
      <c r="P389" s="10">
        <v>10.132999999999999</v>
      </c>
    </row>
    <row r="390" spans="1:16" x14ac:dyDescent="0.3">
      <c r="A390" s="10">
        <v>293</v>
      </c>
      <c r="B390" s="10" t="s">
        <v>20</v>
      </c>
      <c r="C390" s="10" t="s">
        <v>15</v>
      </c>
      <c r="D390" s="10" t="s">
        <v>16</v>
      </c>
      <c r="E390" s="10">
        <v>1</v>
      </c>
      <c r="F390" s="10" t="s">
        <v>17</v>
      </c>
      <c r="G390" s="10">
        <v>6</v>
      </c>
      <c r="H390" s="10">
        <v>8.8411000000000008</v>
      </c>
      <c r="I390" s="10">
        <v>41.329698793136608</v>
      </c>
      <c r="J390" s="10">
        <v>6.96</v>
      </c>
      <c r="K390" s="10">
        <v>5.1871</v>
      </c>
      <c r="L390" s="10">
        <f t="shared" si="12"/>
        <v>25.472701149425287</v>
      </c>
      <c r="M390" s="10">
        <f t="shared" si="13"/>
        <v>2.0857641694243094</v>
      </c>
      <c r="N390" s="10">
        <v>47.43</v>
      </c>
      <c r="O390" s="10">
        <v>1.4710000000000001</v>
      </c>
      <c r="P390" s="10">
        <v>9.1940000000000008</v>
      </c>
    </row>
    <row r="391" spans="1:16" x14ac:dyDescent="0.3">
      <c r="A391" s="10">
        <v>367</v>
      </c>
      <c r="B391" s="10" t="s">
        <v>20</v>
      </c>
      <c r="C391" s="10" t="s">
        <v>18</v>
      </c>
      <c r="D391" s="10" t="s">
        <v>19</v>
      </c>
      <c r="E391" s="10">
        <v>5</v>
      </c>
      <c r="F391" s="10" t="s">
        <v>17</v>
      </c>
      <c r="G391" s="10">
        <v>6</v>
      </c>
      <c r="H391" s="10">
        <v>6.5681000000000003</v>
      </c>
      <c r="I391" s="10">
        <v>20.622402216775029</v>
      </c>
      <c r="J391" s="10">
        <v>7</v>
      </c>
      <c r="K391" s="10">
        <v>5.2135999999999996</v>
      </c>
      <c r="L391" s="10">
        <f t="shared" si="12"/>
        <v>25.520000000000003</v>
      </c>
      <c r="M391" s="10">
        <f t="shared" si="13"/>
        <v>2.0863990222473348</v>
      </c>
      <c r="N391" s="10">
        <v>46.47</v>
      </c>
      <c r="O391" s="10">
        <v>1.236</v>
      </c>
      <c r="P391" s="10">
        <v>7.7240000000000002</v>
      </c>
    </row>
    <row r="392" spans="1:16" x14ac:dyDescent="0.3">
      <c r="A392" s="10">
        <v>379</v>
      </c>
      <c r="B392" s="10" t="s">
        <v>20</v>
      </c>
      <c r="C392" s="10" t="s">
        <v>15</v>
      </c>
      <c r="D392" s="10" t="s">
        <v>19</v>
      </c>
      <c r="E392" s="10">
        <v>2</v>
      </c>
      <c r="F392" s="10" t="s">
        <v>17</v>
      </c>
      <c r="G392" s="10">
        <v>6</v>
      </c>
      <c r="H392" s="10">
        <v>6.7603</v>
      </c>
      <c r="I392" s="10">
        <v>21.130719050929688</v>
      </c>
      <c r="J392" s="10">
        <v>7</v>
      </c>
      <c r="K392" s="10">
        <v>5.3318000000000003</v>
      </c>
      <c r="L392" s="10">
        <f t="shared" si="12"/>
        <v>23.831428571428567</v>
      </c>
      <c r="M392" s="10">
        <f t="shared" si="13"/>
        <v>2.0639807260477445</v>
      </c>
      <c r="N392" s="10">
        <v>47.26</v>
      </c>
      <c r="O392" s="10">
        <v>0.83399999999999996</v>
      </c>
      <c r="P392" s="10">
        <v>5.2119999999999997</v>
      </c>
    </row>
    <row r="393" spans="1:16" x14ac:dyDescent="0.3">
      <c r="A393" s="10">
        <v>382</v>
      </c>
      <c r="B393" s="10" t="s">
        <v>20</v>
      </c>
      <c r="C393" s="10" t="s">
        <v>15</v>
      </c>
      <c r="D393" s="10" t="s">
        <v>19</v>
      </c>
      <c r="E393" s="10">
        <v>4</v>
      </c>
      <c r="F393" s="10" t="s">
        <v>17</v>
      </c>
      <c r="G393" s="10">
        <v>6</v>
      </c>
      <c r="H393" s="10">
        <v>6.6277999999999997</v>
      </c>
      <c r="I393" s="10">
        <v>22.287938682519083</v>
      </c>
      <c r="J393" s="10">
        <v>6.93</v>
      </c>
      <c r="K393" s="10">
        <v>5.1505999999999998</v>
      </c>
      <c r="L393" s="10">
        <f t="shared" si="12"/>
        <v>25.676767676767675</v>
      </c>
      <c r="M393" s="10">
        <f t="shared" si="13"/>
        <v>2.0885060696860167</v>
      </c>
      <c r="N393" s="10">
        <v>47.49</v>
      </c>
      <c r="O393" s="10">
        <v>1.306</v>
      </c>
      <c r="P393" s="10">
        <v>8.1609999999999996</v>
      </c>
    </row>
    <row r="394" spans="1:16" x14ac:dyDescent="0.3">
      <c r="A394" s="10">
        <v>383</v>
      </c>
      <c r="B394" s="10" t="s">
        <v>20</v>
      </c>
      <c r="C394" s="10" t="s">
        <v>18</v>
      </c>
      <c r="D394" s="10" t="s">
        <v>19</v>
      </c>
      <c r="E394" s="10">
        <v>3</v>
      </c>
      <c r="F394" s="10" t="s">
        <v>17</v>
      </c>
      <c r="G394" s="10">
        <v>6</v>
      </c>
      <c r="H394" s="10">
        <v>7.0574000000000003</v>
      </c>
      <c r="I394" s="10">
        <v>23.297531668886563</v>
      </c>
      <c r="J394" s="10">
        <v>6.94</v>
      </c>
      <c r="K394" s="10">
        <v>5.4131999999999998</v>
      </c>
      <c r="L394" s="10">
        <f t="shared" si="12"/>
        <v>22.000000000000007</v>
      </c>
      <c r="M394" s="10">
        <f t="shared" si="13"/>
        <v>2.0402208285265546</v>
      </c>
      <c r="N394" s="10">
        <v>45.82</v>
      </c>
      <c r="O394" s="10">
        <v>1.0640000000000001</v>
      </c>
      <c r="P394" s="10">
        <v>6.6470000000000002</v>
      </c>
    </row>
    <row r="395" spans="1:16" x14ac:dyDescent="0.3">
      <c r="A395" s="10">
        <v>389</v>
      </c>
      <c r="B395" s="10" t="s">
        <v>20</v>
      </c>
      <c r="C395" s="10" t="s">
        <v>15</v>
      </c>
      <c r="D395" s="10" t="s">
        <v>19</v>
      </c>
      <c r="E395" s="10">
        <v>1</v>
      </c>
      <c r="F395" s="10" t="s">
        <v>17</v>
      </c>
      <c r="G395" s="10">
        <v>6</v>
      </c>
      <c r="H395" s="10">
        <v>6.8273999999999999</v>
      </c>
      <c r="I395" s="10">
        <v>20.466063215865475</v>
      </c>
      <c r="J395" s="10">
        <v>7</v>
      </c>
      <c r="K395" s="10">
        <v>5.4301000000000004</v>
      </c>
      <c r="L395" s="10">
        <f t="shared" si="12"/>
        <v>22.427142857142851</v>
      </c>
      <c r="M395" s="10">
        <f t="shared" si="13"/>
        <v>2.0457120683008392</v>
      </c>
      <c r="N395" s="10">
        <v>47.92</v>
      </c>
      <c r="O395" s="10">
        <v>0.93400000000000005</v>
      </c>
      <c r="P395" s="10">
        <v>5.8360000000000003</v>
      </c>
    </row>
    <row r="396" spans="1:16" x14ac:dyDescent="0.3">
      <c r="A396" s="10">
        <v>399</v>
      </c>
      <c r="B396" s="10" t="s">
        <v>20</v>
      </c>
      <c r="C396" s="10" t="s">
        <v>18</v>
      </c>
      <c r="D396" s="10" t="s">
        <v>19</v>
      </c>
      <c r="E396" s="10">
        <v>2</v>
      </c>
      <c r="F396" s="10" t="s">
        <v>17</v>
      </c>
      <c r="G396" s="10">
        <v>6</v>
      </c>
      <c r="H396" s="10">
        <v>6.5617000000000001</v>
      </c>
      <c r="I396" s="10">
        <v>17.664629592940862</v>
      </c>
      <c r="J396" s="10">
        <v>7.05</v>
      </c>
      <c r="K396" s="10">
        <v>5.4025999999999996</v>
      </c>
      <c r="L396" s="10">
        <f t="shared" si="12"/>
        <v>23.367375886524826</v>
      </c>
      <c r="M396" s="10">
        <f t="shared" si="13"/>
        <v>2.0579067668755378</v>
      </c>
      <c r="N396" s="10">
        <v>47.3</v>
      </c>
      <c r="O396" s="10">
        <v>1.0149999999999999</v>
      </c>
      <c r="P396" s="10">
        <v>6.3419999999999996</v>
      </c>
    </row>
    <row r="397" spans="1:16" x14ac:dyDescent="0.3">
      <c r="A397" s="10">
        <v>401</v>
      </c>
      <c r="B397" s="10" t="s">
        <v>20</v>
      </c>
      <c r="C397" s="10" t="s">
        <v>18</v>
      </c>
      <c r="D397" s="10" t="s">
        <v>19</v>
      </c>
      <c r="E397" s="10">
        <v>4</v>
      </c>
      <c r="F397" s="10" t="s">
        <v>17</v>
      </c>
      <c r="G397" s="10">
        <v>6</v>
      </c>
      <c r="H397" s="10">
        <v>7.242</v>
      </c>
      <c r="I397" s="10">
        <v>25.258215962441316</v>
      </c>
      <c r="J397" s="10">
        <v>6.99</v>
      </c>
      <c r="K397" s="10">
        <v>5.4127999999999998</v>
      </c>
      <c r="L397" s="10">
        <f t="shared" si="12"/>
        <v>22.563662374821178</v>
      </c>
      <c r="M397" s="10">
        <f t="shared" si="13"/>
        <v>2.0474735064294669</v>
      </c>
      <c r="N397" s="10">
        <v>48.38</v>
      </c>
      <c r="O397" s="10">
        <v>1.1120000000000001</v>
      </c>
      <c r="P397" s="10">
        <v>6.9480000000000004</v>
      </c>
    </row>
    <row r="398" spans="1:16" x14ac:dyDescent="0.3">
      <c r="A398" s="10">
        <v>402</v>
      </c>
      <c r="B398" s="10" t="s">
        <v>20</v>
      </c>
      <c r="C398" s="10" t="s">
        <v>15</v>
      </c>
      <c r="D398" s="10" t="s">
        <v>19</v>
      </c>
      <c r="E398" s="10">
        <v>5</v>
      </c>
      <c r="F398" s="10" t="s">
        <v>17</v>
      </c>
      <c r="G398" s="10">
        <v>6</v>
      </c>
      <c r="H398" s="10">
        <v>6.5936000000000003</v>
      </c>
      <c r="I398" s="10">
        <v>18.056903664159197</v>
      </c>
      <c r="J398" s="10">
        <v>6.99</v>
      </c>
      <c r="K398" s="10">
        <v>5.4029999999999996</v>
      </c>
      <c r="L398" s="10">
        <f t="shared" si="12"/>
        <v>22.703862660944214</v>
      </c>
      <c r="M398" s="10">
        <f t="shared" si="13"/>
        <v>2.0492856706118454</v>
      </c>
      <c r="N398" s="10">
        <v>45.71</v>
      </c>
      <c r="O398" s="10">
        <v>0.89700000000000002</v>
      </c>
      <c r="P398" s="10">
        <v>5.6070000000000002</v>
      </c>
    </row>
    <row r="399" spans="1:16" x14ac:dyDescent="0.3">
      <c r="A399" s="10">
        <v>407</v>
      </c>
      <c r="B399" s="10" t="s">
        <v>20</v>
      </c>
      <c r="C399" s="10" t="s">
        <v>15</v>
      </c>
      <c r="D399" s="10" t="s">
        <v>19</v>
      </c>
      <c r="E399" s="10">
        <v>3</v>
      </c>
      <c r="F399" s="10" t="s">
        <v>17</v>
      </c>
      <c r="G399" s="10">
        <v>6</v>
      </c>
      <c r="H399" s="10">
        <v>6.8452999999999999</v>
      </c>
      <c r="I399" s="10">
        <v>27.046294537858088</v>
      </c>
      <c r="J399" s="10">
        <v>6.99</v>
      </c>
      <c r="K399" s="10">
        <v>4.9939</v>
      </c>
      <c r="L399" s="10">
        <f t="shared" si="12"/>
        <v>28.556509298998574</v>
      </c>
      <c r="M399" s="10">
        <f t="shared" si="13"/>
        <v>2.1280228578455103</v>
      </c>
      <c r="N399" s="10">
        <v>47.48</v>
      </c>
      <c r="O399" s="10">
        <v>1.04</v>
      </c>
      <c r="P399" s="10">
        <v>6.5</v>
      </c>
    </row>
    <row r="400" spans="1:16" x14ac:dyDescent="0.3">
      <c r="A400" s="10">
        <v>416</v>
      </c>
      <c r="B400" s="10" t="s">
        <v>20</v>
      </c>
      <c r="C400" s="10" t="s">
        <v>18</v>
      </c>
      <c r="D400" s="10" t="s">
        <v>19</v>
      </c>
      <c r="E400" s="10">
        <v>1</v>
      </c>
      <c r="F400" s="10" t="s">
        <v>17</v>
      </c>
      <c r="G400" s="10">
        <v>6</v>
      </c>
      <c r="H400" s="10">
        <v>8.6503999999999994</v>
      </c>
      <c r="I400" s="10">
        <v>40.839729954684167</v>
      </c>
      <c r="J400" s="10">
        <v>6.94</v>
      </c>
      <c r="K400" s="10">
        <v>5.1176000000000004</v>
      </c>
      <c r="L400" s="10">
        <f t="shared" si="12"/>
        <v>26.259365994236312</v>
      </c>
      <c r="M400" s="10">
        <f t="shared" si="13"/>
        <v>2.0963756645929772</v>
      </c>
      <c r="N400" s="10">
        <v>37.229999999999997</v>
      </c>
      <c r="O400" s="10">
        <v>1.123</v>
      </c>
      <c r="P400" s="10">
        <v>7.0190000000000001</v>
      </c>
    </row>
    <row r="401" spans="1:16" x14ac:dyDescent="0.3">
      <c r="A401" s="10">
        <v>481</v>
      </c>
      <c r="B401" s="10" t="s">
        <v>21</v>
      </c>
      <c r="C401" s="10" t="s">
        <v>15</v>
      </c>
      <c r="D401" s="10" t="s">
        <v>16</v>
      </c>
      <c r="E401" s="10">
        <v>4</v>
      </c>
      <c r="F401" s="10" t="s">
        <v>17</v>
      </c>
      <c r="G401" s="10">
        <v>6</v>
      </c>
      <c r="H401" s="10">
        <v>6.5849000000000002</v>
      </c>
      <c r="I401" s="10">
        <v>79.020182538838853</v>
      </c>
      <c r="J401" s="10">
        <v>7.08</v>
      </c>
      <c r="K401" s="10">
        <v>5.2034000000000002</v>
      </c>
      <c r="L401" s="10">
        <f t="shared" si="12"/>
        <v>26.505649717514125</v>
      </c>
      <c r="M401" s="10">
        <f t="shared" si="13"/>
        <v>2.0997211188567215</v>
      </c>
      <c r="N401" s="10">
        <v>47.87</v>
      </c>
      <c r="O401" s="10">
        <v>1.1870000000000001</v>
      </c>
      <c r="P401" s="10">
        <v>7.4219999999999997</v>
      </c>
    </row>
    <row r="402" spans="1:16" x14ac:dyDescent="0.3">
      <c r="A402" s="10">
        <v>486</v>
      </c>
      <c r="B402" s="10" t="s">
        <v>21</v>
      </c>
      <c r="C402" s="10" t="s">
        <v>15</v>
      </c>
      <c r="D402" s="10" t="s">
        <v>16</v>
      </c>
      <c r="E402" s="10">
        <v>2</v>
      </c>
      <c r="F402" s="10" t="s">
        <v>17</v>
      </c>
      <c r="G402" s="10">
        <v>6</v>
      </c>
      <c r="H402" s="10">
        <v>6.7054999999999998</v>
      </c>
      <c r="I402" s="10">
        <v>78.616061442099777</v>
      </c>
      <c r="J402" s="10">
        <v>6.93</v>
      </c>
      <c r="K402" s="10">
        <v>5.2716000000000003</v>
      </c>
      <c r="L402" s="10">
        <f t="shared" si="12"/>
        <v>23.930735930735924</v>
      </c>
      <c r="M402" s="10">
        <f t="shared" si="13"/>
        <v>2.0652853606422696</v>
      </c>
      <c r="N402" s="10">
        <v>47.76</v>
      </c>
      <c r="O402" s="10">
        <v>1.0269999999999999</v>
      </c>
      <c r="P402" s="10">
        <v>6.42</v>
      </c>
    </row>
    <row r="403" spans="1:16" x14ac:dyDescent="0.3">
      <c r="A403" s="10">
        <v>499</v>
      </c>
      <c r="B403" s="10" t="s">
        <v>21</v>
      </c>
      <c r="C403" s="10" t="s">
        <v>18</v>
      </c>
      <c r="D403" s="10" t="s">
        <v>16</v>
      </c>
      <c r="E403" s="10">
        <v>2</v>
      </c>
      <c r="F403" s="10" t="s">
        <v>17</v>
      </c>
      <c r="G403" s="10">
        <v>6</v>
      </c>
      <c r="H403" s="10">
        <v>7.0556000000000001</v>
      </c>
      <c r="I403" s="10">
        <v>73.808039004478715</v>
      </c>
      <c r="J403" s="10">
        <v>7.03</v>
      </c>
      <c r="K403" s="10">
        <v>5.2076000000000002</v>
      </c>
      <c r="L403" s="10">
        <f t="shared" si="12"/>
        <v>25.923186344238974</v>
      </c>
      <c r="M403" s="10">
        <f t="shared" si="13"/>
        <v>2.0918270780095236</v>
      </c>
      <c r="N403" s="10">
        <v>46.83</v>
      </c>
      <c r="O403" s="10">
        <v>1.218</v>
      </c>
      <c r="P403" s="10">
        <v>7.6120000000000001</v>
      </c>
    </row>
    <row r="404" spans="1:16" x14ac:dyDescent="0.3">
      <c r="A404" s="10">
        <v>505</v>
      </c>
      <c r="B404" s="10" t="s">
        <v>21</v>
      </c>
      <c r="C404" s="10" t="s">
        <v>15</v>
      </c>
      <c r="D404" s="10" t="s">
        <v>16</v>
      </c>
      <c r="E404" s="10">
        <v>1</v>
      </c>
      <c r="F404" s="10" t="s">
        <v>17</v>
      </c>
      <c r="G404" s="10">
        <v>6</v>
      </c>
      <c r="H404" s="10">
        <v>6.3943000000000003</v>
      </c>
      <c r="I404" s="10">
        <v>79.245578092989049</v>
      </c>
      <c r="J404" s="10">
        <v>6.94</v>
      </c>
      <c r="K404" s="10">
        <v>5.0671999999999997</v>
      </c>
      <c r="L404" s="10">
        <f t="shared" si="12"/>
        <v>26.98559077809799</v>
      </c>
      <c r="M404" s="10">
        <f t="shared" si="13"/>
        <v>2.1062728469445298</v>
      </c>
      <c r="N404" s="10">
        <v>48.29</v>
      </c>
      <c r="O404" s="10">
        <v>1.012</v>
      </c>
      <c r="P404" s="10">
        <v>6.3250000000000002</v>
      </c>
    </row>
    <row r="405" spans="1:16" x14ac:dyDescent="0.3">
      <c r="A405" s="10">
        <v>515</v>
      </c>
      <c r="B405" s="10" t="s">
        <v>21</v>
      </c>
      <c r="C405" s="10" t="s">
        <v>15</v>
      </c>
      <c r="D405" s="10" t="s">
        <v>16</v>
      </c>
      <c r="E405" s="10">
        <v>4</v>
      </c>
      <c r="F405" s="10" t="s">
        <v>17</v>
      </c>
      <c r="G405" s="10">
        <v>6</v>
      </c>
      <c r="H405" s="10">
        <v>6.8550000000000004</v>
      </c>
      <c r="I405" s="10">
        <v>76.920495988329691</v>
      </c>
      <c r="J405" s="10">
        <v>7.06</v>
      </c>
      <c r="K405" s="10">
        <v>5.2728999999999999</v>
      </c>
      <c r="L405" s="10">
        <f t="shared" si="12"/>
        <v>25.313031161473088</v>
      </c>
      <c r="M405" s="10">
        <f t="shared" si="13"/>
        <v>2.0836240249010189</v>
      </c>
      <c r="N405" s="10">
        <v>48.62</v>
      </c>
      <c r="O405" s="10">
        <v>0.89700000000000002</v>
      </c>
      <c r="P405" s="10">
        <v>5.6079999999999997</v>
      </c>
    </row>
    <row r="406" spans="1:16" x14ac:dyDescent="0.3">
      <c r="A406" s="10">
        <v>525</v>
      </c>
      <c r="B406" s="10" t="s">
        <v>21</v>
      </c>
      <c r="C406" s="10" t="s">
        <v>18</v>
      </c>
      <c r="D406" s="10" t="s">
        <v>16</v>
      </c>
      <c r="E406" s="10">
        <v>3</v>
      </c>
      <c r="F406" s="10" t="s">
        <v>17</v>
      </c>
      <c r="G406" s="10">
        <v>6</v>
      </c>
      <c r="H406" s="10">
        <v>6.7930000000000001</v>
      </c>
      <c r="I406" s="10">
        <v>78.499926394818189</v>
      </c>
      <c r="J406" s="10">
        <v>6.99</v>
      </c>
      <c r="K406" s="10">
        <v>5.3324999999999996</v>
      </c>
      <c r="L406" s="10">
        <f t="shared" si="12"/>
        <v>23.712446351931337</v>
      </c>
      <c r="M406" s="10">
        <f t="shared" si="13"/>
        <v>2.0624198541104053</v>
      </c>
      <c r="N406" s="10">
        <v>47.33</v>
      </c>
      <c r="O406" s="10">
        <v>0.93899999999999995</v>
      </c>
      <c r="P406" s="10">
        <v>5.8710000000000004</v>
      </c>
    </row>
    <row r="407" spans="1:16" x14ac:dyDescent="0.3">
      <c r="A407" s="10">
        <v>527</v>
      </c>
      <c r="B407" s="10" t="s">
        <v>21</v>
      </c>
      <c r="C407" s="10" t="s">
        <v>15</v>
      </c>
      <c r="D407" s="10" t="s">
        <v>16</v>
      </c>
      <c r="E407" s="10">
        <v>3</v>
      </c>
      <c r="F407" s="10" t="s">
        <v>17</v>
      </c>
      <c r="G407" s="10">
        <v>6</v>
      </c>
      <c r="H407" s="10">
        <v>6.6094999999999997</v>
      </c>
      <c r="I407" s="10">
        <v>81.863983659883516</v>
      </c>
      <c r="J407" s="10">
        <v>7.03</v>
      </c>
      <c r="K407" s="10">
        <v>5.4108000000000001</v>
      </c>
      <c r="L407" s="10">
        <f t="shared" si="12"/>
        <v>23.032716927453773</v>
      </c>
      <c r="M407" s="10">
        <f t="shared" si="13"/>
        <v>2.0535492188177269</v>
      </c>
      <c r="N407" s="10">
        <v>48.28</v>
      </c>
      <c r="O407" s="10">
        <v>1.044</v>
      </c>
      <c r="P407" s="10">
        <v>6.5250000000000004</v>
      </c>
    </row>
    <row r="408" spans="1:16" x14ac:dyDescent="0.3">
      <c r="A408" s="10">
        <v>537</v>
      </c>
      <c r="B408" s="10" t="s">
        <v>21</v>
      </c>
      <c r="C408" s="10" t="s">
        <v>18</v>
      </c>
      <c r="D408" s="10" t="s">
        <v>16</v>
      </c>
      <c r="E408" s="10">
        <v>5</v>
      </c>
      <c r="F408" s="10" t="s">
        <v>17</v>
      </c>
      <c r="G408" s="10">
        <v>6</v>
      </c>
      <c r="H408" s="10">
        <v>7.1326999999999998</v>
      </c>
      <c r="I408" s="10">
        <v>76.639982054481465</v>
      </c>
      <c r="J408" s="10">
        <v>6.98</v>
      </c>
      <c r="K408" s="10">
        <v>5.4664999999999999</v>
      </c>
      <c r="L408" s="10">
        <f t="shared" si="12"/>
        <v>21.683381088825222</v>
      </c>
      <c r="M408" s="10">
        <f t="shared" si="13"/>
        <v>2.0361698281099336</v>
      </c>
      <c r="N408" s="10">
        <v>48.69</v>
      </c>
      <c r="O408" s="10">
        <v>1.0189999999999999</v>
      </c>
      <c r="P408" s="10">
        <v>6.3710000000000004</v>
      </c>
    </row>
    <row r="409" spans="1:16" x14ac:dyDescent="0.3">
      <c r="A409" s="10">
        <v>540</v>
      </c>
      <c r="B409" s="10" t="s">
        <v>21</v>
      </c>
      <c r="C409" s="10" t="s">
        <v>15</v>
      </c>
      <c r="D409" s="10" t="s">
        <v>16</v>
      </c>
      <c r="E409" s="10">
        <v>5</v>
      </c>
      <c r="F409" s="10" t="s">
        <v>17</v>
      </c>
      <c r="G409" s="10">
        <v>6</v>
      </c>
      <c r="H409" s="10">
        <v>6.5110000000000001</v>
      </c>
      <c r="I409" s="10">
        <v>82.689295039164492</v>
      </c>
      <c r="J409" s="10">
        <v>6.96</v>
      </c>
      <c r="K409" s="10">
        <v>5.3838999999999997</v>
      </c>
      <c r="L409" s="10">
        <f t="shared" si="12"/>
        <v>22.645114942528739</v>
      </c>
      <c r="M409" s="10">
        <f t="shared" si="13"/>
        <v>2.04852592495571</v>
      </c>
      <c r="N409" s="10">
        <v>47.5</v>
      </c>
      <c r="O409" s="10">
        <v>1.216</v>
      </c>
      <c r="P409" s="10">
        <v>7.601</v>
      </c>
    </row>
    <row r="410" spans="1:16" x14ac:dyDescent="0.3">
      <c r="A410" s="10">
        <v>610</v>
      </c>
      <c r="B410" s="10" t="s">
        <v>21</v>
      </c>
      <c r="C410" s="10" t="s">
        <v>18</v>
      </c>
      <c r="D410" s="10" t="s">
        <v>19</v>
      </c>
      <c r="E410" s="10">
        <v>1</v>
      </c>
      <c r="F410" s="10" t="s">
        <v>17</v>
      </c>
      <c r="G410" s="10">
        <v>6</v>
      </c>
      <c r="H410" s="10">
        <v>5.9260000000000002</v>
      </c>
      <c r="I410" s="10">
        <v>66.753290583867695</v>
      </c>
      <c r="J410" s="10">
        <v>7.06</v>
      </c>
      <c r="K410" s="10">
        <v>3.9558</v>
      </c>
      <c r="L410" s="10">
        <f t="shared" si="12"/>
        <v>43.96883852691218</v>
      </c>
      <c r="M410" s="10">
        <f t="shared" si="13"/>
        <v>2.3710216643680337</v>
      </c>
      <c r="N410" s="10">
        <v>49.47</v>
      </c>
      <c r="O410" s="10">
        <v>2.6160000000000001</v>
      </c>
      <c r="P410" s="10">
        <v>16.352</v>
      </c>
    </row>
    <row r="411" spans="1:16" x14ac:dyDescent="0.3">
      <c r="A411" s="10">
        <v>612</v>
      </c>
      <c r="B411" s="10" t="s">
        <v>21</v>
      </c>
      <c r="C411" s="10" t="s">
        <v>18</v>
      </c>
      <c r="D411" s="10" t="s">
        <v>19</v>
      </c>
      <c r="E411" s="10">
        <v>1</v>
      </c>
      <c r="F411" s="10" t="s">
        <v>17</v>
      </c>
      <c r="G411" s="10">
        <v>6</v>
      </c>
      <c r="H411" s="10">
        <v>6.8170999999999999</v>
      </c>
      <c r="I411" s="10">
        <v>75.094981737102287</v>
      </c>
      <c r="J411" s="10">
        <v>7.04</v>
      </c>
      <c r="K411" s="10">
        <v>5.1193</v>
      </c>
      <c r="L411" s="10">
        <f t="shared" si="12"/>
        <v>27.282670454545453</v>
      </c>
      <c r="M411" s="10">
        <f t="shared" si="13"/>
        <v>2.1103499284434499</v>
      </c>
      <c r="N411" s="10">
        <v>48.18</v>
      </c>
      <c r="O411" s="10">
        <v>1.2370000000000001</v>
      </c>
      <c r="P411" s="10">
        <v>7.7329999999999997</v>
      </c>
    </row>
    <row r="412" spans="1:16" x14ac:dyDescent="0.3">
      <c r="A412" s="10">
        <v>617</v>
      </c>
      <c r="B412" s="10" t="s">
        <v>21</v>
      </c>
      <c r="C412" s="10" t="s">
        <v>15</v>
      </c>
      <c r="D412" s="10" t="s">
        <v>19</v>
      </c>
      <c r="E412" s="10">
        <v>1</v>
      </c>
      <c r="F412" s="10" t="s">
        <v>17</v>
      </c>
      <c r="G412" s="10">
        <v>6</v>
      </c>
      <c r="H412" s="10">
        <v>6.1618000000000004</v>
      </c>
      <c r="I412" s="10">
        <v>81.008796131000679</v>
      </c>
      <c r="J412" s="10">
        <v>7.08</v>
      </c>
      <c r="K412" s="10">
        <v>4.9916</v>
      </c>
      <c r="L412" s="10">
        <f t="shared" si="12"/>
        <v>29.497175141242938</v>
      </c>
      <c r="M412" s="10">
        <f t="shared" si="13"/>
        <v>2.1412768772821211</v>
      </c>
      <c r="N412" s="10">
        <v>47.14</v>
      </c>
      <c r="O412" s="10">
        <v>1.0960000000000001</v>
      </c>
      <c r="P412" s="10">
        <v>6.8529999999999998</v>
      </c>
    </row>
    <row r="413" spans="1:16" x14ac:dyDescent="0.3">
      <c r="A413" s="10">
        <v>632</v>
      </c>
      <c r="B413" s="10" t="s">
        <v>21</v>
      </c>
      <c r="C413" s="10" t="s">
        <v>18</v>
      </c>
      <c r="D413" s="10" t="s">
        <v>19</v>
      </c>
      <c r="E413" s="10">
        <v>5</v>
      </c>
      <c r="F413" s="10" t="s">
        <v>17</v>
      </c>
      <c r="G413" s="10">
        <v>6</v>
      </c>
      <c r="H413" s="10">
        <v>5.9766000000000004</v>
      </c>
      <c r="I413" s="10">
        <v>80.982498410467485</v>
      </c>
      <c r="J413" s="10">
        <v>6.94</v>
      </c>
      <c r="K413" s="10">
        <v>4.84</v>
      </c>
      <c r="L413" s="10">
        <f t="shared" si="12"/>
        <v>30.259365994236315</v>
      </c>
      <c r="M413" s="10">
        <f t="shared" si="13"/>
        <v>2.152146523018228</v>
      </c>
      <c r="N413" s="10">
        <v>47.8</v>
      </c>
      <c r="O413" s="10">
        <v>1.3149999999999999</v>
      </c>
      <c r="P413" s="10">
        <v>8.2159999999999993</v>
      </c>
    </row>
    <row r="414" spans="1:16" x14ac:dyDescent="0.3">
      <c r="A414" s="10">
        <v>636</v>
      </c>
      <c r="B414" s="10" t="s">
        <v>21</v>
      </c>
      <c r="C414" s="10" t="s">
        <v>15</v>
      </c>
      <c r="D414" s="10" t="s">
        <v>19</v>
      </c>
      <c r="E414" s="10">
        <v>5</v>
      </c>
      <c r="F414" s="10" t="s">
        <v>17</v>
      </c>
      <c r="G414" s="10">
        <v>6</v>
      </c>
      <c r="H414" s="10">
        <v>6.1247999999999996</v>
      </c>
      <c r="I414" s="10">
        <v>80.832027168234063</v>
      </c>
      <c r="J414" s="10">
        <v>6.94</v>
      </c>
      <c r="K414" s="10">
        <v>4.9508000000000001</v>
      </c>
      <c r="L414" s="10">
        <f t="shared" si="12"/>
        <v>28.662824207492797</v>
      </c>
      <c r="M414" s="10">
        <f t="shared" si="13"/>
        <v>2.1295120640630381</v>
      </c>
      <c r="N414" s="10">
        <v>47.51</v>
      </c>
      <c r="O414" s="10">
        <v>1.498</v>
      </c>
      <c r="P414" s="10">
        <v>9.3640000000000008</v>
      </c>
    </row>
    <row r="415" spans="1:16" x14ac:dyDescent="0.3">
      <c r="A415" s="10">
        <v>638</v>
      </c>
      <c r="B415" s="10" t="s">
        <v>21</v>
      </c>
      <c r="C415" s="10" t="s">
        <v>15</v>
      </c>
      <c r="D415" s="10" t="s">
        <v>19</v>
      </c>
      <c r="E415" s="10">
        <v>3</v>
      </c>
      <c r="F415" s="10" t="s">
        <v>17</v>
      </c>
      <c r="G415" s="10">
        <v>6</v>
      </c>
      <c r="H415" s="10">
        <v>6.2432999999999996</v>
      </c>
      <c r="I415" s="10">
        <v>76.650168981147786</v>
      </c>
      <c r="J415" s="10">
        <v>6.99</v>
      </c>
      <c r="K415" s="10">
        <v>4.7854999999999999</v>
      </c>
      <c r="L415" s="10">
        <f t="shared" si="12"/>
        <v>31.537911301859804</v>
      </c>
      <c r="M415" s="10">
        <f t="shared" si="13"/>
        <v>2.1706495128199497</v>
      </c>
      <c r="N415" s="10">
        <v>46.95</v>
      </c>
      <c r="O415" s="10">
        <v>1.764</v>
      </c>
      <c r="P415" s="10">
        <v>11.026</v>
      </c>
    </row>
    <row r="416" spans="1:16" x14ac:dyDescent="0.3">
      <c r="A416" s="10">
        <v>640</v>
      </c>
      <c r="B416" s="10" t="s">
        <v>21</v>
      </c>
      <c r="C416" s="10" t="s">
        <v>18</v>
      </c>
      <c r="D416" s="10" t="s">
        <v>19</v>
      </c>
      <c r="E416" s="10">
        <v>3</v>
      </c>
      <c r="F416" s="10" t="s">
        <v>17</v>
      </c>
      <c r="G416" s="10">
        <v>6</v>
      </c>
      <c r="H416" s="10">
        <v>6.6172000000000004</v>
      </c>
      <c r="I416" s="10">
        <v>68.575832678474271</v>
      </c>
      <c r="J416" s="10">
        <v>6.92</v>
      </c>
      <c r="K416" s="10">
        <v>4.5377999999999998</v>
      </c>
      <c r="L416" s="10">
        <f t="shared" si="12"/>
        <v>34.424855491329481</v>
      </c>
      <c r="M416" s="10">
        <f t="shared" si="13"/>
        <v>2.2137329257497314</v>
      </c>
      <c r="N416" s="10">
        <v>46.9</v>
      </c>
      <c r="O416" s="10">
        <v>1.9910000000000001</v>
      </c>
      <c r="P416" s="10">
        <v>12.444000000000001</v>
      </c>
    </row>
    <row r="417" spans="1:16" x14ac:dyDescent="0.3">
      <c r="A417" s="10">
        <v>653</v>
      </c>
      <c r="B417" s="10" t="s">
        <v>21</v>
      </c>
      <c r="C417" s="10" t="s">
        <v>15</v>
      </c>
      <c r="D417" s="10" t="s">
        <v>19</v>
      </c>
      <c r="E417" s="10">
        <v>2</v>
      </c>
      <c r="F417" s="10" t="s">
        <v>17</v>
      </c>
      <c r="G417" s="10">
        <v>6</v>
      </c>
      <c r="H417" s="10">
        <v>6.3874000000000004</v>
      </c>
      <c r="I417" s="10">
        <v>80.3707298744403</v>
      </c>
      <c r="J417" s="10">
        <v>6.96</v>
      </c>
      <c r="K417" s="10">
        <v>5.1336000000000004</v>
      </c>
      <c r="L417" s="10">
        <f t="shared" si="12"/>
        <v>26.241379310344819</v>
      </c>
      <c r="M417" s="10">
        <f t="shared" si="13"/>
        <v>2.096131776120215</v>
      </c>
      <c r="N417" s="10">
        <v>47.73</v>
      </c>
      <c r="O417" s="10">
        <v>0.96799999999999997</v>
      </c>
      <c r="P417" s="10">
        <v>6.0529999999999999</v>
      </c>
    </row>
    <row r="418" spans="1:16" x14ac:dyDescent="0.3">
      <c r="A418" s="10">
        <v>656</v>
      </c>
      <c r="B418" s="10" t="s">
        <v>21</v>
      </c>
      <c r="C418" s="10" t="s">
        <v>18</v>
      </c>
      <c r="D418" s="10" t="s">
        <v>19</v>
      </c>
      <c r="E418" s="10">
        <v>2</v>
      </c>
      <c r="F418" s="10" t="s">
        <v>17</v>
      </c>
      <c r="G418" s="10">
        <v>6</v>
      </c>
      <c r="H418" s="10">
        <v>6.9672000000000001</v>
      </c>
      <c r="I418" s="10">
        <v>80.524457457802271</v>
      </c>
      <c r="J418" s="10">
        <v>7.09</v>
      </c>
      <c r="K418" s="10">
        <v>5.6102999999999996</v>
      </c>
      <c r="L418" s="10">
        <f t="shared" si="12"/>
        <v>20.870239774330045</v>
      </c>
      <c r="M418" s="10">
        <f t="shared" si="13"/>
        <v>2.0258406157314441</v>
      </c>
      <c r="N418" s="10">
        <v>43.66</v>
      </c>
      <c r="O418" s="10">
        <v>0.83899999999999997</v>
      </c>
      <c r="P418" s="10">
        <v>5.242</v>
      </c>
    </row>
    <row r="419" spans="1:16" x14ac:dyDescent="0.3">
      <c r="A419" s="10">
        <v>658</v>
      </c>
      <c r="B419" s="10" t="s">
        <v>21</v>
      </c>
      <c r="C419" s="10" t="s">
        <v>18</v>
      </c>
      <c r="D419" s="10" t="s">
        <v>19</v>
      </c>
      <c r="E419" s="10">
        <v>4</v>
      </c>
      <c r="F419" s="10" t="s">
        <v>17</v>
      </c>
      <c r="G419" s="10">
        <v>6</v>
      </c>
      <c r="H419" s="10">
        <v>6.2596999999999996</v>
      </c>
      <c r="I419" s="10">
        <v>79.816924133744422</v>
      </c>
      <c r="J419" s="10">
        <v>6.94</v>
      </c>
      <c r="K419" s="10">
        <v>4.9962999999999997</v>
      </c>
      <c r="L419" s="10">
        <f t="shared" si="12"/>
        <v>28.007204610951014</v>
      </c>
      <c r="M419" s="10">
        <f t="shared" si="13"/>
        <v>2.1203636052478174</v>
      </c>
      <c r="N419" s="10">
        <v>47.63</v>
      </c>
      <c r="O419" s="10">
        <v>1.0369999999999999</v>
      </c>
      <c r="P419" s="10">
        <v>6.4779999999999998</v>
      </c>
    </row>
    <row r="420" spans="1:16" x14ac:dyDescent="0.3">
      <c r="A420" s="10" t="s">
        <v>23</v>
      </c>
      <c r="B420" s="10" t="s">
        <v>14</v>
      </c>
      <c r="C420" s="10" t="s">
        <v>18</v>
      </c>
      <c r="D420" s="10" t="s">
        <v>16</v>
      </c>
      <c r="E420" s="10">
        <v>3</v>
      </c>
      <c r="F420" s="10" t="s">
        <v>17</v>
      </c>
      <c r="G420" s="10">
        <v>6</v>
      </c>
      <c r="H420" s="10">
        <v>6.7169999999999996</v>
      </c>
      <c r="I420" s="10">
        <v>19.977668602054489</v>
      </c>
      <c r="J420" s="10">
        <v>7</v>
      </c>
      <c r="K420" s="10">
        <v>5.3750999999999998</v>
      </c>
      <c r="L420" s="10">
        <f t="shared" si="12"/>
        <v>23.212857142857146</v>
      </c>
      <c r="M420" s="10">
        <f t="shared" si="13"/>
        <v>2.0558924397915437</v>
      </c>
      <c r="N420" s="10">
        <v>46.37</v>
      </c>
      <c r="O420" s="10">
        <v>1.169</v>
      </c>
      <c r="P420" s="10">
        <v>7.3040000000000003</v>
      </c>
    </row>
    <row r="421" spans="1:16" x14ac:dyDescent="0.3">
      <c r="A421" s="3">
        <v>67</v>
      </c>
      <c r="B421" s="3" t="s">
        <v>14</v>
      </c>
      <c r="C421" s="3" t="s">
        <v>15</v>
      </c>
      <c r="D421" s="3" t="s">
        <v>16</v>
      </c>
      <c r="E421" s="3">
        <v>3</v>
      </c>
      <c r="F421" s="3" t="s">
        <v>22</v>
      </c>
      <c r="G421" s="3">
        <v>6</v>
      </c>
      <c r="H421" s="3">
        <v>6.0289999999999999</v>
      </c>
      <c r="I421" s="3">
        <v>10.150937137170345</v>
      </c>
      <c r="J421" s="3">
        <v>6.96</v>
      </c>
      <c r="K421" s="3">
        <v>5.4169999999999998</v>
      </c>
      <c r="L421" s="3">
        <f t="shared" si="12"/>
        <v>22.169540229885058</v>
      </c>
      <c r="M421" s="3">
        <f t="shared" si="13"/>
        <v>2.0423967868986215</v>
      </c>
      <c r="N421" s="3">
        <v>47.86</v>
      </c>
      <c r="O421" s="3">
        <v>1.17</v>
      </c>
      <c r="P421" s="3">
        <v>6.6360000000000001</v>
      </c>
    </row>
    <row r="422" spans="1:16" x14ac:dyDescent="0.3">
      <c r="A422" s="3">
        <v>71</v>
      </c>
      <c r="B422" s="3" t="s">
        <v>14</v>
      </c>
      <c r="C422" s="3" t="s">
        <v>15</v>
      </c>
      <c r="D422" s="3" t="s">
        <v>16</v>
      </c>
      <c r="E422" s="3">
        <v>5</v>
      </c>
      <c r="F422" s="3" t="s">
        <v>22</v>
      </c>
      <c r="G422" s="3">
        <v>6</v>
      </c>
      <c r="H422" s="3">
        <v>6.1760000000000002</v>
      </c>
      <c r="I422" s="3">
        <v>11.884715025906734</v>
      </c>
      <c r="J422" s="3">
        <v>7.03</v>
      </c>
      <c r="K422" s="3">
        <v>5.4420000000000002</v>
      </c>
      <c r="L422" s="3">
        <f t="shared" si="12"/>
        <v>22.588904694167852</v>
      </c>
      <c r="M422" s="3">
        <f t="shared" si="13"/>
        <v>2.0477995346895739</v>
      </c>
      <c r="N422" s="3">
        <v>47.42</v>
      </c>
      <c r="O422" s="3">
        <v>1.1100000000000001</v>
      </c>
      <c r="P422" s="3">
        <v>6.9359999999999999</v>
      </c>
    </row>
    <row r="423" spans="1:16" x14ac:dyDescent="0.3">
      <c r="A423" s="3">
        <v>72</v>
      </c>
      <c r="B423" s="3" t="s">
        <v>14</v>
      </c>
      <c r="C423" s="3" t="s">
        <v>18</v>
      </c>
      <c r="D423" s="3" t="s">
        <v>16</v>
      </c>
      <c r="E423" s="3">
        <v>4</v>
      </c>
      <c r="F423" s="3" t="s">
        <v>22</v>
      </c>
      <c r="G423" s="3">
        <v>6</v>
      </c>
      <c r="H423" s="3">
        <v>13.884</v>
      </c>
      <c r="I423" s="3">
        <v>29.847306251800632</v>
      </c>
      <c r="J423" s="3">
        <v>6.99</v>
      </c>
      <c r="K423" s="3">
        <v>5.74</v>
      </c>
      <c r="L423" s="3">
        <f t="shared" si="12"/>
        <v>17.882689556509298</v>
      </c>
      <c r="M423" s="3">
        <f t="shared" si="13"/>
        <v>1.988780815142299</v>
      </c>
      <c r="N423" s="3">
        <v>33.53</v>
      </c>
      <c r="O423" s="3">
        <v>1.02</v>
      </c>
      <c r="P423" s="3">
        <v>6.3739999999999997</v>
      </c>
    </row>
    <row r="424" spans="1:16" x14ac:dyDescent="0.3">
      <c r="A424" s="3">
        <v>82</v>
      </c>
      <c r="B424" s="3" t="s">
        <v>14</v>
      </c>
      <c r="C424" s="3" t="s">
        <v>15</v>
      </c>
      <c r="D424" s="3" t="s">
        <v>16</v>
      </c>
      <c r="E424" s="3">
        <v>1</v>
      </c>
      <c r="F424" s="3" t="s">
        <v>22</v>
      </c>
      <c r="G424" s="3">
        <v>6</v>
      </c>
      <c r="H424" s="3">
        <v>6.0090000000000003</v>
      </c>
      <c r="I424" s="3">
        <v>9.7187552005325433</v>
      </c>
      <c r="J424" s="3">
        <v>6.99</v>
      </c>
      <c r="K424" s="3">
        <v>5.4249999999999998</v>
      </c>
      <c r="L424" s="3">
        <f t="shared" si="12"/>
        <v>22.389127324749648</v>
      </c>
      <c r="M424" s="3">
        <f t="shared" si="13"/>
        <v>2.0452221260472507</v>
      </c>
      <c r="N424" s="3">
        <v>34.14</v>
      </c>
      <c r="O424" s="3">
        <v>1.171</v>
      </c>
      <c r="P424" s="3">
        <v>7.32</v>
      </c>
    </row>
    <row r="425" spans="1:16" x14ac:dyDescent="0.3">
      <c r="A425" s="3">
        <v>91</v>
      </c>
      <c r="B425" s="3" t="s">
        <v>14</v>
      </c>
      <c r="C425" s="3" t="s">
        <v>18</v>
      </c>
      <c r="D425" s="3" t="s">
        <v>16</v>
      </c>
      <c r="E425" s="3">
        <v>2</v>
      </c>
      <c r="F425" s="3" t="s">
        <v>22</v>
      </c>
      <c r="G425" s="3">
        <v>6</v>
      </c>
      <c r="H425" s="3">
        <v>5.9340000000000002</v>
      </c>
      <c r="I425" s="3">
        <v>10.768452982810924</v>
      </c>
      <c r="J425" s="3">
        <v>7.05</v>
      </c>
      <c r="K425" s="3">
        <v>5.2949999999999999</v>
      </c>
      <c r="L425" s="3">
        <f t="shared" si="12"/>
        <v>24.893617021276597</v>
      </c>
      <c r="M425" s="3">
        <f t="shared" si="13"/>
        <v>2.0780241069988623</v>
      </c>
      <c r="N425" s="3">
        <v>46.06</v>
      </c>
      <c r="O425" s="3">
        <v>1.06</v>
      </c>
      <c r="P425" s="3">
        <v>6.6280000000000001</v>
      </c>
    </row>
    <row r="426" spans="1:16" x14ac:dyDescent="0.3">
      <c r="A426" s="3">
        <v>104</v>
      </c>
      <c r="B426" s="3" t="s">
        <v>14</v>
      </c>
      <c r="C426" s="3" t="s">
        <v>18</v>
      </c>
      <c r="D426" s="3" t="s">
        <v>16</v>
      </c>
      <c r="E426" s="3">
        <v>5</v>
      </c>
      <c r="F426" s="3" t="s">
        <v>22</v>
      </c>
      <c r="G426" s="3">
        <v>6</v>
      </c>
      <c r="H426" s="3">
        <v>6.3220000000000001</v>
      </c>
      <c r="I426" s="3">
        <v>17.0515659601392</v>
      </c>
      <c r="J426" s="3">
        <v>6.95</v>
      </c>
      <c r="K426" s="3">
        <v>5.2439999999999998</v>
      </c>
      <c r="L426" s="3">
        <f t="shared" si="12"/>
        <v>24.546762589928061</v>
      </c>
      <c r="M426" s="3">
        <f t="shared" si="13"/>
        <v>2.0734165629033026</v>
      </c>
      <c r="N426" s="3">
        <v>47.99</v>
      </c>
      <c r="O426" s="3">
        <v>1.214</v>
      </c>
      <c r="P426" s="3">
        <v>7.5860000000000003</v>
      </c>
    </row>
    <row r="427" spans="1:16" x14ac:dyDescent="0.3">
      <c r="A427" s="3">
        <v>112</v>
      </c>
      <c r="B427" s="3" t="s">
        <v>14</v>
      </c>
      <c r="C427" s="3" t="s">
        <v>18</v>
      </c>
      <c r="D427" s="3" t="s">
        <v>16</v>
      </c>
      <c r="E427" s="3">
        <v>3</v>
      </c>
      <c r="F427" s="3" t="s">
        <v>22</v>
      </c>
      <c r="G427" s="3">
        <v>6</v>
      </c>
      <c r="H427" s="3">
        <v>6.1449999999999996</v>
      </c>
      <c r="I427" s="3">
        <v>10.301057770545158</v>
      </c>
      <c r="J427" s="3">
        <v>7.03</v>
      </c>
      <c r="K427" s="3">
        <v>5.5119999999999996</v>
      </c>
      <c r="L427" s="3">
        <f t="shared" si="12"/>
        <v>21.593172119487917</v>
      </c>
      <c r="M427" s="3">
        <f t="shared" si="13"/>
        <v>2.035018641339271</v>
      </c>
      <c r="N427" s="3">
        <v>48.09</v>
      </c>
      <c r="O427" s="3">
        <v>1.105</v>
      </c>
      <c r="P427" s="3">
        <v>6.9059999999999997</v>
      </c>
    </row>
    <row r="428" spans="1:16" x14ac:dyDescent="0.3">
      <c r="A428" s="3">
        <v>114</v>
      </c>
      <c r="B428" s="3" t="s">
        <v>14</v>
      </c>
      <c r="C428" s="3" t="s">
        <v>18</v>
      </c>
      <c r="D428" s="3" t="s">
        <v>16</v>
      </c>
      <c r="E428" s="3">
        <v>1</v>
      </c>
      <c r="F428" s="3" t="s">
        <v>22</v>
      </c>
      <c r="G428" s="3">
        <v>6</v>
      </c>
      <c r="H428" s="3">
        <v>6.2329999999999997</v>
      </c>
      <c r="I428" s="3">
        <v>15.16123856890742</v>
      </c>
      <c r="J428" s="3">
        <v>6.63</v>
      </c>
      <c r="K428" s="3">
        <v>5.2880000000000003</v>
      </c>
      <c r="L428" s="3">
        <f t="shared" si="12"/>
        <v>20.241327300150825</v>
      </c>
      <c r="M428" s="3">
        <f t="shared" si="13"/>
        <v>2.0179241708764408</v>
      </c>
      <c r="N428" s="3">
        <v>44.73</v>
      </c>
      <c r="O428" s="3">
        <v>1.3149999999999999</v>
      </c>
      <c r="P428" s="3">
        <v>8.2210000000000001</v>
      </c>
    </row>
    <row r="429" spans="1:16" x14ac:dyDescent="0.3">
      <c r="A429" s="3">
        <v>116</v>
      </c>
      <c r="B429" s="3" t="s">
        <v>14</v>
      </c>
      <c r="C429" s="3" t="s">
        <v>15</v>
      </c>
      <c r="D429" s="3" t="s">
        <v>16</v>
      </c>
      <c r="E429" s="3">
        <v>4</v>
      </c>
      <c r="F429" s="3" t="s">
        <v>22</v>
      </c>
      <c r="G429" s="3">
        <v>6</v>
      </c>
      <c r="H429" s="3">
        <v>6.2009999999999996</v>
      </c>
      <c r="I429" s="3">
        <v>13.675213675213675</v>
      </c>
      <c r="J429" s="3">
        <v>6.97</v>
      </c>
      <c r="K429" s="3">
        <v>5.3529999999999998</v>
      </c>
      <c r="L429" s="3">
        <f t="shared" si="12"/>
        <v>23.199426111908178</v>
      </c>
      <c r="M429" s="3">
        <f t="shared" si="13"/>
        <v>2.0557175425892433</v>
      </c>
      <c r="N429" s="3">
        <v>48.59</v>
      </c>
      <c r="O429" s="3">
        <v>1.0940000000000001</v>
      </c>
      <c r="P429" s="3">
        <v>6.835</v>
      </c>
    </row>
    <row r="430" spans="1:16" x14ac:dyDescent="0.3">
      <c r="A430" s="3">
        <v>188</v>
      </c>
      <c r="B430" s="3" t="s">
        <v>14</v>
      </c>
      <c r="C430" s="3" t="s">
        <v>15</v>
      </c>
      <c r="D430" s="3" t="s">
        <v>19</v>
      </c>
      <c r="E430" s="3">
        <v>4</v>
      </c>
      <c r="F430" s="3" t="s">
        <v>22</v>
      </c>
      <c r="G430" s="3">
        <v>6</v>
      </c>
      <c r="H430" s="3">
        <v>6.351</v>
      </c>
      <c r="I430" s="3">
        <v>12.139820500708549</v>
      </c>
      <c r="J430" s="3">
        <v>7.08</v>
      </c>
      <c r="K430" s="3">
        <v>5.58</v>
      </c>
      <c r="L430" s="3">
        <f t="shared" si="12"/>
        <v>21.1864406779661</v>
      </c>
      <c r="M430" s="3">
        <f t="shared" si="13"/>
        <v>2.0298446005404638</v>
      </c>
      <c r="N430" s="3">
        <v>46.56</v>
      </c>
      <c r="O430" s="3">
        <v>0.84399999999999997</v>
      </c>
      <c r="P430" s="3">
        <v>5.2729999999999997</v>
      </c>
    </row>
    <row r="431" spans="1:16" x14ac:dyDescent="0.3">
      <c r="A431" s="3">
        <v>195</v>
      </c>
      <c r="B431" s="3" t="s">
        <v>14</v>
      </c>
      <c r="C431" s="3" t="s">
        <v>15</v>
      </c>
      <c r="D431" s="3" t="s">
        <v>19</v>
      </c>
      <c r="E431" s="3">
        <v>5</v>
      </c>
      <c r="F431" s="3" t="s">
        <v>22</v>
      </c>
      <c r="G431" s="3">
        <v>6</v>
      </c>
      <c r="H431" s="3">
        <v>6.4690000000000003</v>
      </c>
      <c r="I431" s="3">
        <v>13.526047302519709</v>
      </c>
      <c r="J431" s="3">
        <v>7.01</v>
      </c>
      <c r="K431" s="3">
        <v>5.5940000000000003</v>
      </c>
      <c r="L431" s="3">
        <f t="shared" si="12"/>
        <v>20.199714693295288</v>
      </c>
      <c r="M431" s="3">
        <f t="shared" si="13"/>
        <v>2.0174025754947857</v>
      </c>
      <c r="N431" s="3">
        <v>47.82</v>
      </c>
      <c r="O431" s="3">
        <v>0.77100000000000002</v>
      </c>
      <c r="P431" s="3">
        <v>4.8209999999999997</v>
      </c>
    </row>
    <row r="432" spans="1:16" x14ac:dyDescent="0.3">
      <c r="A432" s="3">
        <v>199</v>
      </c>
      <c r="B432" s="3" t="s">
        <v>14</v>
      </c>
      <c r="C432" s="3" t="s">
        <v>18</v>
      </c>
      <c r="D432" s="3" t="s">
        <v>19</v>
      </c>
      <c r="E432" s="3">
        <v>5</v>
      </c>
      <c r="F432" s="3" t="s">
        <v>22</v>
      </c>
      <c r="G432" s="3">
        <v>6</v>
      </c>
      <c r="H432" s="3">
        <v>6.6609999999999996</v>
      </c>
      <c r="I432" s="3">
        <v>17.399789821348143</v>
      </c>
      <c r="J432" s="3">
        <v>7.05</v>
      </c>
      <c r="K432" s="3">
        <v>5.5019999999999998</v>
      </c>
      <c r="L432" s="3">
        <f t="shared" si="12"/>
        <v>21.957446808510639</v>
      </c>
      <c r="M432" s="3">
        <f t="shared" si="13"/>
        <v>2.0396754235498493</v>
      </c>
      <c r="N432" s="3">
        <v>47.23</v>
      </c>
      <c r="O432" s="3">
        <v>0.82199999999999995</v>
      </c>
      <c r="P432" s="3">
        <v>5.1390000000000002</v>
      </c>
    </row>
    <row r="433" spans="1:16" x14ac:dyDescent="0.3">
      <c r="A433" s="3">
        <v>202</v>
      </c>
      <c r="B433" s="3" t="s">
        <v>14</v>
      </c>
      <c r="C433" s="3" t="s">
        <v>18</v>
      </c>
      <c r="D433" s="3" t="s">
        <v>19</v>
      </c>
      <c r="E433" s="3">
        <v>3</v>
      </c>
      <c r="F433" s="3" t="s">
        <v>22</v>
      </c>
      <c r="G433" s="3">
        <v>6</v>
      </c>
      <c r="H433" s="3">
        <v>6.56</v>
      </c>
      <c r="I433" s="3">
        <v>14.23780487804877</v>
      </c>
      <c r="J433" s="3">
        <v>6.95</v>
      </c>
      <c r="K433" s="3">
        <v>5.6260000000000003</v>
      </c>
      <c r="L433" s="3">
        <f t="shared" si="12"/>
        <v>19.050359712230215</v>
      </c>
      <c r="M433" s="3">
        <f t="shared" si="13"/>
        <v>2.0031024187370905</v>
      </c>
      <c r="N433" s="3">
        <v>47.23</v>
      </c>
      <c r="O433" s="3">
        <v>0.85799999999999998</v>
      </c>
      <c r="P433" s="3">
        <v>5.3609999999999998</v>
      </c>
    </row>
    <row r="434" spans="1:16" x14ac:dyDescent="0.3">
      <c r="A434" s="3">
        <v>214</v>
      </c>
      <c r="B434" s="3" t="s">
        <v>14</v>
      </c>
      <c r="C434" s="3" t="s">
        <v>18</v>
      </c>
      <c r="D434" s="3" t="s">
        <v>19</v>
      </c>
      <c r="E434" s="3">
        <v>4</v>
      </c>
      <c r="F434" s="3" t="s">
        <v>22</v>
      </c>
      <c r="G434" s="3">
        <v>6</v>
      </c>
      <c r="H434" s="3">
        <v>6.3360000000000003</v>
      </c>
      <c r="I434" s="3">
        <v>17.171717171717169</v>
      </c>
      <c r="J434" s="3">
        <v>6.98</v>
      </c>
      <c r="K434" s="3">
        <v>5.2480000000000002</v>
      </c>
      <c r="L434" s="3">
        <f t="shared" si="12"/>
        <v>24.813753581661892</v>
      </c>
      <c r="M434" s="3">
        <f t="shared" si="13"/>
        <v>2.0769613343605484</v>
      </c>
      <c r="N434" s="3">
        <v>46.24</v>
      </c>
      <c r="O434" s="3">
        <v>1.1659999999999999</v>
      </c>
      <c r="P434" s="3">
        <v>7.2850000000000001</v>
      </c>
    </row>
    <row r="435" spans="1:16" x14ac:dyDescent="0.3">
      <c r="A435" s="3">
        <v>224</v>
      </c>
      <c r="B435" s="3" t="s">
        <v>14</v>
      </c>
      <c r="C435" s="3" t="s">
        <v>15</v>
      </c>
      <c r="D435" s="3" t="s">
        <v>19</v>
      </c>
      <c r="E435" s="3">
        <v>3</v>
      </c>
      <c r="F435" s="3" t="s">
        <v>22</v>
      </c>
      <c r="G435" s="3">
        <v>6</v>
      </c>
      <c r="H435" s="3">
        <v>6.0540000000000003</v>
      </c>
      <c r="I435" s="3">
        <v>11.215725140403043</v>
      </c>
      <c r="J435" s="3">
        <v>7.05</v>
      </c>
      <c r="K435" s="3">
        <v>5.375</v>
      </c>
      <c r="L435" s="3">
        <f t="shared" si="12"/>
        <v>23.75886524822695</v>
      </c>
      <c r="M435" s="3">
        <f t="shared" si="13"/>
        <v>2.0630285120385055</v>
      </c>
      <c r="N435" s="3">
        <v>41.28</v>
      </c>
      <c r="O435" s="3">
        <v>1.278</v>
      </c>
      <c r="P435" s="3">
        <v>7.9850000000000003</v>
      </c>
    </row>
    <row r="436" spans="1:16" x14ac:dyDescent="0.3">
      <c r="A436" s="3">
        <v>226</v>
      </c>
      <c r="B436" s="3" t="s">
        <v>14</v>
      </c>
      <c r="C436" s="3" t="s">
        <v>15</v>
      </c>
      <c r="D436" s="3" t="s">
        <v>19</v>
      </c>
      <c r="E436" s="3"/>
      <c r="F436" s="3" t="s">
        <v>22</v>
      </c>
      <c r="G436" s="3">
        <v>6</v>
      </c>
      <c r="H436" s="3">
        <v>6.34</v>
      </c>
      <c r="I436" s="3">
        <v>10.630914826498415</v>
      </c>
      <c r="J436" s="3">
        <v>7.06</v>
      </c>
      <c r="K436" s="3">
        <v>5.6660000000000004</v>
      </c>
      <c r="L436" s="3">
        <f t="shared" si="12"/>
        <v>19.74504249291784</v>
      </c>
      <c r="M436" s="3">
        <f t="shared" si="13"/>
        <v>2.0117211193248807</v>
      </c>
      <c r="N436" s="3">
        <v>46.72</v>
      </c>
      <c r="O436" s="3">
        <v>1.0740000000000001</v>
      </c>
      <c r="P436" s="3">
        <v>6.7149999999999999</v>
      </c>
    </row>
    <row r="437" spans="1:16" x14ac:dyDescent="0.3">
      <c r="A437" s="3">
        <v>228</v>
      </c>
      <c r="B437" s="3" t="s">
        <v>14</v>
      </c>
      <c r="C437" s="3" t="s">
        <v>15</v>
      </c>
      <c r="D437" s="3" t="s">
        <v>19</v>
      </c>
      <c r="E437" s="3">
        <v>2</v>
      </c>
      <c r="F437" s="3" t="s">
        <v>22</v>
      </c>
      <c r="G437" s="3">
        <v>6</v>
      </c>
      <c r="H437" s="3">
        <v>6.4420000000000002</v>
      </c>
      <c r="I437" s="3">
        <v>11.47159267308289</v>
      </c>
      <c r="J437" s="3">
        <v>7.05</v>
      </c>
      <c r="K437" s="3">
        <v>5.7030000000000003</v>
      </c>
      <c r="L437" s="3">
        <f t="shared" si="12"/>
        <v>19.106382978723399</v>
      </c>
      <c r="M437" s="3">
        <f t="shared" si="13"/>
        <v>2.0037947338778306</v>
      </c>
      <c r="N437" s="3">
        <v>47.09</v>
      </c>
      <c r="O437" s="3">
        <v>0.97499999999999998</v>
      </c>
      <c r="P437" s="3">
        <v>6.093</v>
      </c>
    </row>
    <row r="438" spans="1:16" x14ac:dyDescent="0.3">
      <c r="A438" s="3">
        <v>229</v>
      </c>
      <c r="B438" s="3" t="s">
        <v>14</v>
      </c>
      <c r="C438" s="3" t="s">
        <v>18</v>
      </c>
      <c r="D438" s="3" t="s">
        <v>19</v>
      </c>
      <c r="E438" s="3">
        <v>1</v>
      </c>
      <c r="F438" s="3" t="s">
        <v>22</v>
      </c>
      <c r="G438" s="3">
        <v>6</v>
      </c>
      <c r="H438" s="3">
        <v>6.7350000000000003</v>
      </c>
      <c r="I438" s="3">
        <v>16.674090571640683</v>
      </c>
      <c r="J438" s="3">
        <v>7.04</v>
      </c>
      <c r="K438" s="3">
        <v>5.6120000000000001</v>
      </c>
      <c r="L438" s="3">
        <f t="shared" si="12"/>
        <v>20.284090909090907</v>
      </c>
      <c r="M438" s="3">
        <f t="shared" si="13"/>
        <v>2.0184604771577916</v>
      </c>
      <c r="N438" s="3">
        <v>46.08</v>
      </c>
      <c r="O438" s="3">
        <v>1.036</v>
      </c>
      <c r="P438" s="3">
        <v>6.4720000000000004</v>
      </c>
    </row>
    <row r="439" spans="1:16" x14ac:dyDescent="0.3">
      <c r="A439" s="3">
        <v>233</v>
      </c>
      <c r="B439" s="3" t="s">
        <v>14</v>
      </c>
      <c r="C439" s="3" t="s">
        <v>18</v>
      </c>
      <c r="D439" s="3" t="s">
        <v>19</v>
      </c>
      <c r="E439" s="3">
        <v>2</v>
      </c>
      <c r="F439" s="3" t="s">
        <v>22</v>
      </c>
      <c r="G439" s="3">
        <v>6</v>
      </c>
      <c r="H439" s="3">
        <v>6.4550000000000001</v>
      </c>
      <c r="I439" s="3">
        <v>12.718822618125481</v>
      </c>
      <c r="J439" s="3">
        <v>7.01</v>
      </c>
      <c r="K439" s="3">
        <v>5.6340000000000003</v>
      </c>
      <c r="L439" s="3">
        <f t="shared" si="12"/>
        <v>19.629101283880164</v>
      </c>
      <c r="M439" s="3">
        <f t="shared" si="13"/>
        <v>2.010277500820373</v>
      </c>
      <c r="N439" s="3">
        <v>46.64</v>
      </c>
      <c r="O439" s="3">
        <v>1.089</v>
      </c>
      <c r="P439" s="3">
        <v>6.8090000000000002</v>
      </c>
    </row>
    <row r="440" spans="1:16" x14ac:dyDescent="0.3">
      <c r="A440" s="3">
        <v>239</v>
      </c>
      <c r="B440" s="3" t="s">
        <v>14</v>
      </c>
      <c r="C440" s="3" t="s">
        <v>15</v>
      </c>
      <c r="D440" s="3" t="s">
        <v>19</v>
      </c>
      <c r="E440" s="3">
        <v>2</v>
      </c>
      <c r="F440" s="3" t="s">
        <v>22</v>
      </c>
      <c r="G440" s="3">
        <v>6</v>
      </c>
      <c r="H440" s="3">
        <v>6.11</v>
      </c>
      <c r="I440" s="3">
        <v>10.458265139116206</v>
      </c>
      <c r="J440" s="3">
        <v>7.08</v>
      </c>
      <c r="K440" s="3">
        <v>5.4710000000000001</v>
      </c>
      <c r="L440" s="3">
        <f t="shared" si="12"/>
        <v>22.725988700564972</v>
      </c>
      <c r="M440" s="3">
        <f t="shared" si="13"/>
        <v>2.0495719618519943</v>
      </c>
      <c r="N440" s="3">
        <v>47.17</v>
      </c>
      <c r="O440" s="3">
        <v>0.91</v>
      </c>
      <c r="P440" s="3">
        <v>5.6870000000000003</v>
      </c>
    </row>
    <row r="441" spans="1:16" x14ac:dyDescent="0.3">
      <c r="A441" s="3">
        <v>301</v>
      </c>
      <c r="B441" s="3" t="s">
        <v>20</v>
      </c>
      <c r="C441" s="3" t="s">
        <v>18</v>
      </c>
      <c r="D441" s="3" t="s">
        <v>16</v>
      </c>
      <c r="E441" s="3">
        <v>1</v>
      </c>
      <c r="F441" s="3" t="s">
        <v>22</v>
      </c>
      <c r="G441" s="3">
        <v>6</v>
      </c>
      <c r="H441" s="3">
        <v>27.158000000000001</v>
      </c>
      <c r="I441" s="3">
        <v>80.885926798733337</v>
      </c>
      <c r="J441" s="3">
        <v>7</v>
      </c>
      <c r="K441" s="3">
        <v>5.1909999999999998</v>
      </c>
      <c r="L441" s="3">
        <f t="shared" si="12"/>
        <v>25.842857142857145</v>
      </c>
      <c r="M441" s="3">
        <f t="shared" si="13"/>
        <v>2.0907432614382762</v>
      </c>
      <c r="N441" s="3">
        <v>47.61</v>
      </c>
      <c r="O441" s="3">
        <v>1.6830000000000001</v>
      </c>
      <c r="P441" s="3">
        <v>10.52</v>
      </c>
    </row>
    <row r="442" spans="1:16" x14ac:dyDescent="0.3">
      <c r="A442" s="3">
        <v>310</v>
      </c>
      <c r="B442" s="3" t="s">
        <v>20</v>
      </c>
      <c r="C442" s="3" t="s">
        <v>18</v>
      </c>
      <c r="D442" s="3" t="s">
        <v>16</v>
      </c>
      <c r="E442" s="3">
        <v>5</v>
      </c>
      <c r="F442" s="3" t="s">
        <v>22</v>
      </c>
      <c r="G442" s="3">
        <v>6</v>
      </c>
      <c r="H442" s="3">
        <v>6.7270000000000003</v>
      </c>
      <c r="I442" s="3">
        <v>22.699568901441953</v>
      </c>
      <c r="J442" s="3">
        <v>7.07</v>
      </c>
      <c r="K442" s="3">
        <v>5.2</v>
      </c>
      <c r="L442" s="3">
        <f t="shared" si="12"/>
        <v>26.449787835926454</v>
      </c>
      <c r="M442" s="3">
        <f t="shared" si="13"/>
        <v>2.0989613235491547</v>
      </c>
      <c r="N442" s="3">
        <v>47.44</v>
      </c>
      <c r="O442" s="3">
        <v>1.3220000000000001</v>
      </c>
      <c r="P442" s="3">
        <v>8.2629999999999999</v>
      </c>
    </row>
    <row r="443" spans="1:16" x14ac:dyDescent="0.3">
      <c r="A443" s="3">
        <v>313</v>
      </c>
      <c r="B443" s="3" t="s">
        <v>20</v>
      </c>
      <c r="C443" s="3" t="s">
        <v>15</v>
      </c>
      <c r="D443" s="3" t="s">
        <v>16</v>
      </c>
      <c r="E443" s="3">
        <v>2</v>
      </c>
      <c r="F443" s="3" t="s">
        <v>22</v>
      </c>
      <c r="G443" s="3">
        <v>6</v>
      </c>
      <c r="H443" s="3">
        <v>6.2850000000000001</v>
      </c>
      <c r="I443" s="3">
        <v>11.503579952267302</v>
      </c>
      <c r="J443" s="3">
        <v>7.05</v>
      </c>
      <c r="K443" s="3">
        <v>5.5620000000000003</v>
      </c>
      <c r="L443" s="3">
        <f t="shared" si="12"/>
        <v>21.106382978723399</v>
      </c>
      <c r="M443" s="3">
        <f t="shared" si="13"/>
        <v>2.028829330240459</v>
      </c>
      <c r="N443" s="3">
        <v>48.2</v>
      </c>
      <c r="O443" s="3">
        <v>1.2050000000000001</v>
      </c>
      <c r="P443" s="3">
        <v>7.5279999999999996</v>
      </c>
    </row>
    <row r="444" spans="1:16" x14ac:dyDescent="0.3">
      <c r="A444" s="3">
        <v>315</v>
      </c>
      <c r="B444" s="3" t="s">
        <v>20</v>
      </c>
      <c r="C444" s="3" t="s">
        <v>18</v>
      </c>
      <c r="D444" s="3" t="s">
        <v>16</v>
      </c>
      <c r="E444" s="3">
        <v>4</v>
      </c>
      <c r="F444" s="3" t="s">
        <v>22</v>
      </c>
      <c r="G444" s="3">
        <v>6</v>
      </c>
      <c r="H444" s="3">
        <v>6.234</v>
      </c>
      <c r="I444" s="3">
        <v>13.410330445941614</v>
      </c>
      <c r="J444" s="3">
        <v>6.97</v>
      </c>
      <c r="K444" s="3">
        <v>5.3979999999999997</v>
      </c>
      <c r="L444" s="3">
        <f t="shared" si="12"/>
        <v>22.553802008608322</v>
      </c>
      <c r="M444" s="3">
        <f t="shared" si="13"/>
        <v>2.0473461794046748</v>
      </c>
      <c r="N444" s="3">
        <v>47.52</v>
      </c>
      <c r="O444" s="3">
        <v>1.234</v>
      </c>
      <c r="P444" s="3">
        <v>7.7110000000000003</v>
      </c>
    </row>
    <row r="445" spans="1:16" x14ac:dyDescent="0.3">
      <c r="A445" s="3">
        <v>317</v>
      </c>
      <c r="B445" s="3" t="s">
        <v>20</v>
      </c>
      <c r="C445" s="3" t="s">
        <v>15</v>
      </c>
      <c r="D445" s="3" t="s">
        <v>16</v>
      </c>
      <c r="E445" s="3">
        <v>1</v>
      </c>
      <c r="F445" s="3" t="s">
        <v>22</v>
      </c>
      <c r="G445" s="3">
        <v>6</v>
      </c>
      <c r="H445" s="3">
        <v>6.7130000000000001</v>
      </c>
      <c r="I445" s="3">
        <v>16.520184716222257</v>
      </c>
      <c r="J445" s="3">
        <v>7.02</v>
      </c>
      <c r="K445" s="3">
        <v>5.6040000000000001</v>
      </c>
      <c r="L445" s="3">
        <f t="shared" si="12"/>
        <v>20.170940170940167</v>
      </c>
      <c r="M445" s="3">
        <f t="shared" si="13"/>
        <v>2.0170420587910143</v>
      </c>
      <c r="N445" s="3">
        <v>48</v>
      </c>
      <c r="O445" s="3">
        <v>1.357</v>
      </c>
      <c r="P445" s="3">
        <v>8.48</v>
      </c>
    </row>
    <row r="446" spans="1:16" x14ac:dyDescent="0.3">
      <c r="A446" s="3">
        <v>329</v>
      </c>
      <c r="B446" s="3" t="s">
        <v>20</v>
      </c>
      <c r="C446" s="3" t="s">
        <v>15</v>
      </c>
      <c r="D446" s="3" t="s">
        <v>16</v>
      </c>
      <c r="E446" s="3">
        <v>4</v>
      </c>
      <c r="F446" s="3" t="s">
        <v>22</v>
      </c>
      <c r="G446" s="3">
        <v>6</v>
      </c>
      <c r="H446" s="3">
        <v>6.2160000000000002</v>
      </c>
      <c r="I446" s="3">
        <v>17.487129987129997</v>
      </c>
      <c r="J446" s="3">
        <v>7.02</v>
      </c>
      <c r="K446" s="3">
        <v>5.1289999999999996</v>
      </c>
      <c r="L446" s="3">
        <f t="shared" si="12"/>
        <v>26.93732193732194</v>
      </c>
      <c r="M446" s="3">
        <f t="shared" si="13"/>
        <v>2.1056119788586432</v>
      </c>
      <c r="N446" s="3">
        <v>47.13</v>
      </c>
      <c r="O446" s="3">
        <v>1.508</v>
      </c>
      <c r="P446" s="3">
        <v>9.4269999999999996</v>
      </c>
    </row>
    <row r="447" spans="1:16" x14ac:dyDescent="0.3">
      <c r="A447" s="3">
        <v>341</v>
      </c>
      <c r="B447" s="3" t="s">
        <v>20</v>
      </c>
      <c r="C447" s="3" t="s">
        <v>15</v>
      </c>
      <c r="D447" s="3" t="s">
        <v>16</v>
      </c>
      <c r="E447" s="3">
        <v>3</v>
      </c>
      <c r="F447" s="3" t="s">
        <v>22</v>
      </c>
      <c r="G447" s="3">
        <v>6</v>
      </c>
      <c r="H447" s="3">
        <v>6.2560000000000002</v>
      </c>
      <c r="I447" s="3">
        <v>17.455242966751928</v>
      </c>
      <c r="J447" s="3">
        <v>7.01</v>
      </c>
      <c r="K447" s="3">
        <v>5.1639999999999997</v>
      </c>
      <c r="L447" s="3">
        <f t="shared" si="12"/>
        <v>26.33380884450785</v>
      </c>
      <c r="M447" s="3">
        <f t="shared" si="13"/>
        <v>2.0973856972901577</v>
      </c>
      <c r="N447" s="3">
        <v>46.25</v>
      </c>
      <c r="O447" s="3">
        <v>1.2150000000000001</v>
      </c>
      <c r="P447" s="3">
        <v>7.593</v>
      </c>
    </row>
    <row r="448" spans="1:16" x14ac:dyDescent="0.3">
      <c r="A448" s="3">
        <v>350</v>
      </c>
      <c r="B448" s="3" t="s">
        <v>20</v>
      </c>
      <c r="C448" s="3" t="s">
        <v>18</v>
      </c>
      <c r="D448" s="3" t="s">
        <v>16</v>
      </c>
      <c r="E448" s="3">
        <v>3</v>
      </c>
      <c r="F448" s="3" t="s">
        <v>22</v>
      </c>
      <c r="G448" s="3">
        <v>6</v>
      </c>
      <c r="H448" s="3">
        <v>6.3360000000000003</v>
      </c>
      <c r="I448" s="3">
        <v>16.493055555555554</v>
      </c>
      <c r="J448" s="3">
        <v>6.98</v>
      </c>
      <c r="K448" s="3">
        <v>5.2910000000000004</v>
      </c>
      <c r="L448" s="3">
        <f t="shared" si="12"/>
        <v>24.197707736389685</v>
      </c>
      <c r="M448" s="3">
        <f t="shared" si="13"/>
        <v>2.0688011220803415</v>
      </c>
      <c r="N448" s="3">
        <v>47.09</v>
      </c>
      <c r="O448" s="3">
        <v>1.0369999999999999</v>
      </c>
      <c r="P448" s="3">
        <v>6.4790000000000001</v>
      </c>
    </row>
    <row r="449" spans="1:16" x14ac:dyDescent="0.3">
      <c r="A449" s="3">
        <v>351</v>
      </c>
      <c r="B449" s="3" t="s">
        <v>20</v>
      </c>
      <c r="C449" s="3" t="s">
        <v>18</v>
      </c>
      <c r="D449" s="3" t="s">
        <v>16</v>
      </c>
      <c r="E449" s="3">
        <v>2</v>
      </c>
      <c r="F449" s="3" t="s">
        <v>22</v>
      </c>
      <c r="G449" s="3">
        <v>6</v>
      </c>
      <c r="H449" s="3">
        <v>6.2949999999999999</v>
      </c>
      <c r="I449" s="3">
        <v>15.663224781572675</v>
      </c>
      <c r="J449" s="3">
        <v>7.07</v>
      </c>
      <c r="K449" s="3">
        <v>5.3090000000000002</v>
      </c>
      <c r="L449" s="3">
        <f t="shared" si="12"/>
        <v>24.908062234794908</v>
      </c>
      <c r="M449" s="3">
        <f t="shared" si="13"/>
        <v>2.078216455535002</v>
      </c>
      <c r="N449" s="3">
        <v>46.75</v>
      </c>
      <c r="O449" s="3">
        <v>1.1539999999999999</v>
      </c>
      <c r="P449" s="3">
        <v>7.2119999999999997</v>
      </c>
    </row>
    <row r="450" spans="1:16" x14ac:dyDescent="0.3">
      <c r="A450" s="3">
        <v>355</v>
      </c>
      <c r="B450" s="3" t="s">
        <v>20</v>
      </c>
      <c r="C450" s="3" t="s">
        <v>15</v>
      </c>
      <c r="D450" s="3" t="s">
        <v>16</v>
      </c>
      <c r="E450" s="3">
        <v>5</v>
      </c>
      <c r="F450" s="3" t="s">
        <v>22</v>
      </c>
      <c r="G450" s="3">
        <v>6</v>
      </c>
      <c r="H450" s="3">
        <v>5.94</v>
      </c>
      <c r="I450" s="3">
        <v>17.289562289562291</v>
      </c>
      <c r="J450" s="3">
        <v>6.93</v>
      </c>
      <c r="K450" s="3">
        <v>4.9130000000000003</v>
      </c>
      <c r="L450" s="3">
        <f t="shared" si="12"/>
        <v>29.105339105339102</v>
      </c>
      <c r="M450" s="3">
        <f t="shared" si="13"/>
        <v>2.1357345292433556</v>
      </c>
      <c r="N450" s="3">
        <v>47.03</v>
      </c>
      <c r="O450" s="3">
        <v>1.038</v>
      </c>
      <c r="P450" s="3">
        <v>6.49</v>
      </c>
    </row>
    <row r="451" spans="1:16" x14ac:dyDescent="0.3">
      <c r="A451" s="3">
        <v>426</v>
      </c>
      <c r="B451" s="3" t="s">
        <v>20</v>
      </c>
      <c r="C451" s="3" t="s">
        <v>18</v>
      </c>
      <c r="D451" s="3" t="s">
        <v>19</v>
      </c>
      <c r="E451" s="3">
        <v>5</v>
      </c>
      <c r="F451" s="3" t="s">
        <v>22</v>
      </c>
      <c r="G451" s="3">
        <v>6</v>
      </c>
      <c r="H451" s="3">
        <v>6.617</v>
      </c>
      <c r="I451" s="3">
        <v>19.329001057881214</v>
      </c>
      <c r="J451" s="3">
        <v>7.01</v>
      </c>
      <c r="K451" s="3">
        <v>5.3380000000000001</v>
      </c>
      <c r="L451" s="3">
        <f t="shared" ref="L451:L514" si="14">((J451-K451)/J451)*100</f>
        <v>23.851640513552063</v>
      </c>
      <c r="M451" s="3">
        <f t="shared" ref="M451:M514" si="15">-LN((K451/J451)/G451)</f>
        <v>2.0642461192922212</v>
      </c>
      <c r="N451" s="3">
        <v>37.67</v>
      </c>
      <c r="O451" s="3">
        <v>0.85499999999999998</v>
      </c>
      <c r="P451" s="3">
        <v>5.343</v>
      </c>
    </row>
    <row r="452" spans="1:16" x14ac:dyDescent="0.3">
      <c r="A452" s="3">
        <v>431</v>
      </c>
      <c r="B452" s="3" t="s">
        <v>20</v>
      </c>
      <c r="C452" s="3" t="s">
        <v>15</v>
      </c>
      <c r="D452" s="3" t="s">
        <v>19</v>
      </c>
      <c r="E452" s="3">
        <v>1</v>
      </c>
      <c r="F452" s="3" t="s">
        <v>22</v>
      </c>
      <c r="G452" s="3">
        <v>6</v>
      </c>
      <c r="H452" s="3">
        <v>6.9660000000000002</v>
      </c>
      <c r="I452" s="3">
        <v>17.499282227964404</v>
      </c>
      <c r="J452" s="3">
        <v>6.97</v>
      </c>
      <c r="K452" s="3">
        <v>5.7469999999999999</v>
      </c>
      <c r="L452" s="3">
        <f t="shared" si="14"/>
        <v>17.546628407460542</v>
      </c>
      <c r="M452" s="3">
        <f t="shared" si="15"/>
        <v>1.9846967144748831</v>
      </c>
      <c r="N452" s="3">
        <v>48.12</v>
      </c>
      <c r="O452" s="3">
        <v>0.72</v>
      </c>
      <c r="P452" s="3">
        <v>4.4989999999999997</v>
      </c>
    </row>
    <row r="453" spans="1:16" x14ac:dyDescent="0.3">
      <c r="A453" s="3">
        <v>433</v>
      </c>
      <c r="B453" s="3" t="s">
        <v>20</v>
      </c>
      <c r="C453" s="3" t="s">
        <v>18</v>
      </c>
      <c r="D453" s="3" t="s">
        <v>19</v>
      </c>
      <c r="E453" s="3">
        <v>3</v>
      </c>
      <c r="F453" s="3" t="s">
        <v>22</v>
      </c>
      <c r="G453" s="3">
        <v>6</v>
      </c>
      <c r="H453" s="3">
        <v>6.6479999999999997</v>
      </c>
      <c r="I453" s="3">
        <v>16.847172081829122</v>
      </c>
      <c r="J453" s="3">
        <v>6.97</v>
      </c>
      <c r="K453" s="3">
        <v>5.5279999999999996</v>
      </c>
      <c r="L453" s="3">
        <f t="shared" si="14"/>
        <v>20.688665710186516</v>
      </c>
      <c r="M453" s="3">
        <f t="shared" si="15"/>
        <v>2.023548607535119</v>
      </c>
      <c r="N453" s="3">
        <v>48.5</v>
      </c>
      <c r="O453" s="3">
        <v>0.85399999999999998</v>
      </c>
      <c r="P453" s="3">
        <v>5.335</v>
      </c>
    </row>
    <row r="454" spans="1:16" x14ac:dyDescent="0.3">
      <c r="A454" s="3">
        <v>454</v>
      </c>
      <c r="B454" s="3" t="s">
        <v>20</v>
      </c>
      <c r="C454" s="3" t="s">
        <v>15</v>
      </c>
      <c r="D454" s="3" t="s">
        <v>19</v>
      </c>
      <c r="E454" s="3">
        <v>5</v>
      </c>
      <c r="F454" s="3" t="s">
        <v>22</v>
      </c>
      <c r="G454" s="3">
        <v>6</v>
      </c>
      <c r="H454" s="3">
        <v>6.5449999999999999</v>
      </c>
      <c r="I454" s="3">
        <v>17.876241405653172</v>
      </c>
      <c r="J454" s="3">
        <v>6.95</v>
      </c>
      <c r="K454" s="3">
        <v>5.375</v>
      </c>
      <c r="L454" s="3">
        <f t="shared" si="14"/>
        <v>22.661870503597122</v>
      </c>
      <c r="M454" s="3">
        <f t="shared" si="15"/>
        <v>2.0487425547910294</v>
      </c>
      <c r="N454" s="3">
        <v>47.08</v>
      </c>
      <c r="O454" s="3">
        <v>1</v>
      </c>
      <c r="P454" s="3">
        <v>6.2489999999999997</v>
      </c>
    </row>
    <row r="455" spans="1:16" x14ac:dyDescent="0.3">
      <c r="A455" s="3">
        <v>456</v>
      </c>
      <c r="B455" s="3" t="s">
        <v>20</v>
      </c>
      <c r="C455" s="3" t="s">
        <v>18</v>
      </c>
      <c r="D455" s="3" t="s">
        <v>19</v>
      </c>
      <c r="E455" s="3">
        <v>1</v>
      </c>
      <c r="F455" s="3" t="s">
        <v>22</v>
      </c>
      <c r="G455" s="3">
        <v>6</v>
      </c>
      <c r="H455" s="3">
        <v>17.437999999999999</v>
      </c>
      <c r="I455" s="3">
        <v>70.661773139121465</v>
      </c>
      <c r="J455" s="3">
        <v>6.94</v>
      </c>
      <c r="K455" s="3">
        <v>5.1159999999999997</v>
      </c>
      <c r="L455" s="3">
        <f t="shared" si="14"/>
        <v>26.282420749279549</v>
      </c>
      <c r="M455" s="3">
        <f t="shared" si="15"/>
        <v>2.0966883600301718</v>
      </c>
      <c r="N455" s="3">
        <v>44.78</v>
      </c>
      <c r="O455" s="3">
        <v>1.083</v>
      </c>
      <c r="P455" s="3">
        <v>6.7690000000000001</v>
      </c>
    </row>
    <row r="456" spans="1:16" x14ac:dyDescent="0.3">
      <c r="A456" s="3">
        <v>457</v>
      </c>
      <c r="B456" s="3" t="s">
        <v>20</v>
      </c>
      <c r="C456" s="3" t="s">
        <v>15</v>
      </c>
      <c r="D456" s="3" t="s">
        <v>19</v>
      </c>
      <c r="E456" s="3">
        <v>4</v>
      </c>
      <c r="F456" s="3" t="s">
        <v>22</v>
      </c>
      <c r="G456" s="3">
        <v>6</v>
      </c>
      <c r="H456" s="3">
        <v>6.5979999999999999</v>
      </c>
      <c r="I456" s="3">
        <v>22.643225219763565</v>
      </c>
      <c r="J456" s="3">
        <v>6.98</v>
      </c>
      <c r="K456" s="3">
        <v>5.1040000000000001</v>
      </c>
      <c r="L456" s="3">
        <f t="shared" si="14"/>
        <v>26.876790830945563</v>
      </c>
      <c r="M456" s="3">
        <f t="shared" si="15"/>
        <v>2.1047838399598473</v>
      </c>
      <c r="N456" s="3">
        <v>46.3</v>
      </c>
      <c r="O456" s="3">
        <v>1.2</v>
      </c>
      <c r="P456" s="3">
        <v>7.5</v>
      </c>
    </row>
    <row r="457" spans="1:16" x14ac:dyDescent="0.3">
      <c r="A457" s="3">
        <v>462</v>
      </c>
      <c r="B457" s="3" t="s">
        <v>20</v>
      </c>
      <c r="C457" s="3" t="s">
        <v>15</v>
      </c>
      <c r="D457" s="3" t="s">
        <v>19</v>
      </c>
      <c r="E457" s="3">
        <v>2</v>
      </c>
      <c r="F457" s="3" t="s">
        <v>22</v>
      </c>
      <c r="G457" s="3">
        <v>6</v>
      </c>
      <c r="H457" s="3">
        <v>6.3220000000000001</v>
      </c>
      <c r="I457" s="3">
        <v>14.267636823789942</v>
      </c>
      <c r="J457" s="3">
        <v>6.98</v>
      </c>
      <c r="K457" s="3">
        <v>5.42</v>
      </c>
      <c r="L457" s="3">
        <f t="shared" si="14"/>
        <v>22.349570200573073</v>
      </c>
      <c r="M457" s="3">
        <f t="shared" si="15"/>
        <v>2.0447125705507814</v>
      </c>
      <c r="N457" s="3">
        <v>46.39</v>
      </c>
      <c r="O457" s="3">
        <v>0.96099999999999997</v>
      </c>
      <c r="P457" s="3">
        <v>6.0060000000000002</v>
      </c>
    </row>
    <row r="458" spans="1:16" x14ac:dyDescent="0.3">
      <c r="A458" s="3">
        <v>466</v>
      </c>
      <c r="B458" s="3" t="s">
        <v>20</v>
      </c>
      <c r="C458" s="3" t="s">
        <v>18</v>
      </c>
      <c r="D458" s="3" t="s">
        <v>19</v>
      </c>
      <c r="E458" s="3">
        <v>2</v>
      </c>
      <c r="F458" s="3" t="s">
        <v>22</v>
      </c>
      <c r="G458" s="3">
        <v>6</v>
      </c>
      <c r="H458" s="3">
        <v>7.4349999999999996</v>
      </c>
      <c r="I458" s="3">
        <v>28.271687962340273</v>
      </c>
      <c r="J458" s="3">
        <v>6.99</v>
      </c>
      <c r="K458" s="3">
        <v>5.3330000000000002</v>
      </c>
      <c r="L458" s="3">
        <f t="shared" si="14"/>
        <v>23.705293276108726</v>
      </c>
      <c r="M458" s="3">
        <f t="shared" si="15"/>
        <v>2.0623260938553085</v>
      </c>
      <c r="N458" s="3">
        <v>47.21</v>
      </c>
      <c r="O458" s="3">
        <v>0.95899999999999996</v>
      </c>
      <c r="P458" s="3">
        <v>5.9909999999999997</v>
      </c>
    </row>
    <row r="459" spans="1:16" x14ac:dyDescent="0.3">
      <c r="A459" s="3">
        <v>476</v>
      </c>
      <c r="B459" s="3" t="s">
        <v>20</v>
      </c>
      <c r="C459" s="3" t="s">
        <v>15</v>
      </c>
      <c r="D459" s="3" t="s">
        <v>19</v>
      </c>
      <c r="E459" s="3">
        <v>3</v>
      </c>
      <c r="F459" s="3" t="s">
        <v>22</v>
      </c>
      <c r="G459" s="3">
        <v>6</v>
      </c>
      <c r="H459" s="3">
        <v>6.827</v>
      </c>
      <c r="I459" s="3">
        <v>20.623992969093312</v>
      </c>
      <c r="J459" s="3">
        <v>7.02</v>
      </c>
      <c r="K459" s="3">
        <v>5.4189999999999996</v>
      </c>
      <c r="L459" s="3">
        <f t="shared" si="14"/>
        <v>22.806267806267808</v>
      </c>
      <c r="M459" s="3">
        <f t="shared" si="15"/>
        <v>2.0506113906817975</v>
      </c>
      <c r="N459" s="3">
        <v>47.05</v>
      </c>
      <c r="O459" s="3">
        <v>0.9</v>
      </c>
      <c r="P459" s="3">
        <v>5.6239999999999997</v>
      </c>
    </row>
    <row r="460" spans="1:16" x14ac:dyDescent="0.3">
      <c r="A460" s="3">
        <v>478</v>
      </c>
      <c r="B460" s="3" t="s">
        <v>20</v>
      </c>
      <c r="C460" s="3" t="s">
        <v>18</v>
      </c>
      <c r="D460" s="3" t="s">
        <v>19</v>
      </c>
      <c r="E460" s="3">
        <v>4</v>
      </c>
      <c r="F460" s="3" t="s">
        <v>22</v>
      </c>
      <c r="G460" s="3">
        <v>6</v>
      </c>
      <c r="H460" s="3">
        <v>6.556</v>
      </c>
      <c r="I460" s="3">
        <v>12.355094569859665</v>
      </c>
      <c r="J460" s="3">
        <v>7.09</v>
      </c>
      <c r="K460" s="3">
        <v>5.7460000000000004</v>
      </c>
      <c r="L460" s="3">
        <f t="shared" si="14"/>
        <v>18.956276445698158</v>
      </c>
      <c r="M460" s="3">
        <f t="shared" si="15"/>
        <v>2.0019408492149933</v>
      </c>
      <c r="N460" s="3">
        <v>47.99</v>
      </c>
      <c r="O460" s="3">
        <v>1.26</v>
      </c>
      <c r="P460" s="3">
        <v>7.8739999999999997</v>
      </c>
    </row>
    <row r="461" spans="1:16" x14ac:dyDescent="0.3">
      <c r="A461" s="3">
        <v>541</v>
      </c>
      <c r="B461" s="3" t="s">
        <v>21</v>
      </c>
      <c r="C461" s="3" t="s">
        <v>15</v>
      </c>
      <c r="D461" s="3" t="s">
        <v>16</v>
      </c>
      <c r="E461" s="3">
        <v>4</v>
      </c>
      <c r="F461" s="3" t="s">
        <v>22</v>
      </c>
      <c r="G461" s="3">
        <v>6</v>
      </c>
      <c r="H461" s="3">
        <v>6.7469999999999999</v>
      </c>
      <c r="I461" s="3">
        <v>77.975396472506304</v>
      </c>
      <c r="J461" s="3">
        <v>6.9</v>
      </c>
      <c r="K461" s="3">
        <v>5.2610000000000001</v>
      </c>
      <c r="L461" s="3">
        <f t="shared" si="14"/>
        <v>23.753623188405797</v>
      </c>
      <c r="M461" s="3">
        <f t="shared" si="15"/>
        <v>2.0629597580825987</v>
      </c>
      <c r="N461" s="3">
        <v>47.74</v>
      </c>
      <c r="O461" s="3">
        <v>1.0580000000000001</v>
      </c>
      <c r="P461" s="3">
        <v>6.6109999999999998</v>
      </c>
    </row>
    <row r="462" spans="1:16" x14ac:dyDescent="0.3">
      <c r="A462" s="3">
        <v>546</v>
      </c>
      <c r="B462" s="3" t="s">
        <v>21</v>
      </c>
      <c r="C462" s="3" t="s">
        <v>18</v>
      </c>
      <c r="D462" s="3" t="s">
        <v>16</v>
      </c>
      <c r="E462" s="3">
        <v>3</v>
      </c>
      <c r="F462" s="3" t="s">
        <v>22</v>
      </c>
      <c r="G462" s="3">
        <v>6</v>
      </c>
      <c r="H462" s="3">
        <v>6.9240000000000004</v>
      </c>
      <c r="I462" s="3">
        <v>82.047949162333907</v>
      </c>
      <c r="J462" s="3">
        <v>7.07</v>
      </c>
      <c r="K462" s="3">
        <v>5.681</v>
      </c>
      <c r="L462" s="3">
        <f t="shared" si="14"/>
        <v>19.64639321074965</v>
      </c>
      <c r="M462" s="3">
        <f t="shared" si="15"/>
        <v>2.0104926755615464</v>
      </c>
      <c r="N462" s="3">
        <v>47.5</v>
      </c>
      <c r="O462" s="3">
        <v>1.0149999999999999</v>
      </c>
      <c r="P462" s="3">
        <v>6.3449999999999998</v>
      </c>
    </row>
    <row r="463" spans="1:16" x14ac:dyDescent="0.3">
      <c r="A463" s="3">
        <v>554</v>
      </c>
      <c r="B463" s="3" t="s">
        <v>21</v>
      </c>
      <c r="C463" s="3" t="s">
        <v>15</v>
      </c>
      <c r="D463" s="3" t="s">
        <v>16</v>
      </c>
      <c r="E463" s="3">
        <v>5</v>
      </c>
      <c r="F463" s="3" t="s">
        <v>22</v>
      </c>
      <c r="G463" s="3">
        <v>6</v>
      </c>
      <c r="H463" s="3">
        <v>6.3739999999999997</v>
      </c>
      <c r="I463" s="3">
        <v>83.903357389394415</v>
      </c>
      <c r="J463" s="3">
        <v>7.04</v>
      </c>
      <c r="K463" s="3">
        <v>5.3479999999999999</v>
      </c>
      <c r="L463" s="3">
        <f t="shared" si="14"/>
        <v>24.03409090909091</v>
      </c>
      <c r="M463" s="3">
        <f t="shared" si="15"/>
        <v>2.0666449801583093</v>
      </c>
      <c r="N463" s="3">
        <v>48.41</v>
      </c>
      <c r="O463" s="3">
        <v>1.161</v>
      </c>
      <c r="P463" s="3">
        <v>7.2590000000000003</v>
      </c>
    </row>
    <row r="464" spans="1:16" x14ac:dyDescent="0.3">
      <c r="A464" s="3">
        <v>562</v>
      </c>
      <c r="B464" s="3" t="s">
        <v>21</v>
      </c>
      <c r="C464" s="3" t="s">
        <v>18</v>
      </c>
      <c r="D464" s="3" t="s">
        <v>16</v>
      </c>
      <c r="E464" s="3">
        <v>2</v>
      </c>
      <c r="F464" s="3" t="s">
        <v>22</v>
      </c>
      <c r="G464" s="3">
        <v>6</v>
      </c>
      <c r="H464" s="3">
        <v>6.9279999999999999</v>
      </c>
      <c r="I464" s="3">
        <v>75.274249422632792</v>
      </c>
      <c r="J464" s="3">
        <v>6.92</v>
      </c>
      <c r="K464" s="3">
        <v>5.2149999999999999</v>
      </c>
      <c r="L464" s="3">
        <f t="shared" si="14"/>
        <v>24.638728323699425</v>
      </c>
      <c r="M464" s="3">
        <f t="shared" si="15"/>
        <v>2.0746361504048974</v>
      </c>
      <c r="N464" s="3">
        <v>46.99</v>
      </c>
      <c r="O464" s="3">
        <v>1.0589999999999999</v>
      </c>
      <c r="P464" s="3">
        <v>6.6210000000000004</v>
      </c>
    </row>
    <row r="465" spans="1:16" x14ac:dyDescent="0.3">
      <c r="A465" s="3">
        <v>572</v>
      </c>
      <c r="B465" s="3" t="s">
        <v>21</v>
      </c>
      <c r="C465" s="3" t="s">
        <v>18</v>
      </c>
      <c r="D465" s="3" t="s">
        <v>16</v>
      </c>
      <c r="E465" s="3">
        <v>4</v>
      </c>
      <c r="F465" s="3" t="s">
        <v>22</v>
      </c>
      <c r="G465" s="3">
        <v>6</v>
      </c>
      <c r="H465" s="3">
        <v>6.8959999999999999</v>
      </c>
      <c r="I465" s="3">
        <v>81.511020881670532</v>
      </c>
      <c r="J465" s="3">
        <v>6.99</v>
      </c>
      <c r="K465" s="3">
        <v>5.6210000000000004</v>
      </c>
      <c r="L465" s="3">
        <f t="shared" si="14"/>
        <v>19.585121602288979</v>
      </c>
      <c r="M465" s="3">
        <f t="shared" si="15"/>
        <v>2.0097304414538359</v>
      </c>
      <c r="N465" s="3">
        <v>46.38</v>
      </c>
      <c r="O465" s="3">
        <v>0.98399999999999999</v>
      </c>
      <c r="P465" s="3">
        <v>6.1520000000000001</v>
      </c>
    </row>
    <row r="466" spans="1:16" x14ac:dyDescent="0.3">
      <c r="A466" s="3">
        <v>574</v>
      </c>
      <c r="B466" s="3" t="s">
        <v>21</v>
      </c>
      <c r="C466" s="3" t="s">
        <v>15</v>
      </c>
      <c r="D466" s="3" t="s">
        <v>16</v>
      </c>
      <c r="E466" s="3">
        <v>2</v>
      </c>
      <c r="F466" s="3" t="s">
        <v>22</v>
      </c>
      <c r="G466" s="3">
        <v>6</v>
      </c>
      <c r="H466" s="3">
        <v>6.6760000000000002</v>
      </c>
      <c r="I466" s="3">
        <v>83.253445176752535</v>
      </c>
      <c r="J466" s="3">
        <v>6.9</v>
      </c>
      <c r="K466" s="3">
        <v>5.5579999999999998</v>
      </c>
      <c r="L466" s="3">
        <f t="shared" si="14"/>
        <v>19.449275362318847</v>
      </c>
      <c r="M466" s="3">
        <f t="shared" si="15"/>
        <v>2.0080425495109568</v>
      </c>
      <c r="N466" s="3">
        <v>46.79</v>
      </c>
      <c r="O466" s="3">
        <v>1.0509999999999999</v>
      </c>
      <c r="P466" s="3">
        <v>6.5679999999999996</v>
      </c>
    </row>
    <row r="467" spans="1:16" x14ac:dyDescent="0.3">
      <c r="A467" s="3">
        <v>576</v>
      </c>
      <c r="B467" s="3" t="s">
        <v>21</v>
      </c>
      <c r="C467" s="3" t="s">
        <v>18</v>
      </c>
      <c r="D467" s="3" t="s">
        <v>16</v>
      </c>
      <c r="E467" s="3">
        <v>5</v>
      </c>
      <c r="F467" s="3" t="s">
        <v>22</v>
      </c>
      <c r="G467" s="3">
        <v>6</v>
      </c>
      <c r="H467" s="3">
        <v>6.5750000000000002</v>
      </c>
      <c r="I467" s="3">
        <v>82.022813688212921</v>
      </c>
      <c r="J467" s="3">
        <v>6.97</v>
      </c>
      <c r="K467" s="3">
        <v>5.3929999999999998</v>
      </c>
      <c r="L467" s="3">
        <f t="shared" si="14"/>
        <v>22.625538020086083</v>
      </c>
      <c r="M467" s="3">
        <f t="shared" si="15"/>
        <v>2.0482728776453976</v>
      </c>
      <c r="N467" s="3">
        <v>47.76</v>
      </c>
      <c r="O467" s="3">
        <v>1.02</v>
      </c>
      <c r="P467" s="3">
        <v>6.3769999999999998</v>
      </c>
    </row>
    <row r="468" spans="1:16" x14ac:dyDescent="0.3">
      <c r="A468" s="3">
        <v>580</v>
      </c>
      <c r="B468" s="3" t="s">
        <v>21</v>
      </c>
      <c r="C468" s="3" t="s">
        <v>18</v>
      </c>
      <c r="D468" s="3" t="s">
        <v>16</v>
      </c>
      <c r="E468" s="3">
        <v>1</v>
      </c>
      <c r="F468" s="3" t="s">
        <v>22</v>
      </c>
      <c r="G468" s="3">
        <v>6</v>
      </c>
      <c r="H468" s="3">
        <v>7.5049999999999999</v>
      </c>
      <c r="I468" s="3">
        <v>75.869420386409061</v>
      </c>
      <c r="J468" s="3">
        <v>6.99</v>
      </c>
      <c r="K468" s="3">
        <v>5.694</v>
      </c>
      <c r="L468" s="3">
        <f t="shared" si="14"/>
        <v>18.540772532188846</v>
      </c>
      <c r="M468" s="3">
        <f t="shared" si="15"/>
        <v>1.9968270366179282</v>
      </c>
      <c r="N468" s="3">
        <v>47.51</v>
      </c>
      <c r="O468" s="3">
        <v>1.3360000000000001</v>
      </c>
      <c r="P468" s="3">
        <v>8.3480000000000008</v>
      </c>
    </row>
    <row r="469" spans="1:16" x14ac:dyDescent="0.3">
      <c r="A469" s="3">
        <v>584</v>
      </c>
      <c r="B469" s="3" t="s">
        <v>21</v>
      </c>
      <c r="C469" s="3" t="s">
        <v>15</v>
      </c>
      <c r="D469" s="3" t="s">
        <v>16</v>
      </c>
      <c r="E469" s="3">
        <v>1</v>
      </c>
      <c r="F469" s="3" t="s">
        <v>22</v>
      </c>
      <c r="G469" s="3">
        <v>6</v>
      </c>
      <c r="H469" s="3">
        <v>6.782</v>
      </c>
      <c r="I469" s="3">
        <v>81.92273665585374</v>
      </c>
      <c r="J469" s="3">
        <v>6.97</v>
      </c>
      <c r="K469" s="3">
        <v>5.556</v>
      </c>
      <c r="L469" s="3">
        <f t="shared" si="14"/>
        <v>20.286944045911042</v>
      </c>
      <c r="M469" s="3">
        <f t="shared" si="15"/>
        <v>2.0184962691083901</v>
      </c>
      <c r="N469" s="3">
        <v>47.32</v>
      </c>
      <c r="O469" s="3">
        <v>1.0720000000000001</v>
      </c>
      <c r="P469" s="3">
        <v>6.7009999999999996</v>
      </c>
    </row>
    <row r="470" spans="1:16" x14ac:dyDescent="0.3">
      <c r="A470" s="3">
        <v>593</v>
      </c>
      <c r="B470" s="3" t="s">
        <v>21</v>
      </c>
      <c r="C470" s="3" t="s">
        <v>15</v>
      </c>
      <c r="D470" s="3" t="s">
        <v>16</v>
      </c>
      <c r="E470" s="3">
        <v>3</v>
      </c>
      <c r="F470" s="3" t="s">
        <v>22</v>
      </c>
      <c r="G470" s="3">
        <v>6</v>
      </c>
      <c r="H470" s="3">
        <v>6.7539999999999996</v>
      </c>
      <c r="I470" s="3">
        <v>83.506070476754516</v>
      </c>
      <c r="J470" s="3">
        <v>7.04</v>
      </c>
      <c r="K470" s="3">
        <v>5.64</v>
      </c>
      <c r="L470" s="3">
        <f t="shared" si="14"/>
        <v>19.88636363636364</v>
      </c>
      <c r="M470" s="3">
        <f t="shared" si="15"/>
        <v>2.0134835738880388</v>
      </c>
      <c r="N470" s="3">
        <v>47.83</v>
      </c>
      <c r="O470" s="3">
        <v>1.095</v>
      </c>
      <c r="P470" s="3">
        <v>6.8419999999999996</v>
      </c>
    </row>
    <row r="471" spans="1:16" x14ac:dyDescent="0.3">
      <c r="A471" s="3">
        <v>666</v>
      </c>
      <c r="B471" s="3" t="s">
        <v>21</v>
      </c>
      <c r="C471" s="3" t="s">
        <v>18</v>
      </c>
      <c r="D471" s="3" t="s">
        <v>19</v>
      </c>
      <c r="E471" s="3">
        <v>1</v>
      </c>
      <c r="F471" s="3" t="s">
        <v>22</v>
      </c>
      <c r="G471" s="3">
        <v>6</v>
      </c>
      <c r="H471" s="3">
        <v>6.6189999999999998</v>
      </c>
      <c r="I471" s="3">
        <v>81.809941078712797</v>
      </c>
      <c r="J471" s="3">
        <v>6.97</v>
      </c>
      <c r="K471" s="3">
        <v>5.415</v>
      </c>
      <c r="L471" s="3">
        <f t="shared" si="14"/>
        <v>22.309899569583926</v>
      </c>
      <c r="M471" s="3">
        <f t="shared" si="15"/>
        <v>2.0442018135475335</v>
      </c>
      <c r="N471" s="3">
        <v>47.9</v>
      </c>
      <c r="O471" s="3">
        <v>0.81499999999999995</v>
      </c>
      <c r="P471" s="3">
        <v>5.0919999999999996</v>
      </c>
    </row>
    <row r="472" spans="1:16" x14ac:dyDescent="0.3">
      <c r="A472" s="3">
        <v>685</v>
      </c>
      <c r="B472" s="3" t="s">
        <v>21</v>
      </c>
      <c r="C472" s="3" t="s">
        <v>15</v>
      </c>
      <c r="D472" s="3" t="s">
        <v>19</v>
      </c>
      <c r="E472" s="3">
        <v>4</v>
      </c>
      <c r="F472" s="3" t="s">
        <v>22</v>
      </c>
      <c r="G472" s="3">
        <v>6</v>
      </c>
      <c r="H472" s="3">
        <v>6.54</v>
      </c>
      <c r="I472" s="3">
        <v>82.798165137614674</v>
      </c>
      <c r="J472" s="3">
        <v>7</v>
      </c>
      <c r="K472" s="3">
        <v>5.415</v>
      </c>
      <c r="L472" s="3">
        <f t="shared" si="14"/>
        <v>22.642857142857142</v>
      </c>
      <c r="M472" s="3">
        <f t="shared" si="15"/>
        <v>2.0484967378304146</v>
      </c>
      <c r="N472" s="3">
        <v>47.43</v>
      </c>
      <c r="O472" s="3">
        <v>0.93300000000000005</v>
      </c>
      <c r="P472" s="3">
        <v>5.8330000000000002</v>
      </c>
    </row>
    <row r="473" spans="1:16" x14ac:dyDescent="0.3">
      <c r="A473" s="3">
        <v>688</v>
      </c>
      <c r="B473" s="3" t="s">
        <v>21</v>
      </c>
      <c r="C473" s="3" t="s">
        <v>18</v>
      </c>
      <c r="D473" s="3" t="s">
        <v>19</v>
      </c>
      <c r="E473" s="3">
        <v>2</v>
      </c>
      <c r="F473" s="3" t="s">
        <v>22</v>
      </c>
      <c r="G473" s="3">
        <v>6</v>
      </c>
      <c r="H473" s="3">
        <v>7.0019999999999998</v>
      </c>
      <c r="I473" s="3">
        <v>77.749214510139964</v>
      </c>
      <c r="J473" s="3">
        <v>7.05</v>
      </c>
      <c r="K473" s="3">
        <v>5.444</v>
      </c>
      <c r="L473" s="3">
        <f t="shared" si="14"/>
        <v>22.780141843971631</v>
      </c>
      <c r="M473" s="3">
        <f t="shared" si="15"/>
        <v>2.0502730012630126</v>
      </c>
      <c r="N473" s="3">
        <v>47.9</v>
      </c>
      <c r="O473" s="3">
        <v>0.875</v>
      </c>
      <c r="P473" s="3">
        <v>5.4710000000000001</v>
      </c>
    </row>
    <row r="474" spans="1:16" x14ac:dyDescent="0.3">
      <c r="A474" s="3">
        <v>703</v>
      </c>
      <c r="B474" s="3" t="s">
        <v>21</v>
      </c>
      <c r="C474" s="3" t="s">
        <v>15</v>
      </c>
      <c r="D474" s="3" t="s">
        <v>19</v>
      </c>
      <c r="E474" s="3">
        <v>4</v>
      </c>
      <c r="F474" s="3" t="s">
        <v>22</v>
      </c>
      <c r="G474" s="3">
        <v>6</v>
      </c>
      <c r="H474" s="3">
        <v>6.1260000000000003</v>
      </c>
      <c r="I474" s="3">
        <v>83.512895853738158</v>
      </c>
      <c r="J474" s="3">
        <v>6.9</v>
      </c>
      <c r="K474" s="3">
        <v>5.1159999999999997</v>
      </c>
      <c r="L474" s="3">
        <f t="shared" si="14"/>
        <v>25.855072463768124</v>
      </c>
      <c r="M474" s="3">
        <f t="shared" si="15"/>
        <v>2.0909079971146727</v>
      </c>
      <c r="N474" s="3">
        <v>47.2</v>
      </c>
      <c r="O474" s="3">
        <v>0.98299999999999998</v>
      </c>
      <c r="P474" s="3">
        <v>6.1459999999999999</v>
      </c>
    </row>
    <row r="475" spans="1:16" x14ac:dyDescent="0.3">
      <c r="A475" s="3">
        <v>706</v>
      </c>
      <c r="B475" s="3" t="s">
        <v>21</v>
      </c>
      <c r="C475" s="3" t="s">
        <v>15</v>
      </c>
      <c r="D475" s="3" t="s">
        <v>19</v>
      </c>
      <c r="E475" s="3">
        <v>2</v>
      </c>
      <c r="F475" s="3" t="s">
        <v>22</v>
      </c>
      <c r="G475" s="3">
        <v>6</v>
      </c>
      <c r="H475" s="3">
        <v>6.4740000000000002</v>
      </c>
      <c r="I475" s="3">
        <v>79.548965091133766</v>
      </c>
      <c r="J475" s="3">
        <v>6.91</v>
      </c>
      <c r="K475" s="3">
        <v>5.15</v>
      </c>
      <c r="L475" s="3">
        <f t="shared" si="14"/>
        <v>25.470332850940665</v>
      </c>
      <c r="M475" s="3">
        <f t="shared" si="15"/>
        <v>2.0857323923319888</v>
      </c>
      <c r="N475" s="3">
        <v>47.71</v>
      </c>
      <c r="O475" s="3">
        <v>0.82799999999999996</v>
      </c>
      <c r="P475" s="3">
        <v>5.1760000000000002</v>
      </c>
    </row>
    <row r="476" spans="1:16" x14ac:dyDescent="0.3">
      <c r="A476" s="3">
        <v>708</v>
      </c>
      <c r="B476" s="3" t="s">
        <v>21</v>
      </c>
      <c r="C476" s="3" t="s">
        <v>18</v>
      </c>
      <c r="D476" s="3" t="s">
        <v>19</v>
      </c>
      <c r="E476" s="3">
        <v>3</v>
      </c>
      <c r="F476" s="3" t="s">
        <v>22</v>
      </c>
      <c r="G476" s="3">
        <v>6</v>
      </c>
      <c r="H476" s="3">
        <v>6.88</v>
      </c>
      <c r="I476" s="3">
        <v>77.093023255813961</v>
      </c>
      <c r="J476" s="3">
        <v>6.93</v>
      </c>
      <c r="K476" s="3">
        <v>5.3040000000000003</v>
      </c>
      <c r="L476" s="3">
        <f t="shared" si="14"/>
        <v>23.463203463203456</v>
      </c>
      <c r="M476" s="3">
        <f t="shared" si="15"/>
        <v>2.0591580295463054</v>
      </c>
      <c r="N476" s="3">
        <v>45.98</v>
      </c>
      <c r="O476" s="3">
        <v>1.329</v>
      </c>
      <c r="P476" s="3">
        <v>8.3059999999999992</v>
      </c>
    </row>
    <row r="477" spans="1:16" x14ac:dyDescent="0.3">
      <c r="A477" s="3">
        <v>709</v>
      </c>
      <c r="B477" s="3" t="s">
        <v>21</v>
      </c>
      <c r="C477" s="3" t="s">
        <v>18</v>
      </c>
      <c r="D477" s="3" t="s">
        <v>19</v>
      </c>
      <c r="E477" s="3">
        <v>4</v>
      </c>
      <c r="F477" s="3" t="s">
        <v>22</v>
      </c>
      <c r="G477" s="3">
        <v>6</v>
      </c>
      <c r="H477" s="3">
        <v>6.2910000000000004</v>
      </c>
      <c r="I477" s="3">
        <v>82.625973613098083</v>
      </c>
      <c r="J477" s="3">
        <v>6.94</v>
      </c>
      <c r="K477" s="3">
        <v>5.1980000000000004</v>
      </c>
      <c r="L477" s="3">
        <f t="shared" si="14"/>
        <v>25.100864553314118</v>
      </c>
      <c r="M477" s="3">
        <f t="shared" si="15"/>
        <v>2.0807873075274697</v>
      </c>
      <c r="N477" s="3">
        <v>45.98</v>
      </c>
      <c r="O477" s="3">
        <v>1.236</v>
      </c>
      <c r="P477" s="3">
        <v>7.7279999999999998</v>
      </c>
    </row>
    <row r="478" spans="1:16" x14ac:dyDescent="0.3">
      <c r="A478" s="3">
        <v>716</v>
      </c>
      <c r="B478" s="3" t="s">
        <v>21</v>
      </c>
      <c r="C478" s="3" t="s">
        <v>18</v>
      </c>
      <c r="D478" s="3" t="s">
        <v>19</v>
      </c>
      <c r="E478" s="3">
        <v>5</v>
      </c>
      <c r="F478" s="3" t="s">
        <v>22</v>
      </c>
      <c r="G478" s="3">
        <v>6</v>
      </c>
      <c r="H478" s="3">
        <v>7.2210000000000001</v>
      </c>
      <c r="I478" s="3">
        <v>69.588699626090573</v>
      </c>
      <c r="J478" s="3">
        <v>6.96</v>
      </c>
      <c r="K478" s="3">
        <v>5.0250000000000004</v>
      </c>
      <c r="L478" s="3">
        <f t="shared" si="14"/>
        <v>27.801724137931028</v>
      </c>
      <c r="M478" s="3">
        <f t="shared" si="15"/>
        <v>2.1175134896292436</v>
      </c>
      <c r="N478" s="3">
        <v>44.89</v>
      </c>
      <c r="O478" s="3">
        <v>1.01</v>
      </c>
      <c r="P478" s="3">
        <v>6.31</v>
      </c>
    </row>
    <row r="479" spans="1:16" x14ac:dyDescent="0.3">
      <c r="A479" s="3">
        <v>718</v>
      </c>
      <c r="B479" s="3" t="s">
        <v>21</v>
      </c>
      <c r="C479" s="3" t="s">
        <v>15</v>
      </c>
      <c r="D479" s="3" t="s">
        <v>19</v>
      </c>
      <c r="E479" s="3">
        <v>1</v>
      </c>
      <c r="F479" s="3" t="s">
        <v>22</v>
      </c>
      <c r="G479" s="3">
        <v>6</v>
      </c>
      <c r="H479" s="3">
        <v>6.1909999999999998</v>
      </c>
      <c r="I479" s="3">
        <v>82.942981747698269</v>
      </c>
      <c r="J479" s="3">
        <v>6.9</v>
      </c>
      <c r="K479" s="3">
        <v>5.1349999999999998</v>
      </c>
      <c r="L479" s="3">
        <f t="shared" si="14"/>
        <v>25.579710144927542</v>
      </c>
      <c r="M479" s="3">
        <f t="shared" si="15"/>
        <v>2.0872010374507473</v>
      </c>
      <c r="N479" s="3">
        <v>47.9</v>
      </c>
      <c r="O479" s="3">
        <v>1.0489999999999999</v>
      </c>
      <c r="P479" s="3">
        <v>6.5540000000000003</v>
      </c>
    </row>
    <row r="480" spans="1:16" x14ac:dyDescent="0.3">
      <c r="A480" s="3">
        <v>719</v>
      </c>
      <c r="B480" s="3" t="s">
        <v>21</v>
      </c>
      <c r="C480" s="3" t="s">
        <v>15</v>
      </c>
      <c r="D480" s="3" t="s">
        <v>19</v>
      </c>
      <c r="E480" s="3">
        <v>3</v>
      </c>
      <c r="F480" s="3" t="s">
        <v>22</v>
      </c>
      <c r="G480" s="3">
        <v>6</v>
      </c>
      <c r="H480" s="3">
        <v>6.6550000000000002</v>
      </c>
      <c r="I480" s="3">
        <v>84.688204357625835</v>
      </c>
      <c r="J480" s="3">
        <v>7.03</v>
      </c>
      <c r="K480" s="3">
        <v>5.6360000000000001</v>
      </c>
      <c r="L480" s="3">
        <f t="shared" si="14"/>
        <v>19.829302987197725</v>
      </c>
      <c r="M480" s="3">
        <f t="shared" si="15"/>
        <v>2.0127715810141948</v>
      </c>
      <c r="N480" s="3">
        <v>47.13</v>
      </c>
      <c r="O480" s="3">
        <v>1.071</v>
      </c>
      <c r="P480" s="3">
        <v>6.6950000000000003</v>
      </c>
    </row>
    <row r="481" spans="1:16" x14ac:dyDescent="0.3">
      <c r="A481" s="11">
        <v>11</v>
      </c>
      <c r="B481" s="11" t="s">
        <v>14</v>
      </c>
      <c r="C481" s="11" t="s">
        <v>15</v>
      </c>
      <c r="D481" s="11" t="s">
        <v>16</v>
      </c>
      <c r="E481" s="11">
        <v>3</v>
      </c>
      <c r="F481" s="11" t="s">
        <v>17</v>
      </c>
      <c r="G481" s="11">
        <v>12</v>
      </c>
      <c r="H481" s="11">
        <v>13.567399999999999</v>
      </c>
      <c r="I481" s="11">
        <v>73.615431106918066</v>
      </c>
      <c r="J481" s="11">
        <v>7.07</v>
      </c>
      <c r="K481" s="11">
        <v>3.5796999999999999</v>
      </c>
      <c r="L481" s="11">
        <f t="shared" si="14"/>
        <v>49.367751060820368</v>
      </c>
      <c r="M481" s="11">
        <f t="shared" si="15"/>
        <v>3.1654881316778769</v>
      </c>
      <c r="N481" s="11">
        <v>47.02</v>
      </c>
      <c r="O481" s="11">
        <v>1.548</v>
      </c>
      <c r="P481" s="11">
        <v>9.6739999999999995</v>
      </c>
    </row>
    <row r="482" spans="1:16" x14ac:dyDescent="0.3">
      <c r="A482" s="11">
        <v>18</v>
      </c>
      <c r="B482" s="11" t="s">
        <v>14</v>
      </c>
      <c r="C482" s="11" t="s">
        <v>18</v>
      </c>
      <c r="D482" s="11" t="s">
        <v>16</v>
      </c>
      <c r="E482" s="11">
        <v>2</v>
      </c>
      <c r="F482" s="11" t="s">
        <v>17</v>
      </c>
      <c r="G482" s="11">
        <v>12</v>
      </c>
      <c r="H482" s="11">
        <v>19.3688</v>
      </c>
      <c r="I482" s="11">
        <v>80.183594234025861</v>
      </c>
      <c r="J482" s="11">
        <v>7</v>
      </c>
      <c r="K482" s="11">
        <v>3.8382000000000001</v>
      </c>
      <c r="L482" s="11">
        <f t="shared" si="14"/>
        <v>45.168571428571433</v>
      </c>
      <c r="M482" s="11">
        <f t="shared" si="15"/>
        <v>3.0858132921413035</v>
      </c>
      <c r="N482" s="11">
        <v>47.66</v>
      </c>
      <c r="O482" s="11">
        <v>1.655</v>
      </c>
      <c r="P482" s="11">
        <v>10.342000000000001</v>
      </c>
    </row>
    <row r="483" spans="1:16" x14ac:dyDescent="0.3">
      <c r="A483" s="11">
        <v>24</v>
      </c>
      <c r="B483" s="11" t="s">
        <v>14</v>
      </c>
      <c r="C483" s="11" t="s">
        <v>18</v>
      </c>
      <c r="D483" s="11" t="s">
        <v>16</v>
      </c>
      <c r="E483" s="11">
        <v>1</v>
      </c>
      <c r="F483" s="11" t="s">
        <v>17</v>
      </c>
      <c r="G483" s="11">
        <v>12</v>
      </c>
      <c r="H483" s="11">
        <v>15.951599999999999</v>
      </c>
      <c r="I483" s="11">
        <v>83.501341558213596</v>
      </c>
      <c r="J483" s="11">
        <v>7.0499999999999989</v>
      </c>
      <c r="K483" s="11">
        <v>2.6318000000000001</v>
      </c>
      <c r="L483" s="11">
        <f t="shared" si="14"/>
        <v>62.669503546099278</v>
      </c>
      <c r="M483" s="11">
        <f t="shared" si="15"/>
        <v>3.4702662438782741</v>
      </c>
      <c r="N483" s="11">
        <v>44.89</v>
      </c>
      <c r="O483" s="11">
        <v>1.484</v>
      </c>
      <c r="P483" s="11">
        <v>9.2750000000000004</v>
      </c>
    </row>
    <row r="484" spans="1:16" x14ac:dyDescent="0.3">
      <c r="A484" s="11">
        <v>29</v>
      </c>
      <c r="B484" s="11" t="s">
        <v>14</v>
      </c>
      <c r="C484" s="11" t="s">
        <v>15</v>
      </c>
      <c r="D484" s="11" t="s">
        <v>16</v>
      </c>
      <c r="E484" s="11">
        <v>2</v>
      </c>
      <c r="F484" s="11" t="s">
        <v>17</v>
      </c>
      <c r="G484" s="11">
        <v>12</v>
      </c>
      <c r="H484" s="11">
        <v>13.091100000000001</v>
      </c>
      <c r="I484" s="11">
        <v>73.932671815202696</v>
      </c>
      <c r="J484" s="11">
        <v>6.84</v>
      </c>
      <c r="K484" s="11">
        <v>3.4125000000000001</v>
      </c>
      <c r="L484" s="11">
        <f t="shared" si="14"/>
        <v>50.109649122807021</v>
      </c>
      <c r="M484" s="11">
        <f t="shared" si="15"/>
        <v>3.1802492209113811</v>
      </c>
      <c r="N484" s="11">
        <v>46.53</v>
      </c>
      <c r="O484" s="11">
        <v>1.6339999999999999</v>
      </c>
      <c r="P484" s="11">
        <v>10.211</v>
      </c>
    </row>
    <row r="485" spans="1:16" x14ac:dyDescent="0.3">
      <c r="A485" s="11">
        <v>31</v>
      </c>
      <c r="B485" s="11" t="s">
        <v>14</v>
      </c>
      <c r="C485" s="11" t="s">
        <v>15</v>
      </c>
      <c r="D485" s="11" t="s">
        <v>16</v>
      </c>
      <c r="E485" s="11">
        <v>4</v>
      </c>
      <c r="F485" s="11" t="s">
        <v>17</v>
      </c>
      <c r="G485" s="11">
        <v>12</v>
      </c>
      <c r="H485" s="11">
        <v>17.513200000000001</v>
      </c>
      <c r="I485" s="11">
        <v>80.88755909828015</v>
      </c>
      <c r="J485" s="11">
        <v>7.05</v>
      </c>
      <c r="K485" s="11">
        <v>3.3472</v>
      </c>
      <c r="L485" s="11">
        <f t="shared" si="14"/>
        <v>52.521985815602832</v>
      </c>
      <c r="M485" s="11">
        <f t="shared" si="15"/>
        <v>3.2298100911637655</v>
      </c>
      <c r="N485" s="11">
        <v>46.32</v>
      </c>
      <c r="O485" s="11">
        <v>1.7509999999999999</v>
      </c>
      <c r="P485" s="11">
        <v>10.941000000000001</v>
      </c>
    </row>
    <row r="486" spans="1:16" x14ac:dyDescent="0.3">
      <c r="A486" s="11">
        <v>45</v>
      </c>
      <c r="B486" s="11" t="s">
        <v>14</v>
      </c>
      <c r="C486" s="11" t="s">
        <v>18</v>
      </c>
      <c r="D486" s="11" t="s">
        <v>16</v>
      </c>
      <c r="E486" s="11">
        <v>5</v>
      </c>
      <c r="F486" s="11" t="s">
        <v>17</v>
      </c>
      <c r="G486" s="11">
        <v>12</v>
      </c>
      <c r="H486" s="11">
        <v>23.743300000000001</v>
      </c>
      <c r="I486" s="11">
        <v>93.67484722005787</v>
      </c>
      <c r="J486" s="11">
        <v>7.12</v>
      </c>
      <c r="K486" s="11">
        <v>1.5018</v>
      </c>
      <c r="L486" s="11">
        <f t="shared" si="14"/>
        <v>78.907303370786522</v>
      </c>
      <c r="M486" s="11">
        <f t="shared" si="15"/>
        <v>4.0411499865282385</v>
      </c>
      <c r="N486" s="11">
        <v>36.51</v>
      </c>
      <c r="O486" s="11">
        <v>1.5880000000000001</v>
      </c>
      <c r="P486" s="11">
        <v>9.9280000000000008</v>
      </c>
    </row>
    <row r="487" spans="1:16" x14ac:dyDescent="0.3">
      <c r="A487" s="11">
        <v>59</v>
      </c>
      <c r="B487" s="11" t="s">
        <v>14</v>
      </c>
      <c r="C487" s="11" t="s">
        <v>15</v>
      </c>
      <c r="D487" s="11" t="s">
        <v>16</v>
      </c>
      <c r="E487" s="11">
        <v>5</v>
      </c>
      <c r="F487" s="11" t="s">
        <v>17</v>
      </c>
      <c r="G487" s="11">
        <v>12</v>
      </c>
      <c r="H487" s="11">
        <v>17.6935</v>
      </c>
      <c r="I487" s="11">
        <v>87.108825274818443</v>
      </c>
      <c r="J487" s="11">
        <v>6.97</v>
      </c>
      <c r="K487" s="11">
        <v>2.2808999999999999</v>
      </c>
      <c r="L487" s="11">
        <f t="shared" si="14"/>
        <v>67.275466284074597</v>
      </c>
      <c r="M487" s="11">
        <f t="shared" si="15"/>
        <v>3.6019517726400694</v>
      </c>
      <c r="N487" s="11">
        <v>46.75</v>
      </c>
      <c r="O487" s="11">
        <v>1.694</v>
      </c>
      <c r="P487" s="11">
        <v>10.586</v>
      </c>
    </row>
    <row r="488" spans="1:16" x14ac:dyDescent="0.3">
      <c r="A488" s="11">
        <v>60</v>
      </c>
      <c r="B488" s="11" t="s">
        <v>14</v>
      </c>
      <c r="C488" s="11" t="s">
        <v>15</v>
      </c>
      <c r="D488" s="11" t="s">
        <v>16</v>
      </c>
      <c r="E488" s="11">
        <v>1</v>
      </c>
      <c r="F488" s="11" t="s">
        <v>17</v>
      </c>
      <c r="G488" s="11">
        <v>12</v>
      </c>
      <c r="H488" s="11">
        <v>19.230599999999999</v>
      </c>
      <c r="I488" s="11">
        <v>81.745759362682392</v>
      </c>
      <c r="J488" s="11">
        <v>6.97</v>
      </c>
      <c r="K488" s="11">
        <v>3.5104000000000002</v>
      </c>
      <c r="L488" s="11">
        <f t="shared" si="14"/>
        <v>49.63558106169296</v>
      </c>
      <c r="M488" s="11">
        <f t="shared" si="15"/>
        <v>3.1707918834616589</v>
      </c>
      <c r="N488" s="11">
        <v>46.1</v>
      </c>
      <c r="O488" s="11">
        <v>1.5329999999999999</v>
      </c>
      <c r="P488" s="11">
        <v>9.5809999999999995</v>
      </c>
    </row>
    <row r="489" spans="1:16" x14ac:dyDescent="0.3">
      <c r="A489" s="11">
        <v>123</v>
      </c>
      <c r="B489" s="11" t="s">
        <v>14</v>
      </c>
      <c r="C489" s="11" t="s">
        <v>18</v>
      </c>
      <c r="D489" s="11" t="s">
        <v>19</v>
      </c>
      <c r="E489" s="11">
        <v>4</v>
      </c>
      <c r="F489" s="11" t="s">
        <v>17</v>
      </c>
      <c r="G489" s="11">
        <v>12</v>
      </c>
      <c r="H489" s="11">
        <v>16.367599999999999</v>
      </c>
      <c r="I489" s="11">
        <v>78.688384369119476</v>
      </c>
      <c r="J489" s="11">
        <v>7.08</v>
      </c>
      <c r="K489" s="11">
        <v>3.4882</v>
      </c>
      <c r="L489" s="11">
        <f t="shared" si="14"/>
        <v>50.731638418079093</v>
      </c>
      <c r="M489" s="11">
        <f t="shared" si="15"/>
        <v>3.1927947136411978</v>
      </c>
      <c r="N489" s="11">
        <v>46.41</v>
      </c>
      <c r="O489" s="11">
        <v>1.514</v>
      </c>
      <c r="P489" s="11">
        <v>9.4619999999999997</v>
      </c>
    </row>
    <row r="490" spans="1:16" x14ac:dyDescent="0.3">
      <c r="A490" s="11">
        <v>124</v>
      </c>
      <c r="B490" s="11" t="s">
        <v>14</v>
      </c>
      <c r="C490" s="11" t="s">
        <v>15</v>
      </c>
      <c r="D490" s="11" t="s">
        <v>19</v>
      </c>
      <c r="E490" s="11">
        <v>4</v>
      </c>
      <c r="F490" s="11" t="s">
        <v>17</v>
      </c>
      <c r="G490" s="11">
        <v>12</v>
      </c>
      <c r="H490" s="11">
        <v>16.9072</v>
      </c>
      <c r="I490" s="11">
        <v>78.184442131163053</v>
      </c>
      <c r="J490" s="11">
        <v>7.01</v>
      </c>
      <c r="K490" s="11">
        <v>3.6884000000000001</v>
      </c>
      <c r="L490" s="11">
        <f t="shared" si="14"/>
        <v>47.383737517831662</v>
      </c>
      <c r="M490" s="11">
        <f t="shared" si="15"/>
        <v>3.1270515911516497</v>
      </c>
      <c r="N490" s="11">
        <v>49</v>
      </c>
      <c r="O490" s="11">
        <v>1.395</v>
      </c>
      <c r="P490" s="11">
        <v>8.7210000000000001</v>
      </c>
    </row>
    <row r="491" spans="1:16" x14ac:dyDescent="0.3">
      <c r="A491" s="11">
        <v>130</v>
      </c>
      <c r="B491" s="11" t="s">
        <v>14</v>
      </c>
      <c r="C491" s="11" t="s">
        <v>18</v>
      </c>
      <c r="D491" s="11" t="s">
        <v>19</v>
      </c>
      <c r="E491" s="11">
        <v>5</v>
      </c>
      <c r="F491" s="11" t="s">
        <v>17</v>
      </c>
      <c r="G491" s="11">
        <v>12</v>
      </c>
      <c r="H491" s="11">
        <v>9.8849</v>
      </c>
      <c r="I491" s="11">
        <v>87.366589444506275</v>
      </c>
      <c r="J491" s="11">
        <v>7.01</v>
      </c>
      <c r="K491" s="11">
        <v>1.2487999999999999</v>
      </c>
      <c r="L491" s="11">
        <f t="shared" si="14"/>
        <v>82.185449358059913</v>
      </c>
      <c r="M491" s="11">
        <f t="shared" si="15"/>
        <v>4.2100612606154142</v>
      </c>
      <c r="N491" s="11">
        <v>40.81</v>
      </c>
      <c r="O491" s="11">
        <v>1.774</v>
      </c>
      <c r="P491" s="11">
        <v>11.087</v>
      </c>
    </row>
    <row r="492" spans="1:16" x14ac:dyDescent="0.3">
      <c r="A492" s="11">
        <v>133</v>
      </c>
      <c r="B492" s="11" t="s">
        <v>14</v>
      </c>
      <c r="C492" s="11" t="s">
        <v>15</v>
      </c>
      <c r="D492" s="11" t="s">
        <v>19</v>
      </c>
      <c r="E492" s="11">
        <v>5</v>
      </c>
      <c r="F492" s="11" t="s">
        <v>17</v>
      </c>
      <c r="G492" s="11">
        <v>12</v>
      </c>
      <c r="H492" s="11">
        <v>22.1922</v>
      </c>
      <c r="I492" s="11">
        <v>83.492398230008746</v>
      </c>
      <c r="J492" s="11">
        <v>7.06</v>
      </c>
      <c r="K492" s="11">
        <v>3.6634000000000002</v>
      </c>
      <c r="L492" s="11">
        <f t="shared" si="14"/>
        <v>48.110481586402258</v>
      </c>
      <c r="M492" s="11">
        <f t="shared" si="15"/>
        <v>3.1409600233491717</v>
      </c>
      <c r="N492" s="11">
        <v>48.78</v>
      </c>
      <c r="O492" s="11">
        <v>0.86799999999999999</v>
      </c>
      <c r="P492" s="11">
        <v>5.4279999999999999</v>
      </c>
    </row>
    <row r="493" spans="1:16" x14ac:dyDescent="0.3">
      <c r="A493" s="11">
        <v>143</v>
      </c>
      <c r="B493" s="11" t="s">
        <v>14</v>
      </c>
      <c r="C493" s="11" t="s">
        <v>18</v>
      </c>
      <c r="D493" s="11" t="s">
        <v>19</v>
      </c>
      <c r="E493" s="11">
        <v>3</v>
      </c>
      <c r="F493" s="11" t="s">
        <v>17</v>
      </c>
      <c r="G493" s="11">
        <v>12</v>
      </c>
      <c r="H493" s="11">
        <v>16.150500000000001</v>
      </c>
      <c r="I493" s="11">
        <v>79.104671681991263</v>
      </c>
      <c r="J493" s="11">
        <v>6.98</v>
      </c>
      <c r="K493" s="11">
        <v>3.3746999999999998</v>
      </c>
      <c r="L493" s="11">
        <f t="shared" si="14"/>
        <v>51.651862464183381</v>
      </c>
      <c r="M493" s="11">
        <f t="shared" si="15"/>
        <v>3.2116491350775287</v>
      </c>
      <c r="N493" s="11">
        <v>44.68</v>
      </c>
      <c r="O493" s="11">
        <v>1.548</v>
      </c>
      <c r="P493" s="11">
        <v>9.6750000000000007</v>
      </c>
    </row>
    <row r="494" spans="1:16" x14ac:dyDescent="0.3">
      <c r="A494" s="11">
        <v>153</v>
      </c>
      <c r="B494" s="11" t="s">
        <v>14</v>
      </c>
      <c r="C494" s="11" t="s">
        <v>15</v>
      </c>
      <c r="D494" s="11" t="s">
        <v>19</v>
      </c>
      <c r="E494" s="11">
        <v>2</v>
      </c>
      <c r="F494" s="11" t="s">
        <v>17</v>
      </c>
      <c r="G494" s="11">
        <v>12</v>
      </c>
      <c r="H494" s="11">
        <v>18.575199999999999</v>
      </c>
      <c r="I494" s="11">
        <v>80.040591756750928</v>
      </c>
      <c r="J494" s="11">
        <v>6.98</v>
      </c>
      <c r="K494" s="11">
        <v>3.7075</v>
      </c>
      <c r="L494" s="11">
        <f t="shared" si="14"/>
        <v>46.883954154727796</v>
      </c>
      <c r="M494" s="11">
        <f t="shared" si="15"/>
        <v>3.1175977715323313</v>
      </c>
      <c r="N494" s="11">
        <v>45.72</v>
      </c>
      <c r="O494" s="11">
        <v>1.6060000000000001</v>
      </c>
      <c r="P494" s="11">
        <v>10.038</v>
      </c>
    </row>
    <row r="495" spans="1:16" x14ac:dyDescent="0.3">
      <c r="A495" s="11">
        <v>166</v>
      </c>
      <c r="B495" s="11" t="s">
        <v>14</v>
      </c>
      <c r="C495" s="11" t="s">
        <v>15</v>
      </c>
      <c r="D495" s="11" t="s">
        <v>19</v>
      </c>
      <c r="E495" s="11">
        <v>1</v>
      </c>
      <c r="F495" s="11" t="s">
        <v>17</v>
      </c>
      <c r="G495" s="11">
        <v>12</v>
      </c>
      <c r="H495" s="11">
        <v>17.677900000000001</v>
      </c>
      <c r="I495" s="11">
        <v>79.429117711945423</v>
      </c>
      <c r="J495" s="11">
        <v>6.97</v>
      </c>
      <c r="K495" s="11">
        <v>3.6364999999999998</v>
      </c>
      <c r="L495" s="11">
        <f t="shared" si="14"/>
        <v>47.826398852223818</v>
      </c>
      <c r="M495" s="11">
        <f t="shared" si="15"/>
        <v>3.1355001939479745</v>
      </c>
      <c r="N495" s="11">
        <v>44.39</v>
      </c>
      <c r="O495" s="11">
        <v>1.3879999999999999</v>
      </c>
      <c r="P495" s="11">
        <v>8.673</v>
      </c>
    </row>
    <row r="496" spans="1:16" x14ac:dyDescent="0.3">
      <c r="A496" s="11">
        <v>168</v>
      </c>
      <c r="B496" s="11" t="s">
        <v>14</v>
      </c>
      <c r="C496" s="11" t="s">
        <v>18</v>
      </c>
      <c r="D496" s="11" t="s">
        <v>19</v>
      </c>
      <c r="E496" s="11">
        <v>1</v>
      </c>
      <c r="F496" s="11" t="s">
        <v>17</v>
      </c>
      <c r="G496" s="11">
        <v>12</v>
      </c>
      <c r="H496" s="11">
        <v>17.553999999999998</v>
      </c>
      <c r="I496" s="11">
        <v>83.165090577646112</v>
      </c>
      <c r="J496" s="11">
        <v>7</v>
      </c>
      <c r="K496" s="11">
        <v>2.9552</v>
      </c>
      <c r="L496" s="11">
        <f t="shared" si="14"/>
        <v>57.782857142857146</v>
      </c>
      <c r="M496" s="11">
        <f t="shared" si="15"/>
        <v>3.3472504683804751</v>
      </c>
      <c r="N496" s="11">
        <v>45.85</v>
      </c>
      <c r="O496" s="11">
        <v>1.288</v>
      </c>
      <c r="P496" s="11">
        <v>8.048</v>
      </c>
    </row>
    <row r="497" spans="1:16" x14ac:dyDescent="0.3">
      <c r="A497" s="11">
        <v>176</v>
      </c>
      <c r="B497" s="11" t="s">
        <v>14</v>
      </c>
      <c r="C497" s="11" t="s">
        <v>15</v>
      </c>
      <c r="D497" s="11" t="s">
        <v>19</v>
      </c>
      <c r="E497" s="11">
        <v>3</v>
      </c>
      <c r="F497" s="11" t="s">
        <v>17</v>
      </c>
      <c r="G497" s="11">
        <v>12</v>
      </c>
      <c r="H497" s="11">
        <v>12.4863</v>
      </c>
      <c r="I497" s="11">
        <v>69.01484026493037</v>
      </c>
      <c r="J497" s="11">
        <v>6.94</v>
      </c>
      <c r="K497" s="11">
        <v>3.8689</v>
      </c>
      <c r="L497" s="11">
        <f t="shared" si="14"/>
        <v>44.252161383285305</v>
      </c>
      <c r="M497" s="11">
        <f t="shared" si="15"/>
        <v>3.0692381953943197</v>
      </c>
      <c r="N497" s="11">
        <v>45.45</v>
      </c>
      <c r="O497" s="11">
        <v>1.5489999999999999</v>
      </c>
      <c r="P497" s="11">
        <v>9.6790000000000003</v>
      </c>
    </row>
    <row r="498" spans="1:16" x14ac:dyDescent="0.3">
      <c r="A498" s="11">
        <v>177</v>
      </c>
      <c r="B498" s="11" t="s">
        <v>14</v>
      </c>
      <c r="C498" s="11" t="s">
        <v>18</v>
      </c>
      <c r="D498" s="11" t="s">
        <v>19</v>
      </c>
      <c r="E498" s="11">
        <v>2</v>
      </c>
      <c r="F498" s="11" t="s">
        <v>17</v>
      </c>
      <c r="G498" s="11">
        <v>12</v>
      </c>
      <c r="H498" s="11">
        <v>19.336400000000001</v>
      </c>
      <c r="I498" s="11">
        <v>80.381560166318451</v>
      </c>
      <c r="J498" s="11">
        <v>6.97</v>
      </c>
      <c r="K498" s="11">
        <v>3.7934999999999999</v>
      </c>
      <c r="L498" s="11">
        <f t="shared" si="14"/>
        <v>45.573888091822099</v>
      </c>
      <c r="M498" s="11">
        <f t="shared" si="15"/>
        <v>3.0932327987644403</v>
      </c>
      <c r="N498" s="11">
        <v>45.5</v>
      </c>
      <c r="O498" s="11">
        <v>2.032</v>
      </c>
      <c r="P498" s="11">
        <v>12.7</v>
      </c>
    </row>
    <row r="499" spans="1:16" x14ac:dyDescent="0.3">
      <c r="A499" s="11">
        <v>247</v>
      </c>
      <c r="B499" s="11" t="s">
        <v>20</v>
      </c>
      <c r="C499" s="11" t="s">
        <v>15</v>
      </c>
      <c r="D499" s="11" t="s">
        <v>16</v>
      </c>
      <c r="E499" s="11">
        <v>3</v>
      </c>
      <c r="F499" s="11" t="s">
        <v>17</v>
      </c>
      <c r="G499" s="11">
        <v>12</v>
      </c>
      <c r="H499" s="11">
        <v>26.378599999999999</v>
      </c>
      <c r="I499" s="11">
        <v>85.593246040350891</v>
      </c>
      <c r="J499" s="11">
        <v>7.120000000000001</v>
      </c>
      <c r="K499" s="11">
        <v>3.8003</v>
      </c>
      <c r="L499" s="11">
        <f t="shared" si="14"/>
        <v>46.625000000000007</v>
      </c>
      <c r="M499" s="11">
        <f t="shared" si="15"/>
        <v>3.1127343642273031</v>
      </c>
      <c r="N499" s="11">
        <v>47.75</v>
      </c>
      <c r="O499" s="11">
        <v>1.7330000000000001</v>
      </c>
      <c r="P499" s="11">
        <v>10.834</v>
      </c>
    </row>
    <row r="500" spans="1:16" x14ac:dyDescent="0.3">
      <c r="A500" s="11">
        <v>250</v>
      </c>
      <c r="B500" s="11" t="s">
        <v>20</v>
      </c>
      <c r="C500" s="11" t="s">
        <v>18</v>
      </c>
      <c r="D500" s="11" t="s">
        <v>16</v>
      </c>
      <c r="E500" s="11">
        <v>5</v>
      </c>
      <c r="F500" s="11" t="s">
        <v>17</v>
      </c>
      <c r="G500" s="11">
        <v>12</v>
      </c>
      <c r="H500" s="11">
        <v>27.3367</v>
      </c>
      <c r="I500" s="11">
        <v>86.229135191884907</v>
      </c>
      <c r="J500" s="11">
        <v>6.9600000000000009</v>
      </c>
      <c r="K500" s="11">
        <v>3.7645</v>
      </c>
      <c r="L500" s="11">
        <f t="shared" si="14"/>
        <v>45.912356321839084</v>
      </c>
      <c r="M500" s="11">
        <f t="shared" si="15"/>
        <v>3.0994710738262889</v>
      </c>
      <c r="N500" s="11">
        <v>45.75</v>
      </c>
      <c r="O500" s="11">
        <v>1.7549999999999999</v>
      </c>
      <c r="P500" s="11">
        <v>10.965999999999999</v>
      </c>
    </row>
    <row r="501" spans="1:16" x14ac:dyDescent="0.3">
      <c r="A501" s="11">
        <v>253</v>
      </c>
      <c r="B501" s="11" t="s">
        <v>20</v>
      </c>
      <c r="C501" s="11" t="s">
        <v>15</v>
      </c>
      <c r="D501" s="11" t="s">
        <v>16</v>
      </c>
      <c r="E501" s="11">
        <v>5</v>
      </c>
      <c r="F501" s="11" t="s">
        <v>17</v>
      </c>
      <c r="G501" s="11">
        <v>12</v>
      </c>
      <c r="H501" s="11">
        <v>19.825800000000001</v>
      </c>
      <c r="I501" s="11">
        <v>84.537320057702587</v>
      </c>
      <c r="J501" s="11">
        <v>6.9799999999999995</v>
      </c>
      <c r="K501" s="11">
        <v>3.0655999999999999</v>
      </c>
      <c r="L501" s="11">
        <f t="shared" si="14"/>
        <v>56.080229226361034</v>
      </c>
      <c r="M501" s="11">
        <f t="shared" si="15"/>
        <v>3.3077122577678768</v>
      </c>
      <c r="N501" s="11">
        <v>46.98</v>
      </c>
      <c r="O501" s="11">
        <v>1.7689999999999999</v>
      </c>
      <c r="P501" s="11">
        <v>11.058999999999999</v>
      </c>
    </row>
    <row r="502" spans="1:16" x14ac:dyDescent="0.3">
      <c r="A502" s="11">
        <v>257</v>
      </c>
      <c r="B502" s="11" t="s">
        <v>20</v>
      </c>
      <c r="C502" s="11" t="s">
        <v>15</v>
      </c>
      <c r="D502" s="11" t="s">
        <v>16</v>
      </c>
      <c r="E502" s="11">
        <v>4</v>
      </c>
      <c r="F502" s="11" t="s">
        <v>17</v>
      </c>
      <c r="G502" s="11">
        <v>12</v>
      </c>
      <c r="H502" s="11">
        <v>24.6676</v>
      </c>
      <c r="I502" s="11">
        <v>88.442329209165067</v>
      </c>
      <c r="J502" s="11">
        <v>7.0000000000000009</v>
      </c>
      <c r="K502" s="11">
        <v>2.851</v>
      </c>
      <c r="L502" s="11">
        <f t="shared" si="14"/>
        <v>59.271428571428572</v>
      </c>
      <c r="M502" s="11">
        <f t="shared" si="15"/>
        <v>3.3831469889127788</v>
      </c>
      <c r="N502" s="11">
        <v>47.25</v>
      </c>
      <c r="O502" s="11">
        <v>1.907</v>
      </c>
      <c r="P502" s="11">
        <v>11.92</v>
      </c>
    </row>
    <row r="503" spans="1:16" x14ac:dyDescent="0.3">
      <c r="A503" s="11">
        <v>273</v>
      </c>
      <c r="B503" s="11" t="s">
        <v>20</v>
      </c>
      <c r="C503" s="11" t="s">
        <v>18</v>
      </c>
      <c r="D503" s="11" t="s">
        <v>16</v>
      </c>
      <c r="E503" s="11">
        <v>3</v>
      </c>
      <c r="F503" s="11" t="s">
        <v>17</v>
      </c>
      <c r="G503" s="11">
        <v>12</v>
      </c>
      <c r="H503" s="11">
        <v>17.583100000000002</v>
      </c>
      <c r="I503" s="11">
        <v>83.496084308227793</v>
      </c>
      <c r="J503" s="11">
        <v>7.0600000000000005</v>
      </c>
      <c r="K503" s="11">
        <v>2.9018999999999999</v>
      </c>
      <c r="L503" s="11">
        <f t="shared" si="14"/>
        <v>58.896600566572246</v>
      </c>
      <c r="M503" s="11">
        <f t="shared" si="15"/>
        <v>3.3739860064186771</v>
      </c>
      <c r="N503" s="11">
        <v>46.06</v>
      </c>
      <c r="O503" s="11">
        <v>1.093</v>
      </c>
      <c r="P503" s="11">
        <v>6.8319999999999999</v>
      </c>
    </row>
    <row r="504" spans="1:16" x14ac:dyDescent="0.3">
      <c r="A504" s="11">
        <v>274</v>
      </c>
      <c r="B504" s="11" t="s">
        <v>20</v>
      </c>
      <c r="C504" s="11" t="s">
        <v>18</v>
      </c>
      <c r="D504" s="11" t="s">
        <v>16</v>
      </c>
      <c r="E504" s="11">
        <v>4</v>
      </c>
      <c r="F504" s="11" t="s">
        <v>17</v>
      </c>
      <c r="G504" s="11">
        <v>12</v>
      </c>
      <c r="H504" s="11">
        <v>24.948899999999998</v>
      </c>
      <c r="I504" s="11">
        <v>85.352059609842527</v>
      </c>
      <c r="J504" s="11">
        <v>6.98</v>
      </c>
      <c r="K504" s="11">
        <v>3.6545000000000001</v>
      </c>
      <c r="L504" s="11">
        <f t="shared" si="14"/>
        <v>47.643266475644701</v>
      </c>
      <c r="M504" s="11">
        <f t="shared" si="15"/>
        <v>3.1319962816239721</v>
      </c>
      <c r="N504" s="11">
        <v>46.63</v>
      </c>
      <c r="O504" s="11">
        <v>1.784</v>
      </c>
      <c r="P504" s="11">
        <v>11.151</v>
      </c>
    </row>
    <row r="505" spans="1:16" x14ac:dyDescent="0.3">
      <c r="A505" s="11">
        <v>275</v>
      </c>
      <c r="B505" s="11" t="s">
        <v>20</v>
      </c>
      <c r="C505" s="11" t="s">
        <v>18</v>
      </c>
      <c r="D505" s="11" t="s">
        <v>16</v>
      </c>
      <c r="E505" s="11">
        <v>2</v>
      </c>
      <c r="F505" s="11" t="s">
        <v>17</v>
      </c>
      <c r="G505" s="11">
        <v>12</v>
      </c>
      <c r="H505" s="11">
        <v>26.678999999999998</v>
      </c>
      <c r="I505" s="11">
        <v>84.632482476854449</v>
      </c>
      <c r="J505" s="11">
        <v>7.0499999999999989</v>
      </c>
      <c r="K505" s="11">
        <v>4.0998999999999999</v>
      </c>
      <c r="L505" s="11">
        <f t="shared" si="14"/>
        <v>41.845390070921979</v>
      </c>
      <c r="M505" s="11">
        <f t="shared" si="15"/>
        <v>3.0269716834432647</v>
      </c>
      <c r="N505" s="11">
        <v>47.05</v>
      </c>
      <c r="O505" s="11">
        <v>1.8839999999999999</v>
      </c>
      <c r="P505" s="11">
        <v>11.773999999999999</v>
      </c>
    </row>
    <row r="506" spans="1:16" x14ac:dyDescent="0.3">
      <c r="A506" s="11">
        <v>282</v>
      </c>
      <c r="B506" s="11" t="s">
        <v>20</v>
      </c>
      <c r="C506" s="11" t="s">
        <v>15</v>
      </c>
      <c r="D506" s="11" t="s">
        <v>16</v>
      </c>
      <c r="E506" s="11">
        <v>2</v>
      </c>
      <c r="F506" s="11" t="s">
        <v>17</v>
      </c>
      <c r="G506" s="11">
        <v>12</v>
      </c>
      <c r="H506" s="11">
        <v>17.842099999999999</v>
      </c>
      <c r="I506" s="11">
        <v>82.950997920648348</v>
      </c>
      <c r="J506" s="11">
        <v>7.0600000000000005</v>
      </c>
      <c r="K506" s="11">
        <v>3.0419</v>
      </c>
      <c r="L506" s="11">
        <f t="shared" si="14"/>
        <v>56.91359773371105</v>
      </c>
      <c r="M506" s="11">
        <f t="shared" si="15"/>
        <v>3.3268693811061789</v>
      </c>
      <c r="N506" s="11">
        <v>45.54</v>
      </c>
      <c r="O506" s="11">
        <v>1.9470000000000001</v>
      </c>
      <c r="P506" s="11">
        <v>12.170999999999999</v>
      </c>
    </row>
    <row r="507" spans="1:16" x14ac:dyDescent="0.3">
      <c r="A507" s="11">
        <v>294</v>
      </c>
      <c r="B507" s="11" t="s">
        <v>20</v>
      </c>
      <c r="C507" s="11" t="s">
        <v>15</v>
      </c>
      <c r="D507" s="11" t="s">
        <v>16</v>
      </c>
      <c r="E507" s="11">
        <v>1</v>
      </c>
      <c r="F507" s="11" t="s">
        <v>17</v>
      </c>
      <c r="G507" s="11">
        <v>12</v>
      </c>
      <c r="H507" s="11">
        <v>21.335599999999999</v>
      </c>
      <c r="I507" s="11">
        <v>83.076641856802709</v>
      </c>
      <c r="J507" s="11">
        <v>6.93</v>
      </c>
      <c r="K507" s="11">
        <v>3.6107</v>
      </c>
      <c r="L507" s="11">
        <f t="shared" si="14"/>
        <v>47.897546897546896</v>
      </c>
      <c r="M507" s="11">
        <f t="shared" si="15"/>
        <v>3.136864803625151</v>
      </c>
      <c r="N507" s="11">
        <v>47.11</v>
      </c>
      <c r="O507" s="11">
        <v>1.9419999999999999</v>
      </c>
      <c r="P507" s="11">
        <v>12.137</v>
      </c>
    </row>
    <row r="508" spans="1:16" x14ac:dyDescent="0.3">
      <c r="A508" s="11">
        <v>300</v>
      </c>
      <c r="B508" s="11" t="s">
        <v>20</v>
      </c>
      <c r="C508" s="11" t="s">
        <v>18</v>
      </c>
      <c r="D508" s="11" t="s">
        <v>16</v>
      </c>
      <c r="E508" s="11">
        <v>1</v>
      </c>
      <c r="F508" s="11" t="s">
        <v>17</v>
      </c>
      <c r="G508" s="11">
        <v>12</v>
      </c>
      <c r="H508" s="11">
        <v>22.068200000000001</v>
      </c>
      <c r="I508" s="11">
        <v>83.183494802475963</v>
      </c>
      <c r="J508" s="11">
        <v>6.98</v>
      </c>
      <c r="K508" s="11">
        <v>3.7111000000000001</v>
      </c>
      <c r="L508" s="11">
        <f t="shared" si="14"/>
        <v>46.832378223495702</v>
      </c>
      <c r="M508" s="11">
        <f t="shared" si="15"/>
        <v>3.1166272379323043</v>
      </c>
      <c r="N508" s="11">
        <v>46.62</v>
      </c>
      <c r="O508" s="11">
        <v>1.9410000000000001</v>
      </c>
      <c r="P508" s="11">
        <v>12.129</v>
      </c>
    </row>
    <row r="509" spans="1:16" x14ac:dyDescent="0.3">
      <c r="A509" s="11">
        <v>362</v>
      </c>
      <c r="B509" s="11" t="s">
        <v>20</v>
      </c>
      <c r="C509" s="11" t="s">
        <v>18</v>
      </c>
      <c r="D509" s="11" t="s">
        <v>19</v>
      </c>
      <c r="E509" s="11">
        <v>2</v>
      </c>
      <c r="F509" s="11" t="s">
        <v>17</v>
      </c>
      <c r="G509" s="11">
        <v>12</v>
      </c>
      <c r="H509" s="11">
        <v>23.178999999999998</v>
      </c>
      <c r="I509" s="11">
        <v>80.913758143146822</v>
      </c>
      <c r="J509" s="11">
        <v>7</v>
      </c>
      <c r="K509" s="11">
        <v>4.4240000000000004</v>
      </c>
      <c r="L509" s="11">
        <f t="shared" si="14"/>
        <v>36.799999999999997</v>
      </c>
      <c r="M509" s="11">
        <f t="shared" si="15"/>
        <v>2.9437725346232799</v>
      </c>
      <c r="N509" s="11">
        <v>47.09</v>
      </c>
      <c r="O509" s="11">
        <v>1.415</v>
      </c>
      <c r="P509" s="11">
        <v>8.8409999999999993</v>
      </c>
    </row>
    <row r="510" spans="1:16" x14ac:dyDescent="0.3">
      <c r="A510" s="11">
        <v>363</v>
      </c>
      <c r="B510" s="11" t="s">
        <v>20</v>
      </c>
      <c r="C510" s="11" t="s">
        <v>15</v>
      </c>
      <c r="D510" s="11" t="s">
        <v>19</v>
      </c>
      <c r="E510" s="11">
        <v>5</v>
      </c>
      <c r="F510" s="11" t="s">
        <v>17</v>
      </c>
      <c r="G510" s="11">
        <v>12</v>
      </c>
      <c r="H510" s="11">
        <v>21.626100000000001</v>
      </c>
      <c r="I510" s="11">
        <v>81.056686133884526</v>
      </c>
      <c r="J510" s="11">
        <v>6.98</v>
      </c>
      <c r="K510" s="11">
        <v>4.0967000000000002</v>
      </c>
      <c r="L510" s="11">
        <f t="shared" si="14"/>
        <v>41.308022922636106</v>
      </c>
      <c r="M510" s="11">
        <f t="shared" si="15"/>
        <v>3.0177737949890493</v>
      </c>
      <c r="N510" s="11">
        <v>47.89</v>
      </c>
      <c r="O510" s="11">
        <v>1.4970000000000001</v>
      </c>
      <c r="P510" s="11">
        <v>9.3580000000000005</v>
      </c>
    </row>
    <row r="511" spans="1:16" x14ac:dyDescent="0.3">
      <c r="A511" s="11">
        <v>364</v>
      </c>
      <c r="B511" s="11" t="s">
        <v>20</v>
      </c>
      <c r="C511" s="11" t="s">
        <v>18</v>
      </c>
      <c r="D511" s="11" t="s">
        <v>19</v>
      </c>
      <c r="E511" s="11">
        <v>5</v>
      </c>
      <c r="F511" s="11" t="s">
        <v>17</v>
      </c>
      <c r="G511" s="11">
        <v>12</v>
      </c>
      <c r="H511" s="11">
        <v>22.040900000000001</v>
      </c>
      <c r="I511" s="11">
        <v>84.447549782449897</v>
      </c>
      <c r="J511" s="11">
        <v>7.02</v>
      </c>
      <c r="K511" s="11">
        <v>3.4279000000000002</v>
      </c>
      <c r="L511" s="11">
        <f t="shared" si="14"/>
        <v>51.169515669515661</v>
      </c>
      <c r="M511" s="11">
        <f t="shared" si="15"/>
        <v>3.201722039044272</v>
      </c>
      <c r="N511" s="11">
        <v>44.93</v>
      </c>
      <c r="O511" s="11">
        <v>1.4730000000000001</v>
      </c>
      <c r="P511" s="11">
        <v>9.2070000000000007</v>
      </c>
    </row>
    <row r="512" spans="1:16" x14ac:dyDescent="0.3">
      <c r="A512" s="11">
        <v>366</v>
      </c>
      <c r="B512" s="11" t="s">
        <v>20</v>
      </c>
      <c r="C512" s="11" t="s">
        <v>15</v>
      </c>
      <c r="D512" s="11" t="s">
        <v>19</v>
      </c>
      <c r="E512" s="11">
        <v>1</v>
      </c>
      <c r="F512" s="11" t="s">
        <v>17</v>
      </c>
      <c r="G512" s="11">
        <v>12</v>
      </c>
      <c r="H512" s="11">
        <v>17.001799999999999</v>
      </c>
      <c r="I512" s="11">
        <v>75.516121822395263</v>
      </c>
      <c r="J512" s="11">
        <v>7</v>
      </c>
      <c r="K512" s="11">
        <v>4.1627000000000001</v>
      </c>
      <c r="L512" s="11">
        <f t="shared" si="14"/>
        <v>40.532857142857139</v>
      </c>
      <c r="M512" s="11">
        <f t="shared" si="15"/>
        <v>3.0046528966429737</v>
      </c>
      <c r="N512" s="11">
        <v>45.78</v>
      </c>
      <c r="O512" s="11">
        <v>1.2769999999999999</v>
      </c>
      <c r="P512" s="11">
        <v>7.9829999999999997</v>
      </c>
    </row>
    <row r="513" spans="1:16" x14ac:dyDescent="0.3">
      <c r="A513" s="11">
        <v>369</v>
      </c>
      <c r="B513" s="11" t="s">
        <v>20</v>
      </c>
      <c r="C513" s="11" t="s">
        <v>15</v>
      </c>
      <c r="D513" s="11" t="s">
        <v>19</v>
      </c>
      <c r="E513" s="11">
        <v>3</v>
      </c>
      <c r="F513" s="11" t="s">
        <v>17</v>
      </c>
      <c r="G513" s="11">
        <v>12</v>
      </c>
      <c r="H513" s="11">
        <v>17.419799999999999</v>
      </c>
      <c r="I513" s="11">
        <v>77.717310187258164</v>
      </c>
      <c r="J513" s="11">
        <v>7.05</v>
      </c>
      <c r="K513" s="11">
        <v>3.8816000000000002</v>
      </c>
      <c r="L513" s="11">
        <f t="shared" si="14"/>
        <v>44.941843971631201</v>
      </c>
      <c r="M513" s="11">
        <f t="shared" si="15"/>
        <v>3.0816868268445834</v>
      </c>
      <c r="N513" s="11">
        <v>46.99</v>
      </c>
      <c r="O513" s="11">
        <v>1.546</v>
      </c>
      <c r="P513" s="11">
        <v>9.6620000000000008</v>
      </c>
    </row>
    <row r="514" spans="1:16" x14ac:dyDescent="0.3">
      <c r="A514" s="11">
        <v>390</v>
      </c>
      <c r="B514" s="11" t="s">
        <v>20</v>
      </c>
      <c r="C514" s="11" t="s">
        <v>18</v>
      </c>
      <c r="D514" s="11" t="s">
        <v>19</v>
      </c>
      <c r="E514" s="11">
        <v>4</v>
      </c>
      <c r="F514" s="11" t="s">
        <v>17</v>
      </c>
      <c r="G514" s="11">
        <v>12</v>
      </c>
      <c r="H514" s="11">
        <v>22.575399999999998</v>
      </c>
      <c r="I514" s="11">
        <v>82.026896533394762</v>
      </c>
      <c r="J514" s="11">
        <v>7.01</v>
      </c>
      <c r="K514" s="11">
        <v>4.0575000000000001</v>
      </c>
      <c r="L514" s="11">
        <f t="shared" si="14"/>
        <v>42.11840228245363</v>
      </c>
      <c r="M514" s="11">
        <f t="shared" si="15"/>
        <v>3.0316773304278897</v>
      </c>
      <c r="N514" s="11">
        <v>46.15</v>
      </c>
      <c r="O514" s="11">
        <v>1.359</v>
      </c>
      <c r="P514" s="11">
        <v>8.4909999999999997</v>
      </c>
    </row>
    <row r="515" spans="1:16" x14ac:dyDescent="0.3">
      <c r="A515" s="11">
        <v>396</v>
      </c>
      <c r="B515" s="11" t="s">
        <v>20</v>
      </c>
      <c r="C515" s="11" t="s">
        <v>18</v>
      </c>
      <c r="D515" s="11" t="s">
        <v>19</v>
      </c>
      <c r="E515" s="11">
        <v>3</v>
      </c>
      <c r="F515" s="11" t="s">
        <v>17</v>
      </c>
      <c r="G515" s="11">
        <v>12</v>
      </c>
      <c r="H515" s="11">
        <v>18.580400000000001</v>
      </c>
      <c r="I515" s="11">
        <v>77.825019913457197</v>
      </c>
      <c r="J515" s="11">
        <v>7.08</v>
      </c>
      <c r="K515" s="11">
        <v>4.1201999999999996</v>
      </c>
      <c r="L515" s="11">
        <f t="shared" ref="L515:L578" si="16">((J515-K515)/J515)*100</f>
        <v>41.805084745762713</v>
      </c>
      <c r="M515" s="11">
        <f t="shared" ref="M515:M578" si="17">-LN((K515/J515)/G515)</f>
        <v>3.0262788516210803</v>
      </c>
      <c r="N515" s="11">
        <v>46.85</v>
      </c>
      <c r="O515" s="11">
        <v>1.421</v>
      </c>
      <c r="P515" s="11">
        <v>8.8829999999999991</v>
      </c>
    </row>
    <row r="516" spans="1:16" x14ac:dyDescent="0.3">
      <c r="A516" s="11">
        <v>404</v>
      </c>
      <c r="B516" s="11" t="s">
        <v>20</v>
      </c>
      <c r="C516" s="11" t="s">
        <v>18</v>
      </c>
      <c r="D516" s="11" t="s">
        <v>19</v>
      </c>
      <c r="E516" s="11">
        <v>1</v>
      </c>
      <c r="F516" s="11" t="s">
        <v>17</v>
      </c>
      <c r="G516" s="11">
        <v>12</v>
      </c>
      <c r="H516" s="11">
        <v>23.072399999999998</v>
      </c>
      <c r="I516" s="11">
        <v>84.388706853209897</v>
      </c>
      <c r="J516" s="11">
        <v>7.01</v>
      </c>
      <c r="K516" s="11">
        <v>3.6019000000000001</v>
      </c>
      <c r="L516" s="11">
        <f t="shared" si="16"/>
        <v>48.617689015691866</v>
      </c>
      <c r="M516" s="11">
        <f t="shared" si="17"/>
        <v>3.1507828668203635</v>
      </c>
      <c r="N516" s="11">
        <v>45.51</v>
      </c>
      <c r="O516" s="11">
        <v>1.45</v>
      </c>
      <c r="P516" s="11">
        <v>9.0660000000000007</v>
      </c>
    </row>
    <row r="517" spans="1:16" x14ac:dyDescent="0.3">
      <c r="A517" s="11">
        <v>405</v>
      </c>
      <c r="B517" s="11" t="s">
        <v>20</v>
      </c>
      <c r="C517" s="11" t="s">
        <v>15</v>
      </c>
      <c r="D517" s="11" t="s">
        <v>19</v>
      </c>
      <c r="E517" s="11">
        <v>2</v>
      </c>
      <c r="F517" s="11" t="s">
        <v>17</v>
      </c>
      <c r="G517" s="11">
        <v>12</v>
      </c>
      <c r="H517" s="11">
        <v>18.3215</v>
      </c>
      <c r="I517" s="11">
        <v>82.810905220642411</v>
      </c>
      <c r="J517" s="11">
        <v>7</v>
      </c>
      <c r="K517" s="11">
        <v>3.1493000000000002</v>
      </c>
      <c r="L517" s="11">
        <f t="shared" si="16"/>
        <v>55.009999999999991</v>
      </c>
      <c r="M517" s="11">
        <f t="shared" si="17"/>
        <v>3.2836365929230107</v>
      </c>
      <c r="N517" s="11">
        <v>46.87</v>
      </c>
      <c r="O517" s="11">
        <v>1.391</v>
      </c>
      <c r="P517" s="11">
        <v>8.8670000000000009</v>
      </c>
    </row>
    <row r="518" spans="1:16" x14ac:dyDescent="0.3">
      <c r="A518" s="11">
        <v>482</v>
      </c>
      <c r="B518" s="11" t="s">
        <v>21</v>
      </c>
      <c r="C518" s="11" t="s">
        <v>18</v>
      </c>
      <c r="D518" s="11" t="s">
        <v>16</v>
      </c>
      <c r="E518" s="11">
        <v>4</v>
      </c>
      <c r="F518" s="11" t="s">
        <v>17</v>
      </c>
      <c r="G518" s="11">
        <v>12</v>
      </c>
      <c r="H518" s="11">
        <v>20.501799999999999</v>
      </c>
      <c r="I518" s="11">
        <v>18.207181808426579</v>
      </c>
      <c r="J518" s="11">
        <v>6.99</v>
      </c>
      <c r="K518" s="11">
        <v>3.7328000000000001</v>
      </c>
      <c r="L518" s="11">
        <f t="shared" si="16"/>
        <v>46.597997138769671</v>
      </c>
      <c r="M518" s="11">
        <f t="shared" si="17"/>
        <v>3.1122285837486907</v>
      </c>
      <c r="N518" s="11">
        <v>46.88</v>
      </c>
      <c r="O518" s="11">
        <v>1.369</v>
      </c>
      <c r="P518" s="11">
        <v>8.5540000000000003</v>
      </c>
    </row>
    <row r="519" spans="1:16" x14ac:dyDescent="0.3">
      <c r="A519" s="11">
        <v>483</v>
      </c>
      <c r="B519" s="11" t="s">
        <v>21</v>
      </c>
      <c r="C519" s="11" t="s">
        <v>15</v>
      </c>
      <c r="D519" s="11" t="s">
        <v>16</v>
      </c>
      <c r="E519" s="11">
        <v>4</v>
      </c>
      <c r="F519" s="11" t="s">
        <v>17</v>
      </c>
      <c r="G519" s="11">
        <v>12</v>
      </c>
      <c r="H519" s="11">
        <v>23.318999999999999</v>
      </c>
      <c r="I519" s="11">
        <v>15.508812556284573</v>
      </c>
      <c r="J519" s="11">
        <v>7.06</v>
      </c>
      <c r="K519" s="11">
        <v>3.6164999999999998</v>
      </c>
      <c r="L519" s="11">
        <f t="shared" si="16"/>
        <v>48.774787535410766</v>
      </c>
      <c r="M519" s="11">
        <f t="shared" si="17"/>
        <v>3.1538449939859525</v>
      </c>
      <c r="N519" s="11">
        <v>46.69</v>
      </c>
      <c r="O519" s="11">
        <v>1.8080000000000001</v>
      </c>
      <c r="P519" s="11">
        <v>11.3</v>
      </c>
    </row>
    <row r="520" spans="1:16" x14ac:dyDescent="0.3">
      <c r="A520" s="11">
        <v>510</v>
      </c>
      <c r="B520" s="11" t="s">
        <v>21</v>
      </c>
      <c r="C520" s="11" t="s">
        <v>18</v>
      </c>
      <c r="D520" s="11" t="s">
        <v>16</v>
      </c>
      <c r="E520" s="11">
        <v>1</v>
      </c>
      <c r="F520" s="11" t="s">
        <v>17</v>
      </c>
      <c r="G520" s="11">
        <v>12</v>
      </c>
      <c r="H520" s="11">
        <v>20.396799999999999</v>
      </c>
      <c r="I520" s="11">
        <v>16.226074678380925</v>
      </c>
      <c r="J520" s="11">
        <v>6.96</v>
      </c>
      <c r="K520" s="11">
        <v>3.3096000000000001</v>
      </c>
      <c r="L520" s="11">
        <f t="shared" si="16"/>
        <v>52.448275862068961</v>
      </c>
      <c r="M520" s="11">
        <f t="shared" si="17"/>
        <v>3.2282587879692639</v>
      </c>
      <c r="N520" s="11">
        <v>48.42</v>
      </c>
      <c r="O520" s="11">
        <v>1.486</v>
      </c>
      <c r="P520" s="11">
        <v>9.2870000000000008</v>
      </c>
    </row>
    <row r="521" spans="1:16" x14ac:dyDescent="0.3">
      <c r="A521" s="11">
        <v>523</v>
      </c>
      <c r="B521" s="11" t="s">
        <v>21</v>
      </c>
      <c r="C521" s="11" t="s">
        <v>15</v>
      </c>
      <c r="D521" s="11" t="s">
        <v>16</v>
      </c>
      <c r="E521" s="11">
        <v>3</v>
      </c>
      <c r="F521" s="11" t="s">
        <v>17</v>
      </c>
      <c r="G521" s="11">
        <v>12</v>
      </c>
      <c r="H521" s="11">
        <v>14.161300000000001</v>
      </c>
      <c r="I521" s="11">
        <v>25.195426973512319</v>
      </c>
      <c r="J521" s="11">
        <v>7.03</v>
      </c>
      <c r="K521" s="11">
        <v>3.5680000000000001</v>
      </c>
      <c r="L521" s="11">
        <f t="shared" si="16"/>
        <v>49.246088193456615</v>
      </c>
      <c r="M521" s="11">
        <f t="shared" si="17"/>
        <v>3.1630881408928109</v>
      </c>
      <c r="N521" s="11">
        <v>47.04</v>
      </c>
      <c r="O521" s="11">
        <v>1.5149999999999999</v>
      </c>
      <c r="P521" s="11">
        <v>9.468</v>
      </c>
    </row>
    <row r="522" spans="1:16" x14ac:dyDescent="0.3">
      <c r="A522" s="11">
        <v>524</v>
      </c>
      <c r="B522" s="11" t="s">
        <v>21</v>
      </c>
      <c r="C522" s="11" t="s">
        <v>15</v>
      </c>
      <c r="D522" s="11" t="s">
        <v>16</v>
      </c>
      <c r="E522" s="11">
        <v>2</v>
      </c>
      <c r="F522" s="11" t="s">
        <v>17</v>
      </c>
      <c r="G522" s="11">
        <v>12</v>
      </c>
      <c r="H522" s="11">
        <v>18.061800000000002</v>
      </c>
      <c r="I522" s="11">
        <v>18.97429935000941</v>
      </c>
      <c r="J522" s="11">
        <v>6.92</v>
      </c>
      <c r="K522" s="11">
        <v>3.4270999999999998</v>
      </c>
      <c r="L522" s="11">
        <f t="shared" si="16"/>
        <v>50.475433526011557</v>
      </c>
      <c r="M522" s="11">
        <f t="shared" si="17"/>
        <v>3.1876079969099838</v>
      </c>
      <c r="N522" s="11">
        <v>47.11</v>
      </c>
      <c r="O522" s="11">
        <v>1.827</v>
      </c>
      <c r="P522" s="11">
        <v>11.42</v>
      </c>
    </row>
    <row r="523" spans="1:16" x14ac:dyDescent="0.3">
      <c r="A523" s="11">
        <v>526</v>
      </c>
      <c r="B523" s="11" t="s">
        <v>21</v>
      </c>
      <c r="C523" s="11" t="s">
        <v>18</v>
      </c>
      <c r="D523" s="11" t="s">
        <v>16</v>
      </c>
      <c r="E523" s="11">
        <v>3</v>
      </c>
      <c r="F523" s="11" t="s">
        <v>17</v>
      </c>
      <c r="G523" s="11">
        <v>12</v>
      </c>
      <c r="H523" s="11">
        <v>17.3002</v>
      </c>
      <c r="I523" s="11">
        <v>19.925781204841559</v>
      </c>
      <c r="J523" s="11">
        <v>7</v>
      </c>
      <c r="K523" s="11">
        <v>3.4472</v>
      </c>
      <c r="L523" s="11">
        <f t="shared" si="16"/>
        <v>50.754285714285722</v>
      </c>
      <c r="M523" s="11">
        <f t="shared" si="17"/>
        <v>3.1932544915238221</v>
      </c>
      <c r="N523" s="11">
        <v>42.08</v>
      </c>
      <c r="O523" s="11">
        <v>1.83</v>
      </c>
      <c r="P523" s="11">
        <v>9.5609999999999999</v>
      </c>
    </row>
    <row r="524" spans="1:16" x14ac:dyDescent="0.3">
      <c r="A524" s="11">
        <v>533</v>
      </c>
      <c r="B524" s="11" t="s">
        <v>21</v>
      </c>
      <c r="C524" s="11" t="s">
        <v>15</v>
      </c>
      <c r="D524" s="11" t="s">
        <v>16</v>
      </c>
      <c r="E524" s="11">
        <v>5</v>
      </c>
      <c r="F524" s="11" t="s">
        <v>17</v>
      </c>
      <c r="G524" s="11">
        <v>12</v>
      </c>
      <c r="H524" s="11">
        <v>25.177900000000001</v>
      </c>
      <c r="I524" s="11">
        <v>14.569920446105513</v>
      </c>
      <c r="J524" s="11">
        <v>6.95</v>
      </c>
      <c r="K524" s="11">
        <v>3.6684000000000001</v>
      </c>
      <c r="L524" s="11">
        <f t="shared" si="16"/>
        <v>47.217266187050363</v>
      </c>
      <c r="M524" s="11">
        <f t="shared" si="17"/>
        <v>3.1238927096620488</v>
      </c>
      <c r="N524" s="11">
        <v>47.09</v>
      </c>
      <c r="O524" s="11">
        <v>1.9410000000000001</v>
      </c>
      <c r="P524" s="11">
        <v>12.132</v>
      </c>
    </row>
    <row r="525" spans="1:16" x14ac:dyDescent="0.3">
      <c r="A525" s="11">
        <v>604</v>
      </c>
      <c r="B525" s="11" t="s">
        <v>21</v>
      </c>
      <c r="C525" s="11" t="s">
        <v>18</v>
      </c>
      <c r="D525" s="11" t="s">
        <v>19</v>
      </c>
      <c r="E525" s="11">
        <v>1</v>
      </c>
      <c r="F525" s="11" t="s">
        <v>17</v>
      </c>
      <c r="G525" s="11">
        <v>12</v>
      </c>
      <c r="H525" s="11">
        <v>15.0024</v>
      </c>
      <c r="I525" s="11">
        <v>18.067109262517999</v>
      </c>
      <c r="J525" s="11">
        <v>6.92</v>
      </c>
      <c r="K525" s="11">
        <v>2.7105000000000001</v>
      </c>
      <c r="L525" s="11">
        <f t="shared" si="16"/>
        <v>60.830924855491332</v>
      </c>
      <c r="M525" s="11">
        <f t="shared" si="17"/>
        <v>3.4221892996993226</v>
      </c>
      <c r="N525" s="11">
        <v>47.73</v>
      </c>
      <c r="O525" s="11">
        <v>3.5539999999999998</v>
      </c>
      <c r="P525" s="11">
        <v>22.213999999999999</v>
      </c>
    </row>
    <row r="526" spans="1:16" x14ac:dyDescent="0.3">
      <c r="A526" s="11">
        <v>613</v>
      </c>
      <c r="B526" s="11" t="s">
        <v>21</v>
      </c>
      <c r="C526" s="11" t="s">
        <v>15</v>
      </c>
      <c r="D526" s="11" t="s">
        <v>19</v>
      </c>
      <c r="E526" s="11">
        <v>1</v>
      </c>
      <c r="F526" s="11" t="s">
        <v>17</v>
      </c>
      <c r="G526" s="11">
        <v>12</v>
      </c>
      <c r="H526" s="11">
        <v>16.850899999999999</v>
      </c>
      <c r="I526" s="11">
        <v>19.61260229423948</v>
      </c>
      <c r="J526" s="11">
        <v>7.03</v>
      </c>
      <c r="K526" s="11">
        <v>3.3048999999999999</v>
      </c>
      <c r="L526" s="11">
        <f t="shared" si="16"/>
        <v>52.988620199146517</v>
      </c>
      <c r="M526" s="11">
        <f t="shared" si="17"/>
        <v>3.2396871399507639</v>
      </c>
      <c r="N526" s="11">
        <v>47.27</v>
      </c>
      <c r="O526" s="11">
        <v>1.8660000000000001</v>
      </c>
      <c r="P526" s="11">
        <v>11.66</v>
      </c>
    </row>
    <row r="527" spans="1:16" x14ac:dyDescent="0.3">
      <c r="A527" s="11">
        <v>618</v>
      </c>
      <c r="B527" s="11" t="s">
        <v>21</v>
      </c>
      <c r="C527" s="11" t="s">
        <v>15</v>
      </c>
      <c r="D527" s="11" t="s">
        <v>19</v>
      </c>
      <c r="E527" s="11">
        <v>3</v>
      </c>
      <c r="F527" s="11" t="s">
        <v>17</v>
      </c>
      <c r="G527" s="11">
        <v>12</v>
      </c>
      <c r="H527" s="11">
        <v>16.8992</v>
      </c>
      <c r="I527" s="11">
        <v>22.477987123650824</v>
      </c>
      <c r="J527" s="11">
        <v>6.94</v>
      </c>
      <c r="K527" s="11">
        <v>3.7986</v>
      </c>
      <c r="L527" s="11">
        <f t="shared" si="16"/>
        <v>45.265129682997127</v>
      </c>
      <c r="M527" s="11">
        <f t="shared" si="17"/>
        <v>3.0875758465107146</v>
      </c>
      <c r="N527" s="11">
        <v>46.75</v>
      </c>
      <c r="O527" s="11">
        <v>1.242</v>
      </c>
      <c r="P527" s="11">
        <v>7.76</v>
      </c>
    </row>
    <row r="528" spans="1:16" x14ac:dyDescent="0.3">
      <c r="A528" s="11">
        <v>633</v>
      </c>
      <c r="B528" s="11" t="s">
        <v>21</v>
      </c>
      <c r="C528" s="11" t="s">
        <v>18</v>
      </c>
      <c r="D528" s="11" t="s">
        <v>19</v>
      </c>
      <c r="E528" s="11">
        <v>5</v>
      </c>
      <c r="F528" s="11" t="s">
        <v>17</v>
      </c>
      <c r="G528" s="11">
        <v>12</v>
      </c>
      <c r="H528" s="11">
        <v>16.008900000000001</v>
      </c>
      <c r="I528" s="11">
        <v>18.331053351573185</v>
      </c>
      <c r="J528" s="11">
        <v>7.04</v>
      </c>
      <c r="K528" s="11">
        <v>2.9346000000000001</v>
      </c>
      <c r="L528" s="11">
        <f t="shared" si="16"/>
        <v>58.315340909090907</v>
      </c>
      <c r="M528" s="11">
        <f t="shared" si="17"/>
        <v>3.3599436621667218</v>
      </c>
      <c r="N528" s="11">
        <v>47.79</v>
      </c>
      <c r="O528" s="11">
        <v>2.1190000000000002</v>
      </c>
      <c r="P528" s="11">
        <v>13.241</v>
      </c>
    </row>
    <row r="529" spans="1:16" x14ac:dyDescent="0.3">
      <c r="A529" s="11">
        <v>635</v>
      </c>
      <c r="B529" s="11" t="s">
        <v>21</v>
      </c>
      <c r="C529" s="11" t="s">
        <v>18</v>
      </c>
      <c r="D529" s="11" t="s">
        <v>19</v>
      </c>
      <c r="E529" s="11">
        <v>3</v>
      </c>
      <c r="F529" s="11" t="s">
        <v>17</v>
      </c>
      <c r="G529" s="11">
        <v>12</v>
      </c>
      <c r="H529" s="11">
        <v>13.7691</v>
      </c>
      <c r="I529" s="11">
        <v>22.24255761088234</v>
      </c>
      <c r="J529" s="11">
        <v>7.05</v>
      </c>
      <c r="K529" s="11">
        <v>3.0626000000000002</v>
      </c>
      <c r="L529" s="11">
        <f t="shared" si="16"/>
        <v>56.558865248226944</v>
      </c>
      <c r="M529" s="11">
        <f t="shared" si="17"/>
        <v>3.3186700382132073</v>
      </c>
      <c r="N529" s="11">
        <v>43.09</v>
      </c>
      <c r="O529" s="11">
        <v>2.7280000000000002</v>
      </c>
      <c r="P529" s="11">
        <v>17.047000000000001</v>
      </c>
    </row>
    <row r="530" spans="1:16" x14ac:dyDescent="0.3">
      <c r="A530" s="11">
        <v>644</v>
      </c>
      <c r="B530" s="11" t="s">
        <v>21</v>
      </c>
      <c r="C530" s="11" t="s">
        <v>15</v>
      </c>
      <c r="D530" s="11" t="s">
        <v>19</v>
      </c>
      <c r="E530" s="11">
        <v>5</v>
      </c>
      <c r="F530" s="11" t="s">
        <v>17</v>
      </c>
      <c r="G530" s="11">
        <v>12</v>
      </c>
      <c r="H530" s="11">
        <v>15.8148</v>
      </c>
      <c r="I530" s="11">
        <v>19.364772238662521</v>
      </c>
      <c r="J530" s="11">
        <v>6.97</v>
      </c>
      <c r="K530" s="11">
        <v>3.0625</v>
      </c>
      <c r="L530" s="11">
        <f t="shared" si="16"/>
        <v>56.061692969870869</v>
      </c>
      <c r="M530" s="11">
        <f t="shared" si="17"/>
        <v>3.3072902986895873</v>
      </c>
      <c r="N530" s="11">
        <v>46.83</v>
      </c>
      <c r="O530" s="11">
        <v>2.5979999999999999</v>
      </c>
      <c r="P530" s="11">
        <v>16.239999999999998</v>
      </c>
    </row>
    <row r="531" spans="1:16" x14ac:dyDescent="0.3">
      <c r="A531" s="11">
        <v>659</v>
      </c>
      <c r="B531" s="11" t="s">
        <v>21</v>
      </c>
      <c r="C531" s="11" t="s">
        <v>18</v>
      </c>
      <c r="D531" s="11" t="s">
        <v>19</v>
      </c>
      <c r="E531" s="11">
        <v>2</v>
      </c>
      <c r="F531" s="11" t="s">
        <v>17</v>
      </c>
      <c r="G531" s="11">
        <v>12</v>
      </c>
      <c r="H531" s="11">
        <v>18.357700000000001</v>
      </c>
      <c r="I531" s="11">
        <v>16.780424562989914</v>
      </c>
      <c r="J531" s="11">
        <v>6.97</v>
      </c>
      <c r="K531" s="11">
        <v>3.0804999999999998</v>
      </c>
      <c r="L531" s="11">
        <f t="shared" si="16"/>
        <v>55.803443328550941</v>
      </c>
      <c r="M531" s="11">
        <f t="shared" si="17"/>
        <v>3.3014299530879447</v>
      </c>
      <c r="N531" s="11">
        <v>41.8</v>
      </c>
      <c r="O531" s="11">
        <v>1.3180000000000001</v>
      </c>
      <c r="P531" s="11">
        <v>8.2370000000000001</v>
      </c>
    </row>
    <row r="532" spans="1:16" x14ac:dyDescent="0.3">
      <c r="A532" s="11" t="s">
        <v>24</v>
      </c>
      <c r="B532" s="11" t="s">
        <v>21</v>
      </c>
      <c r="C532" s="11" t="s">
        <v>18</v>
      </c>
      <c r="D532" s="11" t="s">
        <v>16</v>
      </c>
      <c r="E532" s="11">
        <v>2</v>
      </c>
      <c r="F532" s="11" t="s">
        <v>17</v>
      </c>
      <c r="G532" s="11">
        <v>12</v>
      </c>
      <c r="H532" s="11">
        <v>22.385200000000001</v>
      </c>
      <c r="I532" s="11">
        <v>17.789879027214408</v>
      </c>
      <c r="J532" s="11">
        <v>7</v>
      </c>
      <c r="K532" s="11">
        <v>3.9823</v>
      </c>
      <c r="L532" s="11">
        <f t="shared" si="16"/>
        <v>43.11</v>
      </c>
      <c r="M532" s="11">
        <f t="shared" si="17"/>
        <v>3.0489572570135359</v>
      </c>
      <c r="N532" s="11">
        <v>42.08</v>
      </c>
      <c r="O532" s="11">
        <v>1.482</v>
      </c>
      <c r="P532" s="11">
        <v>9.2650000000000006</v>
      </c>
    </row>
    <row r="533" spans="1:16" x14ac:dyDescent="0.3">
      <c r="A533" s="11" t="s">
        <v>25</v>
      </c>
      <c r="B533" s="11" t="s">
        <v>21</v>
      </c>
      <c r="C533" s="11" t="s">
        <v>18</v>
      </c>
      <c r="D533" s="11" t="s">
        <v>16</v>
      </c>
      <c r="E533" s="11">
        <v>5</v>
      </c>
      <c r="F533" s="11" t="s">
        <v>17</v>
      </c>
      <c r="G533" s="11">
        <v>12</v>
      </c>
      <c r="H533" s="11">
        <v>14.9291</v>
      </c>
      <c r="I533" s="11">
        <v>16.791367195611258</v>
      </c>
      <c r="J533" s="11">
        <v>7</v>
      </c>
      <c r="K533" s="11">
        <v>2.5068000000000001</v>
      </c>
      <c r="L533" s="11">
        <f t="shared" si="16"/>
        <v>64.188571428571422</v>
      </c>
      <c r="M533" s="11">
        <f t="shared" si="17"/>
        <v>3.5118097594749305</v>
      </c>
      <c r="N533" s="11">
        <v>42.08</v>
      </c>
      <c r="O533" s="11">
        <v>1.756</v>
      </c>
      <c r="P533" s="11">
        <v>10.973000000000001</v>
      </c>
    </row>
    <row r="534" spans="1:16" x14ac:dyDescent="0.3">
      <c r="A534" s="11" t="s">
        <v>26</v>
      </c>
      <c r="B534" s="11" t="s">
        <v>21</v>
      </c>
      <c r="C534" s="11" t="s">
        <v>18</v>
      </c>
      <c r="D534" s="11" t="s">
        <v>19</v>
      </c>
      <c r="E534" s="11">
        <v>4</v>
      </c>
      <c r="F534" s="11" t="s">
        <v>17</v>
      </c>
      <c r="G534" s="11">
        <v>12</v>
      </c>
      <c r="H534" s="11">
        <v>10.765599999999999</v>
      </c>
      <c r="I534" s="11">
        <v>17.315337742438881</v>
      </c>
      <c r="J534" s="11">
        <v>7</v>
      </c>
      <c r="K534" s="11">
        <v>1.8641000000000001</v>
      </c>
      <c r="L534" s="11">
        <f t="shared" si="16"/>
        <v>73.36999999999999</v>
      </c>
      <c r="M534" s="11">
        <f t="shared" si="17"/>
        <v>3.8080384359502508</v>
      </c>
      <c r="N534" s="11">
        <v>47.15</v>
      </c>
      <c r="O534" s="11">
        <v>2.863</v>
      </c>
      <c r="P534" s="11">
        <v>17.890999999999998</v>
      </c>
    </row>
    <row r="535" spans="1:16" x14ac:dyDescent="0.3">
      <c r="A535" s="11" t="s">
        <v>27</v>
      </c>
      <c r="B535" s="11" t="s">
        <v>21</v>
      </c>
      <c r="C535" s="11" t="s">
        <v>15</v>
      </c>
      <c r="D535" s="11" t="s">
        <v>16</v>
      </c>
      <c r="E535" s="11">
        <v>1</v>
      </c>
      <c r="F535" s="11" t="s">
        <v>17</v>
      </c>
      <c r="G535" s="11">
        <v>12</v>
      </c>
      <c r="H535" s="11">
        <v>16.223400000000002</v>
      </c>
      <c r="I535" s="11">
        <v>16.537840403367973</v>
      </c>
      <c r="J535" s="11">
        <v>7</v>
      </c>
      <c r="K535" s="11">
        <v>2.6829999999999998</v>
      </c>
      <c r="L535" s="11">
        <f t="shared" si="16"/>
        <v>61.671428571428578</v>
      </c>
      <c r="M535" s="11">
        <f t="shared" si="17"/>
        <v>3.4438812273998263</v>
      </c>
      <c r="N535" s="11">
        <v>46.74</v>
      </c>
      <c r="O535" s="11">
        <v>2.6419999999999999</v>
      </c>
      <c r="P535" s="11">
        <v>16.513000000000002</v>
      </c>
    </row>
    <row r="536" spans="1:16" x14ac:dyDescent="0.3">
      <c r="A536" s="11" t="s">
        <v>28</v>
      </c>
      <c r="B536" s="11" t="s">
        <v>21</v>
      </c>
      <c r="C536" s="11" t="s">
        <v>15</v>
      </c>
      <c r="D536" s="11" t="s">
        <v>19</v>
      </c>
      <c r="E536" s="11">
        <v>2</v>
      </c>
      <c r="F536" s="11" t="s">
        <v>17</v>
      </c>
      <c r="G536" s="11">
        <v>12</v>
      </c>
      <c r="H536" s="11">
        <v>15.982699999999999</v>
      </c>
      <c r="I536" s="11">
        <v>21.078416037340375</v>
      </c>
      <c r="J536" s="11">
        <v>7</v>
      </c>
      <c r="K536" s="11">
        <v>3.3689</v>
      </c>
      <c r="L536" s="11">
        <f t="shared" si="16"/>
        <v>51.872857142857143</v>
      </c>
      <c r="M536" s="11">
        <f t="shared" si="17"/>
        <v>3.2162305172577668</v>
      </c>
      <c r="N536" s="11">
        <v>46.13</v>
      </c>
      <c r="O536" s="11">
        <v>1.462</v>
      </c>
      <c r="P536" s="11">
        <v>9.14</v>
      </c>
    </row>
    <row r="537" spans="1:16" x14ac:dyDescent="0.3">
      <c r="A537" s="11" t="s">
        <v>29</v>
      </c>
      <c r="B537" s="11" t="s">
        <v>21</v>
      </c>
      <c r="C537" s="11" t="s">
        <v>15</v>
      </c>
      <c r="D537" s="11" t="s">
        <v>19</v>
      </c>
      <c r="E537" s="11">
        <v>4</v>
      </c>
      <c r="F537" s="11" t="s">
        <v>17</v>
      </c>
      <c r="G537" s="11">
        <v>12</v>
      </c>
      <c r="H537" s="11">
        <v>20.173200000000001</v>
      </c>
      <c r="I537" s="11">
        <v>20.037475462494793</v>
      </c>
      <c r="J537" s="11">
        <v>7</v>
      </c>
      <c r="K537" s="11">
        <v>4.0422000000000002</v>
      </c>
      <c r="L537" s="11">
        <f t="shared" si="16"/>
        <v>42.254285714285714</v>
      </c>
      <c r="M537" s="11">
        <f t="shared" si="17"/>
        <v>3.0340277006307814</v>
      </c>
      <c r="N537" s="11">
        <v>47.58</v>
      </c>
      <c r="O537" s="11">
        <v>1.4570000000000001</v>
      </c>
      <c r="P537" s="11">
        <v>8.9920000000000009</v>
      </c>
    </row>
    <row r="538" spans="1:16" x14ac:dyDescent="0.3">
      <c r="A538" s="11" t="s">
        <v>30</v>
      </c>
      <c r="B538" s="11" t="s">
        <v>14</v>
      </c>
      <c r="C538" s="11" t="s">
        <v>18</v>
      </c>
      <c r="D538" s="11" t="s">
        <v>16</v>
      </c>
      <c r="E538" s="11">
        <v>3</v>
      </c>
      <c r="F538" s="11" t="s">
        <v>17</v>
      </c>
      <c r="G538" s="11">
        <v>12</v>
      </c>
      <c r="H538" s="11">
        <v>21.175799999999999</v>
      </c>
      <c r="I538" s="11">
        <v>81.340020211751153</v>
      </c>
      <c r="J538" s="11">
        <v>7</v>
      </c>
      <c r="K538" s="11">
        <v>3.9514</v>
      </c>
      <c r="L538" s="11">
        <f t="shared" si="16"/>
        <v>43.551428571428566</v>
      </c>
      <c r="M538" s="11">
        <f t="shared" si="17"/>
        <v>3.0567468523461461</v>
      </c>
      <c r="N538" s="11">
        <v>42.57</v>
      </c>
      <c r="O538" s="11">
        <v>1.4259999999999999</v>
      </c>
      <c r="P538" s="11">
        <v>8.9120000000000008</v>
      </c>
    </row>
    <row r="539" spans="1:16" x14ac:dyDescent="0.3">
      <c r="A539" s="11" t="s">
        <v>31</v>
      </c>
      <c r="B539" s="11" t="s">
        <v>14</v>
      </c>
      <c r="C539" s="11" t="s">
        <v>18</v>
      </c>
      <c r="D539" s="11" t="s">
        <v>16</v>
      </c>
      <c r="E539" s="11">
        <v>4</v>
      </c>
      <c r="F539" s="11" t="s">
        <v>17</v>
      </c>
      <c r="G539" s="11">
        <v>12</v>
      </c>
      <c r="H539" s="11">
        <v>16.941500000000001</v>
      </c>
      <c r="I539" s="11">
        <v>82.267213646961608</v>
      </c>
      <c r="J539" s="11">
        <v>7</v>
      </c>
      <c r="K539" s="11">
        <v>3.0042</v>
      </c>
      <c r="L539" s="11">
        <f t="shared" si="16"/>
        <v>57.082857142857144</v>
      </c>
      <c r="M539" s="11">
        <f t="shared" si="17"/>
        <v>3.3308054892614964</v>
      </c>
      <c r="N539" s="11">
        <v>46.37</v>
      </c>
      <c r="O539" s="11">
        <v>1.734</v>
      </c>
      <c r="P539" s="11">
        <v>10.839</v>
      </c>
    </row>
    <row r="540" spans="1:16" x14ac:dyDescent="0.3">
      <c r="A540" s="11" t="s">
        <v>32</v>
      </c>
      <c r="B540" s="11" t="s">
        <v>20</v>
      </c>
      <c r="C540" s="11" t="s">
        <v>15</v>
      </c>
      <c r="D540" s="11" t="s">
        <v>19</v>
      </c>
      <c r="E540" s="11">
        <v>4</v>
      </c>
      <c r="F540" s="11" t="s">
        <v>17</v>
      </c>
      <c r="G540" s="11">
        <v>12</v>
      </c>
      <c r="H540" s="11">
        <v>18.292999999999999</v>
      </c>
      <c r="I540" s="11">
        <v>83.012627781118468</v>
      </c>
      <c r="J540" s="11">
        <v>7</v>
      </c>
      <c r="K540" s="11">
        <v>3.1074999999999999</v>
      </c>
      <c r="L540" s="11">
        <f t="shared" si="16"/>
        <v>55.607142857142854</v>
      </c>
      <c r="M540" s="11">
        <f t="shared" si="17"/>
        <v>3.2969982544405845</v>
      </c>
      <c r="N540" s="11">
        <v>47.15</v>
      </c>
      <c r="O540" s="11">
        <v>1.7609999999999999</v>
      </c>
      <c r="P540" s="11">
        <v>11.004</v>
      </c>
    </row>
    <row r="541" spans="1:16" x14ac:dyDescent="0.3">
      <c r="A541" s="4">
        <v>66</v>
      </c>
      <c r="B541" s="4" t="s">
        <v>14</v>
      </c>
      <c r="C541" s="4" t="s">
        <v>15</v>
      </c>
      <c r="D541" s="4" t="s">
        <v>16</v>
      </c>
      <c r="E541" s="4">
        <v>1</v>
      </c>
      <c r="F541" s="4" t="s">
        <v>22</v>
      </c>
      <c r="G541" s="4">
        <v>12</v>
      </c>
      <c r="H541" s="4">
        <v>17.684999999999999</v>
      </c>
      <c r="I541" s="4">
        <v>76.37545942889453</v>
      </c>
      <c r="J541" s="4">
        <v>6.99</v>
      </c>
      <c r="K541" s="4">
        <v>4.1779999999999999</v>
      </c>
      <c r="L541" s="4">
        <f t="shared" si="16"/>
        <v>40.228898426323326</v>
      </c>
      <c r="M541" s="4">
        <f t="shared" si="17"/>
        <v>2.9995545428993453</v>
      </c>
      <c r="N541" s="4">
        <v>44.96</v>
      </c>
      <c r="O541" s="4">
        <v>1.3109999999999999</v>
      </c>
      <c r="P541" s="4">
        <v>8.1940000000000008</v>
      </c>
    </row>
    <row r="542" spans="1:16" x14ac:dyDescent="0.3">
      <c r="A542" s="4">
        <v>74</v>
      </c>
      <c r="B542" s="4" t="s">
        <v>14</v>
      </c>
      <c r="C542" s="4" t="s">
        <v>18</v>
      </c>
      <c r="D542" s="4" t="s">
        <v>16</v>
      </c>
      <c r="E542" s="4">
        <v>4</v>
      </c>
      <c r="F542" s="4" t="s">
        <v>22</v>
      </c>
      <c r="G542" s="4">
        <v>12</v>
      </c>
      <c r="H542" s="4">
        <v>18.338000000000001</v>
      </c>
      <c r="I542" s="4">
        <v>78.350965208855925</v>
      </c>
      <c r="J542" s="4">
        <v>6.98</v>
      </c>
      <c r="K542" s="4">
        <v>3.97</v>
      </c>
      <c r="L542" s="4">
        <f t="shared" si="16"/>
        <v>43.123209169054441</v>
      </c>
      <c r="M542" s="4">
        <f t="shared" si="17"/>
        <v>3.0491894718631825</v>
      </c>
      <c r="N542" s="4">
        <v>46.29</v>
      </c>
      <c r="O542" s="4">
        <v>1.7669999999999999</v>
      </c>
      <c r="P542" s="4">
        <v>11.047000000000001</v>
      </c>
    </row>
    <row r="543" spans="1:16" x14ac:dyDescent="0.3">
      <c r="A543" s="4">
        <v>77</v>
      </c>
      <c r="B543" s="4" t="s">
        <v>14</v>
      </c>
      <c r="C543" s="4" t="s">
        <v>15</v>
      </c>
      <c r="D543" s="4" t="s">
        <v>16</v>
      </c>
      <c r="E543" s="4">
        <v>3</v>
      </c>
      <c r="F543" s="4" t="s">
        <v>22</v>
      </c>
      <c r="G543" s="4">
        <v>12</v>
      </c>
      <c r="H543" s="4">
        <v>16.143000000000001</v>
      </c>
      <c r="I543" s="4">
        <v>75.97100910611411</v>
      </c>
      <c r="J543" s="4">
        <v>6.94</v>
      </c>
      <c r="K543" s="4">
        <v>3.879</v>
      </c>
      <c r="L543" s="4">
        <f t="shared" si="16"/>
        <v>44.106628242074933</v>
      </c>
      <c r="M543" s="4">
        <f t="shared" si="17"/>
        <v>3.0666310358488835</v>
      </c>
      <c r="N543" s="4">
        <v>46.35</v>
      </c>
      <c r="O543" s="4">
        <v>1.752</v>
      </c>
      <c r="P543" s="4">
        <v>10.952999999999999</v>
      </c>
    </row>
    <row r="544" spans="1:16" x14ac:dyDescent="0.3">
      <c r="A544" s="4">
        <v>86</v>
      </c>
      <c r="B544" s="4" t="s">
        <v>14</v>
      </c>
      <c r="C544" s="4" t="s">
        <v>18</v>
      </c>
      <c r="D544" s="4" t="s">
        <v>16</v>
      </c>
      <c r="E544" s="4">
        <v>1</v>
      </c>
      <c r="F544" s="4" t="s">
        <v>22</v>
      </c>
      <c r="G544" s="4">
        <v>12</v>
      </c>
      <c r="H544" s="4">
        <v>22.119</v>
      </c>
      <c r="I544" s="4">
        <v>76.775622767756218</v>
      </c>
      <c r="J544" s="4">
        <v>7.04</v>
      </c>
      <c r="K544" s="4">
        <v>5.1369999999999996</v>
      </c>
      <c r="L544" s="4">
        <f t="shared" si="16"/>
        <v>27.031250000000007</v>
      </c>
      <c r="M544" s="4">
        <f t="shared" si="17"/>
        <v>2.8000455684728207</v>
      </c>
      <c r="N544" s="4">
        <v>45.45</v>
      </c>
      <c r="O544" s="4">
        <v>1.0349999999999999</v>
      </c>
      <c r="P544" s="4">
        <v>6.4660000000000002</v>
      </c>
    </row>
    <row r="545" spans="1:16" x14ac:dyDescent="0.3">
      <c r="A545" s="4">
        <v>95</v>
      </c>
      <c r="B545" s="4" t="s">
        <v>14</v>
      </c>
      <c r="C545" s="4" t="s">
        <v>18</v>
      </c>
      <c r="D545" s="4" t="s">
        <v>16</v>
      </c>
      <c r="E545" s="4">
        <v>5</v>
      </c>
      <c r="F545" s="4" t="s">
        <v>22</v>
      </c>
      <c r="G545" s="4">
        <v>12</v>
      </c>
      <c r="H545" s="4">
        <v>20.507999999999999</v>
      </c>
      <c r="I545" s="4">
        <v>77.447825238931145</v>
      </c>
      <c r="J545" s="4">
        <v>6.99</v>
      </c>
      <c r="K545" s="4">
        <v>4.625</v>
      </c>
      <c r="L545" s="4">
        <f t="shared" si="16"/>
        <v>33.834048640915597</v>
      </c>
      <c r="M545" s="4">
        <f t="shared" si="17"/>
        <v>2.8979108350693306</v>
      </c>
      <c r="N545" s="4">
        <v>41.73</v>
      </c>
      <c r="O545" s="4">
        <v>1.1020000000000001</v>
      </c>
      <c r="P545" s="4">
        <v>10.978</v>
      </c>
    </row>
    <row r="546" spans="1:16" x14ac:dyDescent="0.3">
      <c r="A546" s="4">
        <v>96</v>
      </c>
      <c r="B546" s="4" t="s">
        <v>14</v>
      </c>
      <c r="C546" s="4" t="s">
        <v>15</v>
      </c>
      <c r="D546" s="4" t="s">
        <v>16</v>
      </c>
      <c r="E546" s="4">
        <v>5</v>
      </c>
      <c r="F546" s="4" t="s">
        <v>22</v>
      </c>
      <c r="G546" s="4">
        <v>12</v>
      </c>
      <c r="H546" s="4">
        <v>18.664999999999999</v>
      </c>
      <c r="I546" s="4">
        <v>81.784087864987939</v>
      </c>
      <c r="J546" s="4">
        <v>7.03</v>
      </c>
      <c r="K546" s="4">
        <v>3.4</v>
      </c>
      <c r="L546" s="4">
        <f t="shared" si="16"/>
        <v>51.635846372688476</v>
      </c>
      <c r="M546" s="4">
        <f t="shared" si="17"/>
        <v>3.2113179239884584</v>
      </c>
      <c r="N546" s="4">
        <v>44.75</v>
      </c>
      <c r="O546" s="4">
        <v>1.798</v>
      </c>
      <c r="P546" s="4">
        <v>11.24</v>
      </c>
    </row>
    <row r="547" spans="1:16" x14ac:dyDescent="0.3">
      <c r="A547" s="4">
        <v>97</v>
      </c>
      <c r="B547" s="4" t="s">
        <v>14</v>
      </c>
      <c r="C547" s="4" t="s">
        <v>18</v>
      </c>
      <c r="D547" s="4" t="s">
        <v>16</v>
      </c>
      <c r="E547" s="4">
        <v>2</v>
      </c>
      <c r="F547" s="4" t="s">
        <v>22</v>
      </c>
      <c r="G547" s="4">
        <v>12</v>
      </c>
      <c r="H547" s="4">
        <v>17.861999999999998</v>
      </c>
      <c r="I547" s="4">
        <v>80.746836860373975</v>
      </c>
      <c r="J547" s="4">
        <v>6.99</v>
      </c>
      <c r="K547" s="4">
        <v>3.4390000000000001</v>
      </c>
      <c r="L547" s="4">
        <f t="shared" si="16"/>
        <v>50.80114449213162</v>
      </c>
      <c r="M547" s="4">
        <f t="shared" si="17"/>
        <v>3.1942064745835901</v>
      </c>
      <c r="N547" s="4">
        <v>44.96</v>
      </c>
      <c r="O547" s="4">
        <v>1.7789999999999999</v>
      </c>
      <c r="P547" s="4">
        <v>11.119</v>
      </c>
    </row>
    <row r="548" spans="1:16" x14ac:dyDescent="0.3">
      <c r="A548" s="4">
        <v>99</v>
      </c>
      <c r="B548" s="4" t="s">
        <v>14</v>
      </c>
      <c r="C548" s="4" t="s">
        <v>18</v>
      </c>
      <c r="D548" s="4" t="s">
        <v>16</v>
      </c>
      <c r="E548" s="4">
        <v>3</v>
      </c>
      <c r="F548" s="4" t="s">
        <v>22</v>
      </c>
      <c r="G548" s="4">
        <v>12</v>
      </c>
      <c r="H548" s="4">
        <v>19.440000000000001</v>
      </c>
      <c r="I548" s="4">
        <v>80.663580246913583</v>
      </c>
      <c r="J548" s="4">
        <v>7</v>
      </c>
      <c r="K548" s="4">
        <v>3.7589999999999999</v>
      </c>
      <c r="L548" s="4">
        <f t="shared" si="16"/>
        <v>46.300000000000004</v>
      </c>
      <c r="M548" s="4">
        <f t="shared" si="17"/>
        <v>3.1066638342612727</v>
      </c>
      <c r="N548" s="4">
        <v>42.59</v>
      </c>
      <c r="O548" s="4">
        <v>1.665</v>
      </c>
      <c r="P548" s="4">
        <v>10.407</v>
      </c>
    </row>
    <row r="549" spans="1:16" x14ac:dyDescent="0.3">
      <c r="A549" s="4">
        <v>109</v>
      </c>
      <c r="B549" s="4" t="s">
        <v>14</v>
      </c>
      <c r="C549" s="4" t="s">
        <v>15</v>
      </c>
      <c r="D549" s="4" t="s">
        <v>16</v>
      </c>
      <c r="E549" s="4">
        <v>2</v>
      </c>
      <c r="F549" s="4" t="s">
        <v>22</v>
      </c>
      <c r="G549" s="4">
        <v>12</v>
      </c>
      <c r="H549" s="4">
        <v>20.728999999999999</v>
      </c>
      <c r="I549" s="4">
        <v>82.068599546529015</v>
      </c>
      <c r="J549" s="4">
        <v>7.03</v>
      </c>
      <c r="K549" s="4">
        <v>3.7170000000000001</v>
      </c>
      <c r="L549" s="4">
        <f t="shared" si="16"/>
        <v>47.126600284495026</v>
      </c>
      <c r="M549" s="4">
        <f t="shared" si="17"/>
        <v>3.1221764642954586</v>
      </c>
      <c r="N549" s="4">
        <v>46.41</v>
      </c>
      <c r="O549" s="4">
        <v>1.847</v>
      </c>
      <c r="P549" s="4">
        <v>11.547000000000001</v>
      </c>
    </row>
    <row r="550" spans="1:16" x14ac:dyDescent="0.3">
      <c r="A550" s="4">
        <v>113</v>
      </c>
      <c r="B550" s="4" t="s">
        <v>14</v>
      </c>
      <c r="C550" s="4" t="s">
        <v>15</v>
      </c>
      <c r="D550" s="4" t="s">
        <v>16</v>
      </c>
      <c r="E550" s="4">
        <v>2</v>
      </c>
      <c r="F550" s="4" t="s">
        <v>22</v>
      </c>
      <c r="G550" s="4">
        <v>12</v>
      </c>
      <c r="H550" s="4">
        <v>21.091000000000001</v>
      </c>
      <c r="I550" s="4">
        <v>83.24403774121663</v>
      </c>
      <c r="J550" s="4">
        <v>7.01</v>
      </c>
      <c r="K550" s="4">
        <v>3.5339999999999998</v>
      </c>
      <c r="L550" s="4">
        <f t="shared" si="16"/>
        <v>49.586305278174038</v>
      </c>
      <c r="M550" s="4">
        <f t="shared" si="17"/>
        <v>3.1698139769369944</v>
      </c>
      <c r="N550" s="4">
        <v>47.11</v>
      </c>
      <c r="O550" s="4">
        <v>1.8819999999999999</v>
      </c>
      <c r="P550" s="4">
        <v>11.762</v>
      </c>
    </row>
    <row r="551" spans="1:16" x14ac:dyDescent="0.3">
      <c r="A551" s="4">
        <v>119</v>
      </c>
      <c r="B551" s="4" t="s">
        <v>14</v>
      </c>
      <c r="C551" s="4" t="s">
        <v>15</v>
      </c>
      <c r="D551" s="4" t="s">
        <v>16</v>
      </c>
      <c r="E551" s="4">
        <v>4</v>
      </c>
      <c r="F551" s="4" t="s">
        <v>22</v>
      </c>
      <c r="G551" s="4">
        <v>12</v>
      </c>
      <c r="H551" s="4">
        <v>16.163</v>
      </c>
      <c r="I551" s="4">
        <v>76.248221246055806</v>
      </c>
      <c r="J551" s="4">
        <v>7.01</v>
      </c>
      <c r="K551" s="4">
        <v>3.839</v>
      </c>
      <c r="L551" s="4">
        <f t="shared" si="16"/>
        <v>45.235378031383739</v>
      </c>
      <c r="M551" s="4">
        <f t="shared" si="17"/>
        <v>3.0870324348158382</v>
      </c>
      <c r="N551" s="4">
        <v>48.21</v>
      </c>
      <c r="O551" s="4">
        <v>1.6379999999999999</v>
      </c>
      <c r="P551" s="4">
        <v>10.239000000000001</v>
      </c>
    </row>
    <row r="552" spans="1:16" x14ac:dyDescent="0.3">
      <c r="A552" s="4">
        <v>183</v>
      </c>
      <c r="B552" s="4" t="s">
        <v>14</v>
      </c>
      <c r="C552" s="4" t="s">
        <v>15</v>
      </c>
      <c r="D552" s="4" t="s">
        <v>19</v>
      </c>
      <c r="E552" s="4">
        <v>4</v>
      </c>
      <c r="F552" s="4" t="s">
        <v>22</v>
      </c>
      <c r="G552" s="4">
        <v>12</v>
      </c>
      <c r="H552" s="4">
        <v>16.273</v>
      </c>
      <c r="I552" s="4">
        <v>75.794260431389418</v>
      </c>
      <c r="J552" s="4">
        <v>7.01</v>
      </c>
      <c r="K552" s="4">
        <v>3.9390000000000001</v>
      </c>
      <c r="L552" s="4">
        <f t="shared" si="16"/>
        <v>43.808844507845933</v>
      </c>
      <c r="M552" s="4">
        <f t="shared" si="17"/>
        <v>3.0613174668457304</v>
      </c>
      <c r="N552" s="4">
        <v>47.52</v>
      </c>
      <c r="O552" s="4">
        <v>1.466</v>
      </c>
      <c r="P552" s="4">
        <v>9.1609999999999996</v>
      </c>
    </row>
    <row r="553" spans="1:16" x14ac:dyDescent="0.3">
      <c r="A553" s="4">
        <v>194</v>
      </c>
      <c r="B553" s="4" t="s">
        <v>14</v>
      </c>
      <c r="C553" s="4" t="s">
        <v>15</v>
      </c>
      <c r="D553" s="4" t="s">
        <v>19</v>
      </c>
      <c r="E553" s="4">
        <v>5</v>
      </c>
      <c r="F553" s="4" t="s">
        <v>22</v>
      </c>
      <c r="G553" s="4">
        <v>12</v>
      </c>
      <c r="H553" s="4">
        <v>18.783999999999999</v>
      </c>
      <c r="I553" s="4">
        <v>79.200383304940374</v>
      </c>
      <c r="J553" s="4">
        <v>6.96</v>
      </c>
      <c r="K553" s="4">
        <v>3.907</v>
      </c>
      <c r="L553" s="4">
        <f t="shared" si="16"/>
        <v>43.864942528735625</v>
      </c>
      <c r="M553" s="4">
        <f t="shared" si="17"/>
        <v>3.0623163080613951</v>
      </c>
      <c r="N553" s="4">
        <v>45.54</v>
      </c>
      <c r="O553" s="4">
        <v>1.6719999999999999</v>
      </c>
      <c r="P553" s="4">
        <v>9.1270000000000007</v>
      </c>
    </row>
    <row r="554" spans="1:16" x14ac:dyDescent="0.3">
      <c r="A554" s="4">
        <v>203</v>
      </c>
      <c r="B554" s="4" t="s">
        <v>14</v>
      </c>
      <c r="C554" s="4" t="s">
        <v>18</v>
      </c>
      <c r="D554" s="4" t="s">
        <v>19</v>
      </c>
      <c r="E554" s="4">
        <v>3</v>
      </c>
      <c r="F554" s="4" t="s">
        <v>22</v>
      </c>
      <c r="G554" s="4">
        <v>12</v>
      </c>
      <c r="H554" s="4">
        <v>17.530999999999999</v>
      </c>
      <c r="I554" s="4">
        <v>73.464149221379259</v>
      </c>
      <c r="J554" s="4">
        <v>7.06</v>
      </c>
      <c r="K554" s="4">
        <v>4.6520000000000001</v>
      </c>
      <c r="L554" s="4">
        <f t="shared" si="16"/>
        <v>34.107648725212456</v>
      </c>
      <c r="M554" s="4">
        <f t="shared" si="17"/>
        <v>2.9020544666367329</v>
      </c>
      <c r="N554" s="4">
        <v>38.24</v>
      </c>
      <c r="O554" s="4">
        <v>1.629</v>
      </c>
      <c r="P554" s="4">
        <v>10.183999999999999</v>
      </c>
    </row>
    <row r="555" spans="1:16" x14ac:dyDescent="0.3">
      <c r="A555" s="4">
        <v>205</v>
      </c>
      <c r="B555" s="4" t="s">
        <v>14</v>
      </c>
      <c r="C555" s="4" t="s">
        <v>15</v>
      </c>
      <c r="D555" s="4" t="s">
        <v>19</v>
      </c>
      <c r="E555" s="4">
        <v>3</v>
      </c>
      <c r="F555" s="4" t="s">
        <v>22</v>
      </c>
      <c r="G555" s="4">
        <v>12</v>
      </c>
      <c r="H555" s="4">
        <v>14.94</v>
      </c>
      <c r="I555" s="4">
        <v>69.357429718875494</v>
      </c>
      <c r="J555" s="4">
        <v>7.06</v>
      </c>
      <c r="K555" s="4">
        <v>4.5780000000000003</v>
      </c>
      <c r="L555" s="4">
        <f t="shared" si="16"/>
        <v>35.155807365439088</v>
      </c>
      <c r="M555" s="4">
        <f t="shared" si="17"/>
        <v>2.9180894797627759</v>
      </c>
      <c r="N555" s="4">
        <v>45.3</v>
      </c>
      <c r="O555" s="4">
        <v>1.357</v>
      </c>
      <c r="P555" s="4">
        <v>8.4789999999999992</v>
      </c>
    </row>
    <row r="556" spans="1:16" x14ac:dyDescent="0.3">
      <c r="A556" s="4">
        <v>210</v>
      </c>
      <c r="B556" s="4" t="s">
        <v>14</v>
      </c>
      <c r="C556" s="4" t="s">
        <v>15</v>
      </c>
      <c r="D556" s="4" t="s">
        <v>19</v>
      </c>
      <c r="E556" s="4">
        <v>1</v>
      </c>
      <c r="F556" s="4" t="s">
        <v>22</v>
      </c>
      <c r="G556" s="4">
        <v>12</v>
      </c>
      <c r="H556" s="4">
        <v>18.763000000000002</v>
      </c>
      <c r="I556" s="4">
        <v>73.239887011671897</v>
      </c>
      <c r="J556" s="4">
        <v>7.09</v>
      </c>
      <c r="K556" s="4">
        <v>5.0209999999999999</v>
      </c>
      <c r="L556" s="4">
        <f t="shared" si="16"/>
        <v>29.181946403385052</v>
      </c>
      <c r="M556" s="4">
        <f t="shared" si="17"/>
        <v>2.8299628732794679</v>
      </c>
      <c r="N556" s="4">
        <v>44.19</v>
      </c>
      <c r="O556" s="4">
        <v>1.3839999999999999</v>
      </c>
      <c r="P556" s="4">
        <v>8.7910000000000004</v>
      </c>
    </row>
    <row r="557" spans="1:16" x14ac:dyDescent="0.3">
      <c r="A557" s="4">
        <v>227</v>
      </c>
      <c r="B557" s="4" t="s">
        <v>14</v>
      </c>
      <c r="C557" s="4" t="s">
        <v>18</v>
      </c>
      <c r="D557" s="4" t="s">
        <v>19</v>
      </c>
      <c r="E557" s="4">
        <v>2</v>
      </c>
      <c r="F557" s="4" t="s">
        <v>22</v>
      </c>
      <c r="G557" s="4">
        <v>12</v>
      </c>
      <c r="H557" s="4">
        <v>16.321000000000002</v>
      </c>
      <c r="I557" s="4">
        <v>76.588444335518659</v>
      </c>
      <c r="J557" s="4">
        <v>6.99</v>
      </c>
      <c r="K557" s="4">
        <v>3.8210000000000002</v>
      </c>
      <c r="L557" s="4">
        <f t="shared" si="16"/>
        <v>45.336194563662374</v>
      </c>
      <c r="M557" s="4">
        <f t="shared" si="17"/>
        <v>3.0888750375689562</v>
      </c>
      <c r="N557" s="4">
        <v>44.18</v>
      </c>
      <c r="O557" s="4">
        <v>1.234</v>
      </c>
      <c r="P557" s="4">
        <v>7.7119999999999997</v>
      </c>
    </row>
    <row r="558" spans="1:16" x14ac:dyDescent="0.3">
      <c r="A558" s="4">
        <v>237</v>
      </c>
      <c r="B558" s="4" t="s">
        <v>14</v>
      </c>
      <c r="C558" s="4" t="s">
        <v>18</v>
      </c>
      <c r="D558" s="4" t="s">
        <v>19</v>
      </c>
      <c r="E558" s="4">
        <v>1</v>
      </c>
      <c r="F558" s="4" t="s">
        <v>22</v>
      </c>
      <c r="G558" s="4">
        <v>12</v>
      </c>
      <c r="H558" s="4">
        <v>18.968</v>
      </c>
      <c r="I558" s="4">
        <v>78.917123576549969</v>
      </c>
      <c r="J558" s="4">
        <v>6.97</v>
      </c>
      <c r="K558" s="4">
        <v>3.9990000000000001</v>
      </c>
      <c r="L558" s="4">
        <f t="shared" si="16"/>
        <v>42.625538020086076</v>
      </c>
      <c r="M558" s="4">
        <f t="shared" si="17"/>
        <v>3.0404775446957517</v>
      </c>
      <c r="N558" s="4">
        <v>44.08</v>
      </c>
      <c r="O558" s="4">
        <v>1.587</v>
      </c>
      <c r="P558" s="4">
        <v>9.9190000000000005</v>
      </c>
    </row>
    <row r="559" spans="1:16" x14ac:dyDescent="0.3">
      <c r="A559" s="4">
        <v>312</v>
      </c>
      <c r="B559" s="4" t="s">
        <v>20</v>
      </c>
      <c r="C559" s="4" t="s">
        <v>15</v>
      </c>
      <c r="D559" s="4" t="s">
        <v>16</v>
      </c>
      <c r="E559" s="4">
        <v>2</v>
      </c>
      <c r="F559" s="4" t="s">
        <v>22</v>
      </c>
      <c r="G559" s="4">
        <v>12</v>
      </c>
      <c r="H559" s="4">
        <v>21.507000000000001</v>
      </c>
      <c r="I559" s="4">
        <v>81.392104896080355</v>
      </c>
      <c r="J559" s="4">
        <v>6.98</v>
      </c>
      <c r="K559" s="4">
        <v>4.0019999999999998</v>
      </c>
      <c r="L559" s="4">
        <f t="shared" si="16"/>
        <v>42.664756446991412</v>
      </c>
      <c r="M559" s="4">
        <f t="shared" si="17"/>
        <v>3.0411613304007399</v>
      </c>
      <c r="N559" s="4">
        <v>47.5</v>
      </c>
      <c r="O559" s="4">
        <v>1.651</v>
      </c>
      <c r="P559" s="4">
        <v>10.316000000000001</v>
      </c>
    </row>
    <row r="560" spans="1:16" x14ac:dyDescent="0.3">
      <c r="A560" s="4">
        <v>314</v>
      </c>
      <c r="B560" s="4" t="s">
        <v>20</v>
      </c>
      <c r="C560" s="4" t="s">
        <v>18</v>
      </c>
      <c r="D560" s="4" t="s">
        <v>16</v>
      </c>
      <c r="E560" s="4">
        <v>4</v>
      </c>
      <c r="F560" s="4" t="s">
        <v>22</v>
      </c>
      <c r="G560" s="4">
        <v>12</v>
      </c>
      <c r="H560" s="4">
        <v>18.765999999999998</v>
      </c>
      <c r="I560" s="4">
        <v>79.318981136097193</v>
      </c>
      <c r="J560" s="4">
        <v>6.99</v>
      </c>
      <c r="K560" s="4">
        <v>3.8809999999999998</v>
      </c>
      <c r="L560" s="4">
        <f t="shared" si="16"/>
        <v>44.47782546494993</v>
      </c>
      <c r="M560" s="4">
        <f t="shared" si="17"/>
        <v>3.0732943536469501</v>
      </c>
      <c r="N560" s="4">
        <v>47.13</v>
      </c>
      <c r="O560" s="4">
        <v>1.9159999999999999</v>
      </c>
      <c r="P560" s="4">
        <v>11.972</v>
      </c>
    </row>
    <row r="561" spans="1:16" x14ac:dyDescent="0.3">
      <c r="A561" s="4">
        <v>316</v>
      </c>
      <c r="B561" s="4" t="s">
        <v>20</v>
      </c>
      <c r="C561" s="4" t="s">
        <v>18</v>
      </c>
      <c r="D561" s="4" t="s">
        <v>16</v>
      </c>
      <c r="E561" s="4">
        <v>1</v>
      </c>
      <c r="F561" s="4" t="s">
        <v>22</v>
      </c>
      <c r="G561" s="4">
        <v>12</v>
      </c>
      <c r="H561" s="4">
        <v>20.731000000000002</v>
      </c>
      <c r="I561" s="4">
        <v>80.377212869615562</v>
      </c>
      <c r="J561" s="4">
        <v>6.99</v>
      </c>
      <c r="K561" s="4">
        <v>4.0679999999999996</v>
      </c>
      <c r="L561" s="4">
        <f t="shared" si="16"/>
        <v>41.80257510729615</v>
      </c>
      <c r="M561" s="4">
        <f t="shared" si="17"/>
        <v>3.0262357278474057</v>
      </c>
      <c r="N561" s="4">
        <v>45.85</v>
      </c>
      <c r="O561" s="4">
        <v>1.5629999999999999</v>
      </c>
      <c r="P561" s="4">
        <v>9.7710000000000008</v>
      </c>
    </row>
    <row r="562" spans="1:16" x14ac:dyDescent="0.3">
      <c r="A562" s="4">
        <v>326</v>
      </c>
      <c r="B562" s="4" t="s">
        <v>20</v>
      </c>
      <c r="C562" s="4" t="s">
        <v>15</v>
      </c>
      <c r="D562" s="4" t="s">
        <v>16</v>
      </c>
      <c r="E562" s="4">
        <v>1</v>
      </c>
      <c r="F562" s="4" t="s">
        <v>22</v>
      </c>
      <c r="G562" s="4">
        <v>12</v>
      </c>
      <c r="H562" s="4">
        <v>15.778</v>
      </c>
      <c r="I562" s="4">
        <v>75.605273165166693</v>
      </c>
      <c r="J562" s="4">
        <v>6.99</v>
      </c>
      <c r="K562" s="4">
        <v>3.8490000000000002</v>
      </c>
      <c r="L562" s="4">
        <f t="shared" si="16"/>
        <v>44.935622317596561</v>
      </c>
      <c r="M562" s="4">
        <f t="shared" si="17"/>
        <v>3.08157383173211</v>
      </c>
      <c r="N562" s="4">
        <v>46.11</v>
      </c>
      <c r="O562" s="4">
        <v>1.627</v>
      </c>
      <c r="P562" s="4">
        <v>10.166</v>
      </c>
    </row>
    <row r="563" spans="1:16" x14ac:dyDescent="0.3">
      <c r="A563" s="4">
        <v>345</v>
      </c>
      <c r="B563" s="4" t="s">
        <v>20</v>
      </c>
      <c r="C563" s="4" t="s">
        <v>18</v>
      </c>
      <c r="D563" s="4" t="s">
        <v>16</v>
      </c>
      <c r="E563" s="4">
        <v>5</v>
      </c>
      <c r="F563" s="4" t="s">
        <v>22</v>
      </c>
      <c r="G563" s="4">
        <v>12</v>
      </c>
      <c r="H563" s="4">
        <v>20.335000000000001</v>
      </c>
      <c r="I563" s="4">
        <v>81.426112613720179</v>
      </c>
      <c r="J563" s="4">
        <v>6.97</v>
      </c>
      <c r="K563" s="4">
        <v>3.7770000000000001</v>
      </c>
      <c r="L563" s="4">
        <f t="shared" si="16"/>
        <v>45.810616929698703</v>
      </c>
      <c r="M563" s="4">
        <f t="shared" si="17"/>
        <v>3.0975918308301127</v>
      </c>
      <c r="N563" s="4">
        <v>40.119999999999997</v>
      </c>
      <c r="O563" s="4">
        <v>1.696</v>
      </c>
      <c r="P563" s="4">
        <v>10.6</v>
      </c>
    </row>
    <row r="564" spans="1:16" x14ac:dyDescent="0.3">
      <c r="A564" s="4">
        <v>346</v>
      </c>
      <c r="B564" s="4" t="s">
        <v>20</v>
      </c>
      <c r="C564" s="4" t="s">
        <v>15</v>
      </c>
      <c r="D564" s="4" t="s">
        <v>16</v>
      </c>
      <c r="E564" s="4">
        <v>5</v>
      </c>
      <c r="F564" s="4" t="s">
        <v>22</v>
      </c>
      <c r="G564" s="4">
        <v>12</v>
      </c>
      <c r="H564" s="4">
        <v>16.013999999999999</v>
      </c>
      <c r="I564" s="4">
        <v>79.168227800674401</v>
      </c>
      <c r="J564" s="4">
        <v>7.04</v>
      </c>
      <c r="K564" s="4">
        <v>3.3359999999999999</v>
      </c>
      <c r="L564" s="4">
        <f t="shared" si="16"/>
        <v>52.61363636363636</v>
      </c>
      <c r="M564" s="4">
        <f t="shared" si="17"/>
        <v>3.2317423354614512</v>
      </c>
      <c r="N564" s="4">
        <v>46.63</v>
      </c>
      <c r="O564" s="4">
        <v>1.903</v>
      </c>
      <c r="P564" s="4">
        <v>11.893000000000001</v>
      </c>
    </row>
    <row r="565" spans="1:16" x14ac:dyDescent="0.3">
      <c r="A565" s="4">
        <v>348</v>
      </c>
      <c r="B565" s="4" t="s">
        <v>20</v>
      </c>
      <c r="C565" s="4" t="s">
        <v>15</v>
      </c>
      <c r="D565" s="4" t="s">
        <v>16</v>
      </c>
      <c r="E565" s="4">
        <v>4</v>
      </c>
      <c r="F565" s="4" t="s">
        <v>22</v>
      </c>
      <c r="G565" s="4">
        <v>12</v>
      </c>
      <c r="H565" s="4">
        <v>23.914000000000001</v>
      </c>
      <c r="I565" s="4">
        <v>84.925148448607516</v>
      </c>
      <c r="J565" s="4">
        <v>7</v>
      </c>
      <c r="K565" s="4">
        <v>3.605</v>
      </c>
      <c r="L565" s="4">
        <f t="shared" si="16"/>
        <v>48.5</v>
      </c>
      <c r="M565" s="4">
        <f t="shared" si="17"/>
        <v>3.1484950281064013</v>
      </c>
      <c r="N565" s="4">
        <v>46.99</v>
      </c>
      <c r="O565" s="4">
        <v>2.0459999999999998</v>
      </c>
      <c r="P565" s="4">
        <v>12.786</v>
      </c>
    </row>
    <row r="566" spans="1:16" x14ac:dyDescent="0.3">
      <c r="A566" s="4">
        <v>352</v>
      </c>
      <c r="B566" s="4" t="s">
        <v>20</v>
      </c>
      <c r="C566" s="4" t="s">
        <v>18</v>
      </c>
      <c r="D566" s="4" t="s">
        <v>16</v>
      </c>
      <c r="E566" s="4">
        <v>3</v>
      </c>
      <c r="F566" s="4" t="s">
        <v>22</v>
      </c>
      <c r="G566" s="4">
        <v>12</v>
      </c>
      <c r="H566" s="4">
        <v>19.576000000000001</v>
      </c>
      <c r="I566" s="4">
        <v>78.933387821822649</v>
      </c>
      <c r="J566" s="4">
        <v>7.03</v>
      </c>
      <c r="K566" s="4">
        <v>4.1239999999999997</v>
      </c>
      <c r="L566" s="4">
        <f t="shared" si="16"/>
        <v>41.337126600284499</v>
      </c>
      <c r="M566" s="4">
        <f t="shared" si="17"/>
        <v>3.0182697894558603</v>
      </c>
      <c r="N566" s="4">
        <v>46.94</v>
      </c>
      <c r="O566" s="4">
        <v>1.825</v>
      </c>
      <c r="P566" s="4">
        <v>10.996</v>
      </c>
    </row>
    <row r="567" spans="1:16" x14ac:dyDescent="0.3">
      <c r="A567" s="4">
        <v>353</v>
      </c>
      <c r="B567" s="4" t="s">
        <v>20</v>
      </c>
      <c r="C567" s="4" t="s">
        <v>18</v>
      </c>
      <c r="D567" s="4" t="s">
        <v>16</v>
      </c>
      <c r="E567" s="4">
        <v>2</v>
      </c>
      <c r="F567" s="4" t="s">
        <v>22</v>
      </c>
      <c r="G567" s="4">
        <v>12</v>
      </c>
      <c r="H567" s="4">
        <v>18.379000000000001</v>
      </c>
      <c r="I567" s="4">
        <v>81.473420751945156</v>
      </c>
      <c r="J567" s="4">
        <v>7.02</v>
      </c>
      <c r="K567" s="4">
        <v>3.4049999999999998</v>
      </c>
      <c r="L567" s="4">
        <f t="shared" si="16"/>
        <v>51.495726495726487</v>
      </c>
      <c r="M567" s="4">
        <f t="shared" si="17"/>
        <v>3.2084249282242445</v>
      </c>
      <c r="N567" s="4">
        <v>46.12</v>
      </c>
      <c r="O567" s="4">
        <v>1.778</v>
      </c>
      <c r="P567" s="4">
        <v>11.113</v>
      </c>
    </row>
    <row r="568" spans="1:16" x14ac:dyDescent="0.3">
      <c r="A568" s="4">
        <v>358</v>
      </c>
      <c r="B568" s="4" t="s">
        <v>20</v>
      </c>
      <c r="C568" s="4" t="s">
        <v>15</v>
      </c>
      <c r="D568" s="4" t="s">
        <v>16</v>
      </c>
      <c r="E568" s="4">
        <v>3</v>
      </c>
      <c r="F568" s="4" t="s">
        <v>22</v>
      </c>
      <c r="G568" s="4">
        <v>12</v>
      </c>
      <c r="H568" s="4">
        <v>19.530999999999999</v>
      </c>
      <c r="I568" s="4">
        <v>83.651630740873472</v>
      </c>
      <c r="J568" s="4">
        <v>6.96</v>
      </c>
      <c r="K568" s="4">
        <v>3.1930000000000001</v>
      </c>
      <c r="L568" s="4">
        <f t="shared" si="16"/>
        <v>54.1235632183908</v>
      </c>
      <c r="M568" s="4">
        <f t="shared" si="17"/>
        <v>3.2641252104016836</v>
      </c>
      <c r="N568" s="4">
        <v>44.58</v>
      </c>
      <c r="O568" s="4">
        <v>1.9379999999999999</v>
      </c>
      <c r="P568" s="4">
        <v>12.112</v>
      </c>
    </row>
    <row r="569" spans="1:16" x14ac:dyDescent="0.3">
      <c r="A569" s="4">
        <v>423</v>
      </c>
      <c r="B569" s="4" t="s">
        <v>20</v>
      </c>
      <c r="C569" s="4" t="s">
        <v>18</v>
      </c>
      <c r="D569" s="4" t="s">
        <v>19</v>
      </c>
      <c r="E569" s="4">
        <v>3</v>
      </c>
      <c r="F569" s="4" t="s">
        <v>22</v>
      </c>
      <c r="G569" s="4">
        <v>12</v>
      </c>
      <c r="H569" s="4">
        <v>14.423999999999999</v>
      </c>
      <c r="I569" s="4">
        <v>69.932057681641709</v>
      </c>
      <c r="J569" s="4">
        <v>6.99</v>
      </c>
      <c r="K569" s="4">
        <v>4.3369999999999997</v>
      </c>
      <c r="L569" s="4">
        <f t="shared" si="16"/>
        <v>37.954220314735345</v>
      </c>
      <c r="M569" s="4">
        <f t="shared" si="17"/>
        <v>2.9622043411804904</v>
      </c>
      <c r="N569" s="4">
        <v>46.77</v>
      </c>
      <c r="O569" s="4">
        <v>1.4530000000000001</v>
      </c>
      <c r="P569" s="4">
        <v>9.0809999999999995</v>
      </c>
    </row>
    <row r="570" spans="1:16" x14ac:dyDescent="0.3">
      <c r="A570" s="4">
        <v>436</v>
      </c>
      <c r="B570" s="4" t="s">
        <v>20</v>
      </c>
      <c r="C570" s="4" t="s">
        <v>18</v>
      </c>
      <c r="D570" s="4" t="s">
        <v>19</v>
      </c>
      <c r="E570" s="4">
        <v>5</v>
      </c>
      <c r="F570" s="4" t="s">
        <v>22</v>
      </c>
      <c r="G570" s="4">
        <v>12</v>
      </c>
      <c r="H570" s="4">
        <v>24.687999999999999</v>
      </c>
      <c r="I570" s="4">
        <v>81.958846403110812</v>
      </c>
      <c r="J570" s="4">
        <v>6.96</v>
      </c>
      <c r="K570" s="4">
        <v>4.4539999999999997</v>
      </c>
      <c r="L570" s="4">
        <f t="shared" si="16"/>
        <v>36.005747126436781</v>
      </c>
      <c r="M570" s="4">
        <f t="shared" si="17"/>
        <v>2.9312835552991525</v>
      </c>
      <c r="N570" s="4">
        <v>39.380000000000003</v>
      </c>
      <c r="O570" s="4">
        <v>1.47</v>
      </c>
      <c r="P570" s="4">
        <v>9.1869999999999994</v>
      </c>
    </row>
    <row r="571" spans="1:16" x14ac:dyDescent="0.3">
      <c r="A571" s="4">
        <v>458</v>
      </c>
      <c r="B571" s="4" t="s">
        <v>20</v>
      </c>
      <c r="C571" s="4" t="s">
        <v>15</v>
      </c>
      <c r="D571" s="4" t="s">
        <v>19</v>
      </c>
      <c r="E571" s="4">
        <v>1</v>
      </c>
      <c r="F571" s="4" t="s">
        <v>22</v>
      </c>
      <c r="G571" s="4">
        <v>12</v>
      </c>
      <c r="H571" s="4">
        <v>15.638</v>
      </c>
      <c r="I571" s="4">
        <v>69.945005755211653</v>
      </c>
      <c r="J571" s="4">
        <v>7.03</v>
      </c>
      <c r="K571" s="4">
        <v>4.7</v>
      </c>
      <c r="L571" s="4">
        <f t="shared" si="16"/>
        <v>33.143669985775247</v>
      </c>
      <c r="M571" s="4">
        <f t="shared" si="17"/>
        <v>2.8875308468945611</v>
      </c>
      <c r="N571" s="4">
        <v>46.23</v>
      </c>
      <c r="O571" s="4">
        <v>1.4750000000000001</v>
      </c>
      <c r="P571" s="4">
        <v>9.0239999999999991</v>
      </c>
    </row>
    <row r="572" spans="1:16" x14ac:dyDescent="0.3">
      <c r="A572" s="4">
        <v>459</v>
      </c>
      <c r="B572" s="4" t="s">
        <v>20</v>
      </c>
      <c r="C572" s="4" t="s">
        <v>18</v>
      </c>
      <c r="D572" s="4" t="s">
        <v>19</v>
      </c>
      <c r="E572" s="4">
        <v>2</v>
      </c>
      <c r="F572" s="4" t="s">
        <v>22</v>
      </c>
      <c r="G572" s="4">
        <v>12</v>
      </c>
      <c r="H572" s="4">
        <v>18.916</v>
      </c>
      <c r="I572" s="4">
        <v>77.014167900190316</v>
      </c>
      <c r="J572" s="4">
        <v>7</v>
      </c>
      <c r="K572" s="4">
        <v>4.3479999999999999</v>
      </c>
      <c r="L572" s="4">
        <f t="shared" si="16"/>
        <v>37.885714285714286</v>
      </c>
      <c r="M572" s="4">
        <f t="shared" si="17"/>
        <v>2.9611008295843506</v>
      </c>
      <c r="N572" s="4">
        <v>46.78</v>
      </c>
      <c r="O572" s="4">
        <v>1.5720000000000001</v>
      </c>
      <c r="P572" s="4">
        <v>9.3469999999999995</v>
      </c>
    </row>
    <row r="573" spans="1:16" x14ac:dyDescent="0.3">
      <c r="A573" s="4">
        <v>464</v>
      </c>
      <c r="B573" s="4" t="s">
        <v>20</v>
      </c>
      <c r="C573" s="4" t="s">
        <v>15</v>
      </c>
      <c r="D573" s="4" t="s">
        <v>19</v>
      </c>
      <c r="E573" s="4">
        <v>2</v>
      </c>
      <c r="F573" s="4" t="s">
        <v>22</v>
      </c>
      <c r="G573" s="4">
        <v>12</v>
      </c>
      <c r="H573" s="4">
        <v>20.212</v>
      </c>
      <c r="I573" s="4">
        <v>80.709479517118538</v>
      </c>
      <c r="J573" s="4">
        <v>6.96</v>
      </c>
      <c r="K573" s="4">
        <v>3.899</v>
      </c>
      <c r="L573" s="4">
        <f t="shared" si="16"/>
        <v>43.979885057471265</v>
      </c>
      <c r="M573" s="4">
        <f t="shared" si="17"/>
        <v>3.0643660141338684</v>
      </c>
      <c r="N573" s="4">
        <v>46.46</v>
      </c>
      <c r="O573" s="4">
        <v>1.274</v>
      </c>
      <c r="P573" s="4">
        <v>7.9630000000000001</v>
      </c>
    </row>
    <row r="574" spans="1:16" x14ac:dyDescent="0.3">
      <c r="A574" s="4">
        <v>472</v>
      </c>
      <c r="B574" s="4" t="s">
        <v>20</v>
      </c>
      <c r="C574" s="4" t="s">
        <v>18</v>
      </c>
      <c r="D574" s="4" t="s">
        <v>19</v>
      </c>
      <c r="E574" s="4">
        <v>4</v>
      </c>
      <c r="F574" s="4" t="s">
        <v>22</v>
      </c>
      <c r="G574" s="4">
        <v>12</v>
      </c>
      <c r="H574" s="4">
        <v>20.859000000000002</v>
      </c>
      <c r="I574" s="4">
        <v>79.495661345222686</v>
      </c>
      <c r="J574" s="4">
        <v>6.92</v>
      </c>
      <c r="K574" s="4">
        <v>4.2770000000000001</v>
      </c>
      <c r="L574" s="4">
        <f t="shared" si="16"/>
        <v>38.193641618497111</v>
      </c>
      <c r="M574" s="4">
        <f t="shared" si="17"/>
        <v>2.9660705901728068</v>
      </c>
      <c r="N574" s="4">
        <v>47.59</v>
      </c>
      <c r="O574" s="4">
        <v>1.637</v>
      </c>
      <c r="P574" s="4">
        <v>10.23</v>
      </c>
    </row>
    <row r="575" spans="1:16" x14ac:dyDescent="0.3">
      <c r="A575" s="4">
        <v>474</v>
      </c>
      <c r="B575" s="4" t="s">
        <v>20</v>
      </c>
      <c r="C575" s="4" t="s">
        <v>15</v>
      </c>
      <c r="D575" s="4" t="s">
        <v>19</v>
      </c>
      <c r="E575" s="4">
        <v>3</v>
      </c>
      <c r="F575" s="4" t="s">
        <v>22</v>
      </c>
      <c r="G575" s="4">
        <v>12</v>
      </c>
      <c r="H575" s="4">
        <v>22.498999999999999</v>
      </c>
      <c r="I575" s="4">
        <v>79.936886083825954</v>
      </c>
      <c r="J575" s="4">
        <v>7</v>
      </c>
      <c r="K575" s="4">
        <v>4.5140000000000002</v>
      </c>
      <c r="L575" s="4">
        <f t="shared" si="16"/>
        <v>35.514285714285712</v>
      </c>
      <c r="M575" s="4">
        <f t="shared" si="17"/>
        <v>2.9236331204479695</v>
      </c>
      <c r="N575" s="4">
        <v>47.12</v>
      </c>
      <c r="O575" s="4">
        <v>1.4470000000000001</v>
      </c>
      <c r="P575" s="4">
        <v>9.0429999999999993</v>
      </c>
    </row>
    <row r="576" spans="1:16" x14ac:dyDescent="0.3">
      <c r="A576" s="4">
        <v>475</v>
      </c>
      <c r="B576" s="4" t="s">
        <v>20</v>
      </c>
      <c r="C576" s="4" t="s">
        <v>15</v>
      </c>
      <c r="D576" s="4" t="s">
        <v>19</v>
      </c>
      <c r="E576" s="4">
        <v>5</v>
      </c>
      <c r="F576" s="4" t="s">
        <v>22</v>
      </c>
      <c r="G576" s="4">
        <v>12</v>
      </c>
      <c r="H576" s="4">
        <v>17.388999999999999</v>
      </c>
      <c r="I576" s="4">
        <v>76.410374374604629</v>
      </c>
      <c r="J576" s="4">
        <v>7.01</v>
      </c>
      <c r="K576" s="4">
        <v>4.1020000000000003</v>
      </c>
      <c r="L576" s="4">
        <f t="shared" si="16"/>
        <v>41.483594864479315</v>
      </c>
      <c r="M576" s="4">
        <f t="shared" si="17"/>
        <v>3.0207696911843103</v>
      </c>
      <c r="N576" s="4">
        <v>46.98</v>
      </c>
      <c r="O576" s="4">
        <v>1.498</v>
      </c>
      <c r="P576" s="4">
        <v>9.125</v>
      </c>
    </row>
    <row r="577" spans="1:16" x14ac:dyDescent="0.3">
      <c r="A577" s="4">
        <v>477</v>
      </c>
      <c r="B577" s="4" t="s">
        <v>20</v>
      </c>
      <c r="C577" s="4" t="s">
        <v>18</v>
      </c>
      <c r="D577" s="4" t="s">
        <v>19</v>
      </c>
      <c r="E577" s="4">
        <v>1</v>
      </c>
      <c r="F577" s="4" t="s">
        <v>22</v>
      </c>
      <c r="G577" s="4">
        <v>12</v>
      </c>
      <c r="H577" s="4">
        <v>22.274999999999999</v>
      </c>
      <c r="I577" s="4">
        <v>80.094276094276083</v>
      </c>
      <c r="J577" s="4">
        <v>6.91</v>
      </c>
      <c r="K577" s="4">
        <v>4.4340000000000002</v>
      </c>
      <c r="L577" s="4">
        <f t="shared" si="16"/>
        <v>35.832127351664255</v>
      </c>
      <c r="M577" s="4">
        <f t="shared" si="17"/>
        <v>2.9285741763734592</v>
      </c>
      <c r="N577" s="4">
        <v>46.78</v>
      </c>
      <c r="O577" s="4">
        <v>1.5660000000000001</v>
      </c>
      <c r="P577" s="4">
        <v>9.7850000000000001</v>
      </c>
    </row>
    <row r="578" spans="1:16" x14ac:dyDescent="0.3">
      <c r="A578" s="4">
        <v>549</v>
      </c>
      <c r="B578" s="4" t="s">
        <v>21</v>
      </c>
      <c r="C578" s="4" t="s">
        <v>18</v>
      </c>
      <c r="D578" s="4" t="s">
        <v>16</v>
      </c>
      <c r="E578" s="4">
        <v>5</v>
      </c>
      <c r="F578" s="4" t="s">
        <v>22</v>
      </c>
      <c r="G578" s="4">
        <v>12</v>
      </c>
      <c r="H578" s="4">
        <v>14.869</v>
      </c>
      <c r="I578" s="4">
        <v>22.079494249781426</v>
      </c>
      <c r="J578" s="4">
        <v>6.98</v>
      </c>
      <c r="K578" s="4">
        <v>3.2829999999999999</v>
      </c>
      <c r="L578" s="4">
        <f t="shared" si="16"/>
        <v>52.965616045845273</v>
      </c>
      <c r="M578" s="4">
        <f t="shared" si="17"/>
        <v>3.239197928042826</v>
      </c>
      <c r="N578" s="4">
        <v>46.95</v>
      </c>
      <c r="O578" s="4">
        <v>1.675</v>
      </c>
      <c r="P578" s="4">
        <v>8.9849999999999994</v>
      </c>
    </row>
    <row r="579" spans="1:16" x14ac:dyDescent="0.3">
      <c r="A579" s="4">
        <v>560</v>
      </c>
      <c r="B579" s="4" t="s">
        <v>21</v>
      </c>
      <c r="C579" s="4" t="s">
        <v>15</v>
      </c>
      <c r="D579" s="4" t="s">
        <v>16</v>
      </c>
      <c r="E579" s="4">
        <v>2</v>
      </c>
      <c r="F579" s="4" t="s">
        <v>22</v>
      </c>
      <c r="G579" s="4">
        <v>12</v>
      </c>
      <c r="H579" s="4">
        <v>18.042000000000002</v>
      </c>
      <c r="I579" s="4">
        <v>21.599600931160623</v>
      </c>
      <c r="J579" s="4">
        <v>7.04</v>
      </c>
      <c r="K579" s="4">
        <v>3.8969999999999998</v>
      </c>
      <c r="L579" s="4">
        <f t="shared" ref="L579:L642" si="18">((J579-K579)/J579)*100</f>
        <v>44.644886363636367</v>
      </c>
      <c r="M579" s="4">
        <f t="shared" ref="M579:M642" si="19">-LN((K579/J579)/G579)</f>
        <v>3.0763077936013792</v>
      </c>
      <c r="N579" s="4">
        <v>47.21</v>
      </c>
      <c r="O579" s="4">
        <v>1.8220000000000001</v>
      </c>
      <c r="P579" s="4">
        <v>11.387</v>
      </c>
    </row>
    <row r="580" spans="1:16" x14ac:dyDescent="0.3">
      <c r="A580" s="4">
        <v>569</v>
      </c>
      <c r="B580" s="4" t="s">
        <v>21</v>
      </c>
      <c r="C580" s="4" t="s">
        <v>18</v>
      </c>
      <c r="D580" s="4" t="s">
        <v>16</v>
      </c>
      <c r="E580" s="4">
        <v>3</v>
      </c>
      <c r="F580" s="4" t="s">
        <v>22</v>
      </c>
      <c r="G580" s="4">
        <v>12</v>
      </c>
      <c r="H580" s="4">
        <v>19.204999999999998</v>
      </c>
      <c r="I580" s="4">
        <v>22.900286383754231</v>
      </c>
      <c r="J580" s="4">
        <v>7.04</v>
      </c>
      <c r="K580" s="4">
        <v>4.3979999999999997</v>
      </c>
      <c r="L580" s="4">
        <f t="shared" si="18"/>
        <v>37.528409090909101</v>
      </c>
      <c r="M580" s="4">
        <f t="shared" si="19"/>
        <v>2.9553649278253822</v>
      </c>
      <c r="N580" s="4">
        <v>44.4</v>
      </c>
      <c r="O580" s="4">
        <v>1.41</v>
      </c>
      <c r="P580" s="4">
        <v>8.8119999999999994</v>
      </c>
    </row>
    <row r="581" spans="1:16" x14ac:dyDescent="0.3">
      <c r="A581" s="4">
        <v>570</v>
      </c>
      <c r="B581" s="4" t="s">
        <v>21</v>
      </c>
      <c r="C581" s="4" t="s">
        <v>15</v>
      </c>
      <c r="D581" s="4" t="s">
        <v>16</v>
      </c>
      <c r="E581" s="4">
        <v>4</v>
      </c>
      <c r="F581" s="4" t="s">
        <v>22</v>
      </c>
      <c r="G581" s="4">
        <v>12</v>
      </c>
      <c r="H581" s="4">
        <v>20.382999999999999</v>
      </c>
      <c r="I581" s="4">
        <v>22.366678114114706</v>
      </c>
      <c r="J581" s="4">
        <v>6.91</v>
      </c>
      <c r="K581" s="4">
        <v>4.5590000000000002</v>
      </c>
      <c r="L581" s="4">
        <f t="shared" si="18"/>
        <v>34.02315484804631</v>
      </c>
      <c r="M581" s="4">
        <f t="shared" si="19"/>
        <v>2.9007729863362743</v>
      </c>
      <c r="N581" s="4">
        <v>46.92</v>
      </c>
      <c r="O581" s="4">
        <v>1.407</v>
      </c>
      <c r="P581" s="4">
        <v>8.7959999999999994</v>
      </c>
    </row>
    <row r="582" spans="1:16" x14ac:dyDescent="0.3">
      <c r="A582" s="4">
        <v>571</v>
      </c>
      <c r="B582" s="4" t="s">
        <v>21</v>
      </c>
      <c r="C582" s="4" t="s">
        <v>15</v>
      </c>
      <c r="D582" s="4" t="s">
        <v>16</v>
      </c>
      <c r="E582" s="4">
        <v>1</v>
      </c>
      <c r="F582" s="4" t="s">
        <v>22</v>
      </c>
      <c r="G582" s="4">
        <v>12</v>
      </c>
      <c r="H582" s="4">
        <v>20.768000000000001</v>
      </c>
      <c r="I582" s="4">
        <v>21.552388289676426</v>
      </c>
      <c r="J582" s="4">
        <v>7.08</v>
      </c>
      <c r="K582" s="4">
        <v>4.476</v>
      </c>
      <c r="L582" s="4">
        <f t="shared" si="18"/>
        <v>36.779661016949156</v>
      </c>
      <c r="M582" s="4">
        <f t="shared" si="19"/>
        <v>2.94345076704395</v>
      </c>
      <c r="N582" s="4">
        <v>47.78</v>
      </c>
      <c r="O582" s="4">
        <v>1.7210000000000001</v>
      </c>
      <c r="P582" s="4">
        <v>10.753</v>
      </c>
    </row>
    <row r="583" spans="1:16" x14ac:dyDescent="0.3">
      <c r="A583" s="4">
        <v>583</v>
      </c>
      <c r="B583" s="4" t="s">
        <v>21</v>
      </c>
      <c r="C583" s="4" t="s">
        <v>15</v>
      </c>
      <c r="D583" s="4" t="s">
        <v>16</v>
      </c>
      <c r="E583" s="4">
        <v>5</v>
      </c>
      <c r="F583" s="4" t="s">
        <v>22</v>
      </c>
      <c r="G583" s="4">
        <v>12</v>
      </c>
      <c r="H583" s="4">
        <v>18.670999999999999</v>
      </c>
      <c r="I583" s="4">
        <v>21.123667719993573</v>
      </c>
      <c r="J583" s="4">
        <v>7.05</v>
      </c>
      <c r="K583" s="4">
        <v>3.944</v>
      </c>
      <c r="L583" s="4">
        <f t="shared" si="18"/>
        <v>44.056737588652481</v>
      </c>
      <c r="M583" s="4">
        <f t="shared" si="19"/>
        <v>3.0657388298717887</v>
      </c>
      <c r="N583" s="4">
        <v>46.98</v>
      </c>
      <c r="O583" s="4">
        <v>1.823</v>
      </c>
      <c r="P583" s="4">
        <v>11.395</v>
      </c>
    </row>
    <row r="584" spans="1:16" x14ac:dyDescent="0.3">
      <c r="A584" s="4">
        <v>586</v>
      </c>
      <c r="B584" s="4" t="s">
        <v>21</v>
      </c>
      <c r="C584" s="4" t="s">
        <v>15</v>
      </c>
      <c r="D584" s="4" t="s">
        <v>16</v>
      </c>
      <c r="E584" s="4">
        <v>3</v>
      </c>
      <c r="F584" s="4" t="s">
        <v>22</v>
      </c>
      <c r="G584" s="4">
        <v>12</v>
      </c>
      <c r="H584" s="4">
        <v>14.916</v>
      </c>
      <c r="I584" s="4">
        <v>28.875033521051225</v>
      </c>
      <c r="J584" s="4">
        <v>6.97</v>
      </c>
      <c r="K584" s="4">
        <v>4.3070000000000004</v>
      </c>
      <c r="L584" s="4">
        <f t="shared" si="18"/>
        <v>38.206599713055944</v>
      </c>
      <c r="M584" s="4">
        <f t="shared" si="19"/>
        <v>2.9662802684884593</v>
      </c>
      <c r="N584" s="4">
        <v>47.53</v>
      </c>
      <c r="O584" s="4">
        <v>1.5960000000000001</v>
      </c>
      <c r="P584" s="4">
        <v>9.9779999999999998</v>
      </c>
    </row>
    <row r="585" spans="1:16" x14ac:dyDescent="0.3">
      <c r="A585" s="4">
        <v>591</v>
      </c>
      <c r="B585" s="4" t="s">
        <v>21</v>
      </c>
      <c r="C585" s="4" t="s">
        <v>18</v>
      </c>
      <c r="D585" s="4" t="s">
        <v>16</v>
      </c>
      <c r="E585" s="4">
        <v>2</v>
      </c>
      <c r="F585" s="4" t="s">
        <v>22</v>
      </c>
      <c r="G585" s="4">
        <v>12</v>
      </c>
      <c r="H585" s="4">
        <v>23.120999999999999</v>
      </c>
      <c r="I585" s="4">
        <v>22.26979801911682</v>
      </c>
      <c r="J585" s="4">
        <v>6.96</v>
      </c>
      <c r="K585" s="4">
        <v>5.149</v>
      </c>
      <c r="L585" s="4">
        <f t="shared" si="18"/>
        <v>26.020114942528732</v>
      </c>
      <c r="M585" s="4">
        <f t="shared" si="19"/>
        <v>2.7862836030703244</v>
      </c>
      <c r="N585" s="4">
        <v>38.01</v>
      </c>
      <c r="O585" s="4">
        <v>1.298</v>
      </c>
      <c r="P585" s="4">
        <v>8.1150000000000002</v>
      </c>
    </row>
    <row r="586" spans="1:16" x14ac:dyDescent="0.3">
      <c r="A586" s="4">
        <v>598</v>
      </c>
      <c r="B586" s="4" t="s">
        <v>21</v>
      </c>
      <c r="C586" s="4" t="s">
        <v>15</v>
      </c>
      <c r="D586" s="4" t="s">
        <v>16</v>
      </c>
      <c r="E586" s="4">
        <v>1</v>
      </c>
      <c r="F586" s="4" t="s">
        <v>22</v>
      </c>
      <c r="G586" s="4">
        <v>12</v>
      </c>
      <c r="H586" s="4">
        <v>20.768000000000001</v>
      </c>
      <c r="I586" s="4">
        <v>19.149653312788907</v>
      </c>
      <c r="J586" s="4">
        <v>7.05</v>
      </c>
      <c r="K586" s="4">
        <v>3.9769999999999999</v>
      </c>
      <c r="L586" s="4">
        <f t="shared" si="18"/>
        <v>43.588652482269502</v>
      </c>
      <c r="M586" s="4">
        <f t="shared" si="19"/>
        <v>3.057406500386624</v>
      </c>
      <c r="N586" s="4">
        <v>46.2</v>
      </c>
      <c r="O586" s="4">
        <v>1.5580000000000001</v>
      </c>
      <c r="P586" s="4">
        <v>9.7390000000000008</v>
      </c>
    </row>
    <row r="587" spans="1:16" x14ac:dyDescent="0.3">
      <c r="A587" s="4">
        <v>600</v>
      </c>
      <c r="B587" s="4" t="s">
        <v>21</v>
      </c>
      <c r="C587" s="4" t="s">
        <v>18</v>
      </c>
      <c r="D587" s="4" t="s">
        <v>16</v>
      </c>
      <c r="E587" s="4">
        <v>1</v>
      </c>
      <c r="F587" s="4" t="s">
        <v>22</v>
      </c>
      <c r="G587" s="4">
        <v>12</v>
      </c>
      <c r="H587" s="4">
        <v>16.491</v>
      </c>
      <c r="I587" s="4">
        <v>19.477290643381238</v>
      </c>
      <c r="J587" s="4">
        <v>7.07</v>
      </c>
      <c r="K587" s="4">
        <v>3.2120000000000002</v>
      </c>
      <c r="L587" s="4">
        <f t="shared" si="18"/>
        <v>54.568599717114566</v>
      </c>
      <c r="M587" s="4">
        <f t="shared" si="19"/>
        <v>3.2738733336119665</v>
      </c>
      <c r="N587" s="4">
        <v>46.53</v>
      </c>
      <c r="O587" s="4">
        <v>1.954</v>
      </c>
      <c r="P587" s="4">
        <v>12.211</v>
      </c>
    </row>
    <row r="588" spans="1:16" x14ac:dyDescent="0.3">
      <c r="A588" s="4">
        <v>664</v>
      </c>
      <c r="B588" s="4" t="s">
        <v>21</v>
      </c>
      <c r="C588" s="4" t="s">
        <v>18</v>
      </c>
      <c r="D588" s="4" t="s">
        <v>19</v>
      </c>
      <c r="E588" s="4">
        <v>5</v>
      </c>
      <c r="F588" s="4" t="s">
        <v>22</v>
      </c>
      <c r="G588" s="4">
        <v>12</v>
      </c>
      <c r="H588" s="4">
        <v>18.231000000000002</v>
      </c>
      <c r="I588" s="4">
        <v>25.346936536668313</v>
      </c>
      <c r="J588" s="4">
        <v>6.92</v>
      </c>
      <c r="K588" s="4">
        <v>4.6210000000000004</v>
      </c>
      <c r="L588" s="4">
        <f t="shared" si="18"/>
        <v>33.22254335260115</v>
      </c>
      <c r="M588" s="4">
        <f t="shared" si="19"/>
        <v>2.8887112875294489</v>
      </c>
      <c r="N588" s="4">
        <v>47.38</v>
      </c>
      <c r="O588" s="4">
        <v>1.5589999999999999</v>
      </c>
      <c r="P588" s="4">
        <v>9.7409999999999997</v>
      </c>
    </row>
    <row r="589" spans="1:16" x14ac:dyDescent="0.3">
      <c r="A589" s="4">
        <v>672</v>
      </c>
      <c r="B589" s="4" t="s">
        <v>21</v>
      </c>
      <c r="C589" s="4" t="s">
        <v>15</v>
      </c>
      <c r="D589" s="4" t="s">
        <v>19</v>
      </c>
      <c r="E589" s="4">
        <v>1</v>
      </c>
      <c r="F589" s="4" t="s">
        <v>22</v>
      </c>
      <c r="G589" s="4">
        <v>12</v>
      </c>
      <c r="H589" s="4">
        <v>16.481000000000002</v>
      </c>
      <c r="I589" s="4">
        <v>21.96468660882228</v>
      </c>
      <c r="J589" s="4">
        <v>6.99</v>
      </c>
      <c r="K589" s="4">
        <v>3.62</v>
      </c>
      <c r="L589" s="4">
        <f t="shared" si="18"/>
        <v>48.211731044349072</v>
      </c>
      <c r="M589" s="4">
        <f t="shared" si="19"/>
        <v>3.1429131801960395</v>
      </c>
      <c r="N589" s="4">
        <v>46.9</v>
      </c>
      <c r="O589" s="4">
        <v>1.589</v>
      </c>
      <c r="P589" s="4">
        <v>9.9339999999999993</v>
      </c>
    </row>
    <row r="590" spans="1:16" x14ac:dyDescent="0.3">
      <c r="A590" s="4">
        <v>677</v>
      </c>
      <c r="B590" s="4" t="s">
        <v>21</v>
      </c>
      <c r="C590" s="4" t="s">
        <v>15</v>
      </c>
      <c r="D590" s="4" t="s">
        <v>19</v>
      </c>
      <c r="E590" s="4">
        <v>3</v>
      </c>
      <c r="F590" s="4" t="s">
        <v>22</v>
      </c>
      <c r="G590" s="4">
        <v>12</v>
      </c>
      <c r="H590" s="4">
        <v>17.381</v>
      </c>
      <c r="I590" s="4">
        <v>22.311719693918647</v>
      </c>
      <c r="J590" s="4">
        <v>7</v>
      </c>
      <c r="K590" s="4">
        <v>3.8780000000000001</v>
      </c>
      <c r="L590" s="4">
        <f t="shared" si="18"/>
        <v>44.6</v>
      </c>
      <c r="M590" s="4">
        <f t="shared" si="19"/>
        <v>3.0754972420228537</v>
      </c>
      <c r="N590" s="4">
        <v>47.06</v>
      </c>
      <c r="O590" s="4">
        <v>1.7989999999999999</v>
      </c>
      <c r="P590" s="4">
        <v>11.244999999999999</v>
      </c>
    </row>
    <row r="591" spans="1:16" x14ac:dyDescent="0.3">
      <c r="A591" s="4">
        <v>686</v>
      </c>
      <c r="B591" s="4" t="s">
        <v>21</v>
      </c>
      <c r="C591" s="4" t="s">
        <v>15</v>
      </c>
      <c r="D591" s="4" t="s">
        <v>19</v>
      </c>
      <c r="E591" s="4">
        <v>2</v>
      </c>
      <c r="F591" s="4" t="s">
        <v>22</v>
      </c>
      <c r="G591" s="4">
        <v>12</v>
      </c>
      <c r="H591" s="4">
        <v>15.885999999999999</v>
      </c>
      <c r="I591" s="4">
        <v>24.367367493390407</v>
      </c>
      <c r="J591" s="4">
        <v>6.92</v>
      </c>
      <c r="K591" s="4">
        <v>3.871</v>
      </c>
      <c r="L591" s="4">
        <f t="shared" si="18"/>
        <v>44.060693641618499</v>
      </c>
      <c r="M591" s="4">
        <f t="shared" si="19"/>
        <v>3.0658095478220675</v>
      </c>
      <c r="N591" s="4">
        <v>45.57</v>
      </c>
      <c r="O591" s="4">
        <v>1.5309999999999999</v>
      </c>
      <c r="P591" s="4">
        <v>9.5670000000000002</v>
      </c>
    </row>
    <row r="592" spans="1:16" x14ac:dyDescent="0.3">
      <c r="A592" s="4">
        <v>689</v>
      </c>
      <c r="B592" s="4" t="s">
        <v>21</v>
      </c>
      <c r="C592" s="4" t="s">
        <v>18</v>
      </c>
      <c r="D592" s="4" t="s">
        <v>19</v>
      </c>
      <c r="E592" s="4">
        <v>1</v>
      </c>
      <c r="F592" s="4" t="s">
        <v>22</v>
      </c>
      <c r="G592" s="4">
        <v>12</v>
      </c>
      <c r="H592" s="4">
        <v>18.715</v>
      </c>
      <c r="I592" s="4">
        <v>20.053433075073471</v>
      </c>
      <c r="J592" s="4">
        <v>7.01</v>
      </c>
      <c r="K592" s="4">
        <v>3.7530000000000001</v>
      </c>
      <c r="L592" s="4">
        <f t="shared" si="18"/>
        <v>46.462196861626239</v>
      </c>
      <c r="M592" s="4">
        <f t="shared" si="19"/>
        <v>3.1096888306816153</v>
      </c>
      <c r="N592" s="4">
        <v>47.73</v>
      </c>
      <c r="O592" s="4">
        <v>1.6359999999999999</v>
      </c>
      <c r="P592" s="4">
        <v>10.228</v>
      </c>
    </row>
    <row r="593" spans="1:16" x14ac:dyDescent="0.3">
      <c r="A593" s="4">
        <v>692</v>
      </c>
      <c r="B593" s="4" t="s">
        <v>21</v>
      </c>
      <c r="C593" s="4" t="s">
        <v>18</v>
      </c>
      <c r="D593" s="4" t="s">
        <v>19</v>
      </c>
      <c r="E593" s="4">
        <v>3</v>
      </c>
      <c r="F593" s="4" t="s">
        <v>22</v>
      </c>
      <c r="G593" s="4">
        <v>12</v>
      </c>
      <c r="H593" s="4">
        <v>20.026</v>
      </c>
      <c r="I593" s="4">
        <v>19.145111355238189</v>
      </c>
      <c r="J593" s="4">
        <v>6.93</v>
      </c>
      <c r="K593" s="4">
        <v>3.8340000000000001</v>
      </c>
      <c r="L593" s="4">
        <f t="shared" si="18"/>
        <v>44.675324675324674</v>
      </c>
      <c r="M593" s="4">
        <f t="shared" si="19"/>
        <v>3.0768578183663591</v>
      </c>
      <c r="N593" s="4">
        <v>45.74</v>
      </c>
      <c r="O593" s="4">
        <v>2.0150000000000001</v>
      </c>
      <c r="P593" s="4">
        <v>12.593</v>
      </c>
    </row>
    <row r="594" spans="1:16" x14ac:dyDescent="0.3">
      <c r="A594" s="4">
        <v>695</v>
      </c>
      <c r="B594" s="4" t="s">
        <v>21</v>
      </c>
      <c r="C594" s="4" t="s">
        <v>15</v>
      </c>
      <c r="D594" s="4" t="s">
        <v>19</v>
      </c>
      <c r="E594" s="4">
        <v>5</v>
      </c>
      <c r="F594" s="4" t="s">
        <v>22</v>
      </c>
      <c r="G594" s="4">
        <v>12</v>
      </c>
      <c r="H594" s="4">
        <v>19.356000000000002</v>
      </c>
      <c r="I594" s="4">
        <v>22.344492663773504</v>
      </c>
      <c r="J594" s="4">
        <v>6.96</v>
      </c>
      <c r="K594" s="4">
        <v>4.3250000000000002</v>
      </c>
      <c r="L594" s="4">
        <f t="shared" si="18"/>
        <v>37.859195402298845</v>
      </c>
      <c r="M594" s="4">
        <f t="shared" si="19"/>
        <v>2.9606739837504858</v>
      </c>
      <c r="N594" s="4">
        <v>46.04</v>
      </c>
      <c r="O594" s="4">
        <v>1.591</v>
      </c>
      <c r="P594" s="4">
        <v>9.9469999999999992</v>
      </c>
    </row>
    <row r="595" spans="1:16" x14ac:dyDescent="0.3">
      <c r="A595" s="4">
        <v>699</v>
      </c>
      <c r="B595" s="4" t="s">
        <v>21</v>
      </c>
      <c r="C595" s="4" t="s">
        <v>15</v>
      </c>
      <c r="D595" s="4" t="s">
        <v>19</v>
      </c>
      <c r="E595" s="4">
        <v>4</v>
      </c>
      <c r="F595" s="4" t="s">
        <v>22</v>
      </c>
      <c r="G595" s="4">
        <v>12</v>
      </c>
      <c r="H595" s="4">
        <v>20.404</v>
      </c>
      <c r="I595" s="4">
        <v>19.050186237992548</v>
      </c>
      <c r="J595" s="4">
        <v>7.05</v>
      </c>
      <c r="K595" s="4">
        <v>3.887</v>
      </c>
      <c r="L595" s="4">
        <f t="shared" si="18"/>
        <v>44.865248226950357</v>
      </c>
      <c r="M595" s="4">
        <f t="shared" si="19"/>
        <v>3.0802966147420912</v>
      </c>
      <c r="N595" s="4">
        <v>47.32</v>
      </c>
      <c r="O595" s="4">
        <v>1.397</v>
      </c>
      <c r="P595" s="4">
        <v>9.0250000000000004</v>
      </c>
    </row>
    <row r="596" spans="1:16" x14ac:dyDescent="0.3">
      <c r="A596" s="4">
        <v>701</v>
      </c>
      <c r="B596" s="4" t="s">
        <v>21</v>
      </c>
      <c r="C596" s="4" t="s">
        <v>18</v>
      </c>
      <c r="D596" s="4" t="s">
        <v>19</v>
      </c>
      <c r="E596" s="4">
        <v>4</v>
      </c>
      <c r="F596" s="4" t="s">
        <v>22</v>
      </c>
      <c r="G596" s="4">
        <v>12</v>
      </c>
      <c r="H596" s="4">
        <v>17.757000000000001</v>
      </c>
      <c r="I596" s="4">
        <v>23.066959508926054</v>
      </c>
      <c r="J596" s="4">
        <v>6.93</v>
      </c>
      <c r="K596" s="4">
        <v>4.0960000000000001</v>
      </c>
      <c r="L596" s="4">
        <f t="shared" si="18"/>
        <v>40.894660894660888</v>
      </c>
      <c r="M596" s="4">
        <f t="shared" si="19"/>
        <v>3.0107555752526056</v>
      </c>
      <c r="N596" s="4">
        <v>46.73</v>
      </c>
      <c r="O596" s="4">
        <v>1.2210000000000001</v>
      </c>
      <c r="P596" s="4">
        <v>7.633</v>
      </c>
    </row>
    <row r="597" spans="1:16" x14ac:dyDescent="0.3">
      <c r="A597" s="4">
        <v>715</v>
      </c>
      <c r="B597" s="4" t="s">
        <v>21</v>
      </c>
      <c r="C597" s="4" t="s">
        <v>18</v>
      </c>
      <c r="D597" s="4" t="s">
        <v>19</v>
      </c>
      <c r="E597" s="4">
        <v>2</v>
      </c>
      <c r="F597" s="4" t="s">
        <v>22</v>
      </c>
      <c r="G597" s="4">
        <v>12</v>
      </c>
      <c r="H597" s="4">
        <v>20.51</v>
      </c>
      <c r="I597" s="4">
        <v>21.511457825450996</v>
      </c>
      <c r="J597" s="4">
        <v>6.98</v>
      </c>
      <c r="K597" s="4">
        <v>4.4119999999999999</v>
      </c>
      <c r="L597" s="4">
        <f t="shared" si="18"/>
        <v>36.790830945558746</v>
      </c>
      <c r="M597" s="4">
        <f t="shared" si="19"/>
        <v>2.9436274651710255</v>
      </c>
      <c r="N597" s="4">
        <v>41.06</v>
      </c>
      <c r="O597" s="4">
        <v>1.4850000000000001</v>
      </c>
      <c r="P597" s="4">
        <v>9.2799999999999994</v>
      </c>
    </row>
    <row r="598" spans="1:16" x14ac:dyDescent="0.3">
      <c r="A598" s="4" t="s">
        <v>33</v>
      </c>
      <c r="B598" s="4" t="s">
        <v>14</v>
      </c>
      <c r="C598" s="4" t="s">
        <v>18</v>
      </c>
      <c r="D598" s="4" t="s">
        <v>19</v>
      </c>
      <c r="E598" s="4">
        <v>4</v>
      </c>
      <c r="F598" s="4" t="s">
        <v>22</v>
      </c>
      <c r="G598" s="4">
        <v>12</v>
      </c>
      <c r="H598" s="4">
        <v>16.898</v>
      </c>
      <c r="I598" s="4">
        <v>76.760563380281681</v>
      </c>
      <c r="J598" s="4">
        <v>7</v>
      </c>
      <c r="K598" s="4">
        <v>3.927</v>
      </c>
      <c r="L598" s="4">
        <f t="shared" si="18"/>
        <v>43.9</v>
      </c>
      <c r="M598" s="4">
        <f t="shared" si="19"/>
        <v>3.0629410232474408</v>
      </c>
      <c r="N598" s="4">
        <v>47.07</v>
      </c>
      <c r="O598" s="4">
        <v>1.0980000000000001</v>
      </c>
      <c r="P598" s="4">
        <v>6.8650000000000002</v>
      </c>
    </row>
    <row r="599" spans="1:16" x14ac:dyDescent="0.3">
      <c r="A599" s="4" t="s">
        <v>34</v>
      </c>
      <c r="B599" s="4" t="s">
        <v>14</v>
      </c>
      <c r="C599" s="4" t="s">
        <v>18</v>
      </c>
      <c r="D599" s="4" t="s">
        <v>19</v>
      </c>
      <c r="E599" s="4">
        <v>5</v>
      </c>
      <c r="F599" s="4" t="s">
        <v>22</v>
      </c>
      <c r="G599" s="4">
        <v>12</v>
      </c>
      <c r="H599" s="4">
        <v>21.645</v>
      </c>
      <c r="I599" s="4">
        <v>75.962115962115959</v>
      </c>
      <c r="J599" s="4">
        <v>7</v>
      </c>
      <c r="K599" s="4">
        <v>5.2030000000000003</v>
      </c>
      <c r="L599" s="4">
        <f t="shared" si="18"/>
        <v>25.671428571428567</v>
      </c>
      <c r="M599" s="4">
        <f t="shared" si="19"/>
        <v>2.7815814165351473</v>
      </c>
      <c r="N599" s="4">
        <v>28.88</v>
      </c>
      <c r="O599" s="4">
        <v>1.2729999999999999</v>
      </c>
      <c r="P599" s="4">
        <v>7.9539999999999997</v>
      </c>
    </row>
    <row r="600" spans="1:16" x14ac:dyDescent="0.3">
      <c r="A600" s="12">
        <v>6</v>
      </c>
      <c r="B600" s="12" t="s">
        <v>14</v>
      </c>
      <c r="C600" s="12" t="s">
        <v>15</v>
      </c>
      <c r="D600" s="12" t="s">
        <v>16</v>
      </c>
      <c r="E600" s="12">
        <v>3</v>
      </c>
      <c r="F600" s="12" t="s">
        <v>17</v>
      </c>
      <c r="G600" s="12">
        <v>18</v>
      </c>
      <c r="H600" s="12">
        <v>7.2210000000000001</v>
      </c>
      <c r="I600" s="12">
        <v>71.375155795596186</v>
      </c>
      <c r="J600" s="12">
        <v>7.02</v>
      </c>
      <c r="K600" s="12">
        <v>2.0670000000000002</v>
      </c>
      <c r="L600" s="12">
        <f t="shared" si="18"/>
        <v>70.555555555555543</v>
      </c>
      <c r="M600" s="12">
        <f t="shared" si="19"/>
        <v>4.1130366952342534</v>
      </c>
      <c r="N600" s="12">
        <v>46.07</v>
      </c>
      <c r="O600" s="12">
        <v>1.669</v>
      </c>
      <c r="P600" s="12">
        <v>10.432</v>
      </c>
    </row>
    <row r="601" spans="1:16" x14ac:dyDescent="0.3">
      <c r="A601" s="12">
        <v>14</v>
      </c>
      <c r="B601" s="12" t="s">
        <v>14</v>
      </c>
      <c r="C601" s="12" t="s">
        <v>15</v>
      </c>
      <c r="D601" s="12" t="s">
        <v>16</v>
      </c>
      <c r="E601" s="12">
        <v>2</v>
      </c>
      <c r="F601" s="12" t="s">
        <v>17</v>
      </c>
      <c r="G601" s="12">
        <v>18</v>
      </c>
      <c r="H601" s="12">
        <v>6.2510000000000003</v>
      </c>
      <c r="I601" s="12">
        <v>56.838905775075986</v>
      </c>
      <c r="J601" s="12">
        <v>6.92</v>
      </c>
      <c r="K601" s="12">
        <v>2.698</v>
      </c>
      <c r="L601" s="12">
        <f t="shared" si="18"/>
        <v>61.011560693641606</v>
      </c>
      <c r="M601" s="12">
        <f t="shared" si="19"/>
        <v>3.8322767697401789</v>
      </c>
      <c r="N601" s="12">
        <v>43.96</v>
      </c>
      <c r="O601" s="12">
        <v>1.603</v>
      </c>
      <c r="P601" s="12">
        <v>10.016999999999999</v>
      </c>
    </row>
    <row r="602" spans="1:16" x14ac:dyDescent="0.3">
      <c r="A602" s="12">
        <v>15</v>
      </c>
      <c r="B602" s="12" t="s">
        <v>14</v>
      </c>
      <c r="C602" s="12" t="s">
        <v>18</v>
      </c>
      <c r="D602" s="12" t="s">
        <v>16</v>
      </c>
      <c r="E602" s="12">
        <v>5</v>
      </c>
      <c r="F602" s="12" t="s">
        <v>17</v>
      </c>
      <c r="G602" s="12">
        <v>18</v>
      </c>
      <c r="H602" s="12">
        <v>0.79100000000000004</v>
      </c>
      <c r="I602" s="12">
        <v>23.640960809102406</v>
      </c>
      <c r="J602" s="12">
        <v>7.01</v>
      </c>
      <c r="K602" s="12">
        <v>0.60399999999999998</v>
      </c>
      <c r="L602" s="12">
        <f t="shared" si="18"/>
        <v>91.383737517831662</v>
      </c>
      <c r="M602" s="12">
        <f t="shared" si="19"/>
        <v>5.3418905399899854</v>
      </c>
      <c r="N602" s="12">
        <v>45.88</v>
      </c>
      <c r="O602" s="12">
        <v>1.6120000000000001</v>
      </c>
      <c r="P602" s="12">
        <v>10.071999999999999</v>
      </c>
    </row>
    <row r="603" spans="1:16" x14ac:dyDescent="0.3">
      <c r="A603" s="12">
        <v>22</v>
      </c>
      <c r="B603" s="12" t="s">
        <v>14</v>
      </c>
      <c r="C603" s="12" t="s">
        <v>18</v>
      </c>
      <c r="D603" s="12" t="s">
        <v>16</v>
      </c>
      <c r="E603" s="12">
        <v>1</v>
      </c>
      <c r="F603" s="12" t="s">
        <v>17</v>
      </c>
      <c r="G603" s="12">
        <v>18</v>
      </c>
      <c r="H603" s="12">
        <v>2.173</v>
      </c>
      <c r="I603" s="12">
        <v>41.601472618499777</v>
      </c>
      <c r="J603" s="12">
        <v>6.9999999999999991</v>
      </c>
      <c r="K603" s="12">
        <v>1.2689999999999999</v>
      </c>
      <c r="L603" s="12">
        <f t="shared" si="18"/>
        <v>81.871428571428567</v>
      </c>
      <c r="M603" s="12">
        <f t="shared" si="19"/>
        <v>4.5980527182192272</v>
      </c>
      <c r="N603" s="12">
        <v>44.12</v>
      </c>
      <c r="O603" s="12">
        <v>1.5389999999999999</v>
      </c>
      <c r="P603" s="12">
        <v>9.6199999999999992</v>
      </c>
    </row>
    <row r="604" spans="1:16" x14ac:dyDescent="0.3">
      <c r="A604" s="12">
        <v>34</v>
      </c>
      <c r="B604" s="12" t="s">
        <v>14</v>
      </c>
      <c r="C604" s="12" t="s">
        <v>15</v>
      </c>
      <c r="D604" s="12" t="s">
        <v>16</v>
      </c>
      <c r="E604" s="12">
        <v>1</v>
      </c>
      <c r="F604" s="12" t="s">
        <v>17</v>
      </c>
      <c r="G604" s="12">
        <v>18</v>
      </c>
      <c r="H604" s="12">
        <v>5.4379999999999997</v>
      </c>
      <c r="I604" s="12">
        <v>47.719749908054432</v>
      </c>
      <c r="J604" s="12">
        <v>6.9899999999999993</v>
      </c>
      <c r="K604" s="12">
        <v>2.843</v>
      </c>
      <c r="L604" s="12">
        <f t="shared" si="18"/>
        <v>59.327610872675251</v>
      </c>
      <c r="M604" s="12">
        <f t="shared" si="19"/>
        <v>3.7899924814730208</v>
      </c>
      <c r="N604" s="12">
        <v>44.39</v>
      </c>
      <c r="O604" s="12">
        <v>1.47</v>
      </c>
      <c r="P604" s="12">
        <v>9.19</v>
      </c>
    </row>
    <row r="605" spans="1:16" x14ac:dyDescent="0.3">
      <c r="A605" s="12">
        <v>50</v>
      </c>
      <c r="B605" s="12" t="s">
        <v>14</v>
      </c>
      <c r="C605" s="12" t="s">
        <v>15</v>
      </c>
      <c r="D605" s="12" t="s">
        <v>16</v>
      </c>
      <c r="E605" s="12">
        <v>4</v>
      </c>
      <c r="F605" s="12" t="s">
        <v>17</v>
      </c>
      <c r="G605" s="12">
        <v>18</v>
      </c>
      <c r="H605" s="12">
        <v>3.004</v>
      </c>
      <c r="I605" s="12">
        <v>32.256990679094535</v>
      </c>
      <c r="J605" s="12">
        <v>6.92</v>
      </c>
      <c r="K605" s="12">
        <v>2.0350000000000001</v>
      </c>
      <c r="L605" s="12">
        <f t="shared" si="18"/>
        <v>70.592485549132945</v>
      </c>
      <c r="M605" s="12">
        <f t="shared" si="19"/>
        <v>4.1142917086311845</v>
      </c>
      <c r="N605" s="12">
        <v>45.47</v>
      </c>
      <c r="O605" s="12">
        <v>1.8149999999999999</v>
      </c>
      <c r="P605" s="12">
        <v>11.345000000000001</v>
      </c>
    </row>
    <row r="606" spans="1:16" x14ac:dyDescent="0.3">
      <c r="A606" s="12">
        <v>54</v>
      </c>
      <c r="B606" s="12" t="s">
        <v>14</v>
      </c>
      <c r="C606" s="12" t="s">
        <v>15</v>
      </c>
      <c r="D606" s="12" t="s">
        <v>16</v>
      </c>
      <c r="E606" s="12">
        <v>5</v>
      </c>
      <c r="F606" s="12" t="s">
        <v>17</v>
      </c>
      <c r="G606" s="12">
        <v>18</v>
      </c>
      <c r="H606" s="12">
        <v>5.7530000000000001</v>
      </c>
      <c r="I606" s="12">
        <v>60.542325743090565</v>
      </c>
      <c r="J606" s="12">
        <v>6.98</v>
      </c>
      <c r="K606" s="12">
        <v>2.27</v>
      </c>
      <c r="L606" s="12">
        <f t="shared" si="18"/>
        <v>67.478510028653304</v>
      </c>
      <c r="M606" s="12">
        <f t="shared" si="19"/>
        <v>4.0136408431771349</v>
      </c>
      <c r="N606" s="12">
        <v>45.38</v>
      </c>
      <c r="O606" s="12">
        <v>1.7869999999999999</v>
      </c>
      <c r="P606" s="12">
        <v>11.166</v>
      </c>
    </row>
    <row r="607" spans="1:16" x14ac:dyDescent="0.3">
      <c r="A607" s="12">
        <v>121</v>
      </c>
      <c r="B607" s="12" t="s">
        <v>14</v>
      </c>
      <c r="C607" s="12" t="s">
        <v>18</v>
      </c>
      <c r="D607" s="12" t="s">
        <v>19</v>
      </c>
      <c r="E607" s="12">
        <v>5</v>
      </c>
      <c r="F607" s="12" t="s">
        <v>17</v>
      </c>
      <c r="G607" s="12">
        <v>18</v>
      </c>
      <c r="H607" s="12">
        <v>3.1890000000000001</v>
      </c>
      <c r="I607" s="12">
        <v>46.660395108184382</v>
      </c>
      <c r="J607" s="12">
        <v>7.06</v>
      </c>
      <c r="K607" s="12">
        <v>1.7010000000000001</v>
      </c>
      <c r="L607" s="12">
        <f t="shared" si="18"/>
        <v>75.906515580736539</v>
      </c>
      <c r="M607" s="12">
        <f t="shared" si="19"/>
        <v>4.3136004959875907</v>
      </c>
      <c r="N607" s="12">
        <v>43.7</v>
      </c>
      <c r="O607" s="12">
        <v>1.52</v>
      </c>
      <c r="P607" s="12">
        <v>9.5009999999999994</v>
      </c>
    </row>
    <row r="608" spans="1:16" x14ac:dyDescent="0.3">
      <c r="A608" s="12">
        <v>135</v>
      </c>
      <c r="B608" s="12" t="s">
        <v>14</v>
      </c>
      <c r="C608" s="12" t="s">
        <v>15</v>
      </c>
      <c r="D608" s="12" t="s">
        <v>19</v>
      </c>
      <c r="E608" s="12">
        <v>4</v>
      </c>
      <c r="F608" s="12" t="s">
        <v>17</v>
      </c>
      <c r="G608" s="12">
        <v>18</v>
      </c>
      <c r="H608" s="12">
        <v>2.835</v>
      </c>
      <c r="I608" s="12">
        <v>29.347442680776009</v>
      </c>
      <c r="J608" s="12">
        <v>7</v>
      </c>
      <c r="K608" s="12">
        <v>2.0030000000000001</v>
      </c>
      <c r="L608" s="12">
        <f t="shared" si="18"/>
        <v>71.385714285714286</v>
      </c>
      <c r="M608" s="12">
        <f t="shared" si="19"/>
        <v>4.1416358502677966</v>
      </c>
      <c r="N608" s="12">
        <v>45.1</v>
      </c>
      <c r="O608" s="12">
        <v>1.6539999999999999</v>
      </c>
      <c r="P608" s="12">
        <v>10.337</v>
      </c>
    </row>
    <row r="609" spans="1:16" x14ac:dyDescent="0.3">
      <c r="A609" s="12">
        <v>137</v>
      </c>
      <c r="B609" s="12" t="s">
        <v>14</v>
      </c>
      <c r="C609" s="12" t="s">
        <v>15</v>
      </c>
      <c r="D609" s="12" t="s">
        <v>19</v>
      </c>
      <c r="E609" s="12">
        <v>5</v>
      </c>
      <c r="F609" s="12" t="s">
        <v>17</v>
      </c>
      <c r="G609" s="12">
        <v>18</v>
      </c>
      <c r="H609" s="12">
        <v>5.5010000000000003</v>
      </c>
      <c r="I609" s="12">
        <v>52.608616615160877</v>
      </c>
      <c r="J609" s="12">
        <v>7.09</v>
      </c>
      <c r="K609" s="12">
        <v>2.6070000000000002</v>
      </c>
      <c r="L609" s="12">
        <f t="shared" si="18"/>
        <v>63.229901269393508</v>
      </c>
      <c r="M609" s="12">
        <f t="shared" si="19"/>
        <v>3.8908569634888361</v>
      </c>
      <c r="N609" s="12">
        <v>45.38</v>
      </c>
      <c r="O609" s="12">
        <v>1.5740000000000001</v>
      </c>
      <c r="P609" s="12">
        <v>9.8379999999999992</v>
      </c>
    </row>
    <row r="610" spans="1:16" x14ac:dyDescent="0.3">
      <c r="A610" s="12">
        <v>142</v>
      </c>
      <c r="B610" s="12" t="s">
        <v>14</v>
      </c>
      <c r="C610" s="12" t="s">
        <v>18</v>
      </c>
      <c r="D610" s="12" t="s">
        <v>19</v>
      </c>
      <c r="E610" s="12">
        <v>3</v>
      </c>
      <c r="F610" s="12" t="s">
        <v>17</v>
      </c>
      <c r="G610" s="12">
        <v>18</v>
      </c>
      <c r="H610" s="12">
        <v>3.4390000000000001</v>
      </c>
      <c r="I610" s="12">
        <v>41.814480953765631</v>
      </c>
      <c r="J610" s="12">
        <v>7.09</v>
      </c>
      <c r="K610" s="12">
        <v>2.0009999999999999</v>
      </c>
      <c r="L610" s="12">
        <f t="shared" si="18"/>
        <v>71.777150916784223</v>
      </c>
      <c r="M610" s="12">
        <f t="shared" si="19"/>
        <v>4.1554100428386045</v>
      </c>
      <c r="N610" s="12">
        <v>41.25</v>
      </c>
      <c r="O610" s="12">
        <v>1.4059999999999999</v>
      </c>
      <c r="P610" s="12">
        <v>8.7910000000000004</v>
      </c>
    </row>
    <row r="611" spans="1:16" x14ac:dyDescent="0.3">
      <c r="A611" s="12">
        <v>144</v>
      </c>
      <c r="B611" s="12" t="s">
        <v>14</v>
      </c>
      <c r="C611" s="12" t="s">
        <v>15</v>
      </c>
      <c r="D611" s="12" t="s">
        <v>19</v>
      </c>
      <c r="E611" s="12">
        <v>3</v>
      </c>
      <c r="F611" s="12" t="s">
        <v>17</v>
      </c>
      <c r="G611" s="12">
        <v>18</v>
      </c>
      <c r="H611" s="12">
        <v>3.7879999999999998</v>
      </c>
      <c r="I611" s="12">
        <v>23.336853220696934</v>
      </c>
      <c r="J611" s="12">
        <v>7.07</v>
      </c>
      <c r="K611" s="12">
        <v>2.9039999999999999</v>
      </c>
      <c r="L611" s="12">
        <f t="shared" si="18"/>
        <v>58.925035360678926</v>
      </c>
      <c r="M611" s="12">
        <f t="shared" si="19"/>
        <v>3.7801431408420965</v>
      </c>
      <c r="N611" s="12">
        <v>44.19</v>
      </c>
      <c r="O611" s="12">
        <v>1.6679999999999999</v>
      </c>
      <c r="P611" s="12">
        <v>10.423999999999999</v>
      </c>
    </row>
    <row r="612" spans="1:16" x14ac:dyDescent="0.3">
      <c r="A612" s="12">
        <v>155</v>
      </c>
      <c r="B612" s="12" t="s">
        <v>14</v>
      </c>
      <c r="C612" s="12" t="s">
        <v>18</v>
      </c>
      <c r="D612" s="12" t="s">
        <v>19</v>
      </c>
      <c r="E612" s="12">
        <v>4</v>
      </c>
      <c r="F612" s="12" t="s">
        <v>17</v>
      </c>
      <c r="G612" s="12">
        <v>18</v>
      </c>
      <c r="H612" s="12">
        <v>60.712000000000003</v>
      </c>
      <c r="I612" s="12">
        <v>97.932863354855698</v>
      </c>
      <c r="J612" s="12">
        <v>7.01</v>
      </c>
      <c r="K612" s="12">
        <v>1.2549999999999999</v>
      </c>
      <c r="L612" s="12">
        <f t="shared" si="18"/>
        <v>82.097004279600569</v>
      </c>
      <c r="M612" s="12">
        <f t="shared" si="19"/>
        <v>4.6105738863589165</v>
      </c>
      <c r="N612" s="12">
        <v>42.7</v>
      </c>
      <c r="O612" s="12">
        <v>1.3069999999999999</v>
      </c>
      <c r="P612" s="12">
        <v>8.1709999999999994</v>
      </c>
    </row>
    <row r="613" spans="1:16" x14ac:dyDescent="0.3">
      <c r="A613" s="12">
        <v>155</v>
      </c>
      <c r="B613" s="12" t="s">
        <v>14</v>
      </c>
      <c r="C613" s="12" t="s">
        <v>18</v>
      </c>
      <c r="D613" s="12" t="s">
        <v>19</v>
      </c>
      <c r="E613" s="12">
        <v>4</v>
      </c>
      <c r="F613" s="12" t="s">
        <v>17</v>
      </c>
      <c r="G613" s="12">
        <v>18</v>
      </c>
      <c r="H613" s="12">
        <v>3.76</v>
      </c>
      <c r="I613" s="12">
        <v>67.180851063829778</v>
      </c>
      <c r="J613" s="12">
        <v>7</v>
      </c>
      <c r="K613" s="12">
        <v>1.234</v>
      </c>
      <c r="L613" s="12">
        <f t="shared" si="18"/>
        <v>82.371428571428567</v>
      </c>
      <c r="M613" s="12">
        <f t="shared" si="19"/>
        <v>4.6260209814682822</v>
      </c>
      <c r="N613" s="12">
        <v>45.28</v>
      </c>
      <c r="O613" s="12">
        <v>1.5369999999999999</v>
      </c>
      <c r="P613" s="12">
        <v>9.6069999999999993</v>
      </c>
    </row>
    <row r="614" spans="1:16" x14ac:dyDescent="0.3">
      <c r="A614" s="12">
        <v>174</v>
      </c>
      <c r="B614" s="12" t="s">
        <v>14</v>
      </c>
      <c r="C614" s="12" t="s">
        <v>15</v>
      </c>
      <c r="D614" s="12" t="s">
        <v>19</v>
      </c>
      <c r="E614" s="12">
        <v>1</v>
      </c>
      <c r="F614" s="12" t="s">
        <v>17</v>
      </c>
      <c r="G614" s="12">
        <v>18</v>
      </c>
      <c r="H614" s="12">
        <v>3.82</v>
      </c>
      <c r="I614" s="12">
        <v>30.890052356020938</v>
      </c>
      <c r="J614" s="12">
        <v>7</v>
      </c>
      <c r="K614" s="12">
        <v>2.64</v>
      </c>
      <c r="L614" s="12">
        <f t="shared" si="18"/>
        <v>62.285714285714278</v>
      </c>
      <c r="M614" s="12">
        <f t="shared" si="19"/>
        <v>3.8655029897932529</v>
      </c>
      <c r="N614" s="12">
        <v>43.57</v>
      </c>
      <c r="O614" s="12">
        <v>1.454</v>
      </c>
      <c r="P614" s="12">
        <v>9.09</v>
      </c>
    </row>
    <row r="615" spans="1:16" x14ac:dyDescent="0.3">
      <c r="A615" s="12">
        <v>241</v>
      </c>
      <c r="B615" s="12" t="s">
        <v>20</v>
      </c>
      <c r="C615" s="12" t="s">
        <v>18</v>
      </c>
      <c r="D615" s="12" t="s">
        <v>16</v>
      </c>
      <c r="E615" s="12">
        <v>4</v>
      </c>
      <c r="F615" s="12" t="s">
        <v>17</v>
      </c>
      <c r="G615" s="12">
        <v>18</v>
      </c>
      <c r="H615" s="12">
        <v>8.6590000000000007</v>
      </c>
      <c r="I615" s="12">
        <v>79.131539438734265</v>
      </c>
      <c r="J615" s="12">
        <v>7.0299999999999994</v>
      </c>
      <c r="K615" s="12">
        <v>1.8069999999999999</v>
      </c>
      <c r="L615" s="12">
        <f t="shared" si="18"/>
        <v>74.295874822190598</v>
      </c>
      <c r="M615" s="12">
        <f t="shared" si="19"/>
        <v>4.2488904521086468</v>
      </c>
      <c r="N615" s="12">
        <v>46.8</v>
      </c>
      <c r="O615" s="12">
        <v>1.6419999999999999</v>
      </c>
      <c r="P615" s="12">
        <v>10.262</v>
      </c>
    </row>
    <row r="616" spans="1:16" x14ac:dyDescent="0.3">
      <c r="A616" s="12">
        <v>243</v>
      </c>
      <c r="B616" s="12" t="s">
        <v>20</v>
      </c>
      <c r="C616" s="12" t="s">
        <v>18</v>
      </c>
      <c r="D616" s="12" t="s">
        <v>16</v>
      </c>
      <c r="E616" s="12">
        <v>5</v>
      </c>
      <c r="F616" s="12" t="s">
        <v>17</v>
      </c>
      <c r="G616" s="12">
        <v>18</v>
      </c>
      <c r="H616" s="12">
        <v>8.5419999999999998</v>
      </c>
      <c r="I616" s="12">
        <v>75.239990634511827</v>
      </c>
      <c r="J616" s="12">
        <v>6.8900000000000006</v>
      </c>
      <c r="K616" s="12">
        <v>2.1150000000000002</v>
      </c>
      <c r="L616" s="12">
        <f t="shared" si="18"/>
        <v>69.303338171262695</v>
      </c>
      <c r="M616" s="12">
        <f t="shared" si="19"/>
        <v>4.0713880304234911</v>
      </c>
      <c r="N616" s="12">
        <v>45.72</v>
      </c>
      <c r="O616" s="12">
        <v>1.5669999999999999</v>
      </c>
      <c r="P616" s="12">
        <v>9.7919999999999998</v>
      </c>
    </row>
    <row r="617" spans="1:16" x14ac:dyDescent="0.3">
      <c r="A617" s="12">
        <v>252</v>
      </c>
      <c r="B617" s="12" t="s">
        <v>20</v>
      </c>
      <c r="C617" s="12" t="s">
        <v>18</v>
      </c>
      <c r="D617" s="12" t="s">
        <v>16</v>
      </c>
      <c r="E617" s="12">
        <v>3</v>
      </c>
      <c r="F617" s="12" t="s">
        <v>17</v>
      </c>
      <c r="G617" s="12">
        <v>18</v>
      </c>
      <c r="H617" s="12">
        <v>6.0010000000000003</v>
      </c>
      <c r="I617" s="12">
        <v>61.639726712214639</v>
      </c>
      <c r="J617" s="12">
        <v>6.9200000000000008</v>
      </c>
      <c r="K617" s="12">
        <v>2.302</v>
      </c>
      <c r="L617" s="12">
        <f t="shared" si="18"/>
        <v>66.734104046242777</v>
      </c>
      <c r="M617" s="12">
        <f t="shared" si="19"/>
        <v>3.9910092172260523</v>
      </c>
      <c r="N617" s="12">
        <v>45.59</v>
      </c>
      <c r="O617" s="12">
        <v>2.0569999999999999</v>
      </c>
      <c r="P617" s="12">
        <v>12.856</v>
      </c>
    </row>
    <row r="618" spans="1:16" x14ac:dyDescent="0.3">
      <c r="A618" s="12">
        <v>256</v>
      </c>
      <c r="B618" s="12" t="s">
        <v>20</v>
      </c>
      <c r="C618" s="12" t="s">
        <v>15</v>
      </c>
      <c r="D618" s="12" t="s">
        <v>16</v>
      </c>
      <c r="E618" s="12">
        <v>4</v>
      </c>
      <c r="F618" s="12" t="s">
        <v>17</v>
      </c>
      <c r="G618" s="12">
        <v>18</v>
      </c>
      <c r="H618" s="12">
        <v>10.59</v>
      </c>
      <c r="I618" s="12">
        <v>73.654390934844187</v>
      </c>
      <c r="J618" s="12">
        <v>7.5099999999999989</v>
      </c>
      <c r="K618" s="12">
        <v>2.79</v>
      </c>
      <c r="L618" s="12">
        <f t="shared" si="18"/>
        <v>62.849533954727022</v>
      </c>
      <c r="M618" s="12">
        <f t="shared" si="19"/>
        <v>3.880565627838934</v>
      </c>
      <c r="N618" s="12">
        <v>46.88</v>
      </c>
      <c r="O618" s="12">
        <v>1.6839999999999999</v>
      </c>
      <c r="P618" s="12">
        <v>10.523999999999999</v>
      </c>
    </row>
    <row r="619" spans="1:16" x14ac:dyDescent="0.3">
      <c r="A619" s="12">
        <v>258</v>
      </c>
      <c r="B619" s="12" t="s">
        <v>20</v>
      </c>
      <c r="C619" s="12" t="s">
        <v>18</v>
      </c>
      <c r="D619" s="12" t="s">
        <v>19</v>
      </c>
      <c r="E619" s="12">
        <v>1</v>
      </c>
      <c r="F619" s="12" t="s">
        <v>17</v>
      </c>
      <c r="G619" s="12">
        <v>18</v>
      </c>
      <c r="H619" s="12">
        <v>5.17</v>
      </c>
      <c r="I619" s="12">
        <v>72.823984526112184</v>
      </c>
      <c r="J619" s="12">
        <v>6.92</v>
      </c>
      <c r="K619" s="12">
        <v>1.405</v>
      </c>
      <c r="L619" s="12">
        <f t="shared" si="18"/>
        <v>79.696531791907503</v>
      </c>
      <c r="M619" s="12">
        <f t="shared" si="19"/>
        <v>4.4847502247400337</v>
      </c>
      <c r="N619" s="12">
        <v>44.09</v>
      </c>
      <c r="O619" s="12">
        <v>1.47</v>
      </c>
      <c r="P619" s="12">
        <v>9.1890000000000001</v>
      </c>
    </row>
    <row r="620" spans="1:16" x14ac:dyDescent="0.3">
      <c r="A620" s="12">
        <v>268</v>
      </c>
      <c r="B620" s="12" t="s">
        <v>20</v>
      </c>
      <c r="C620" s="12" t="s">
        <v>15</v>
      </c>
      <c r="D620" s="12" t="s">
        <v>16</v>
      </c>
      <c r="E620" s="12">
        <v>1</v>
      </c>
      <c r="F620" s="12" t="s">
        <v>17</v>
      </c>
      <c r="G620" s="12">
        <v>18</v>
      </c>
      <c r="H620" s="12">
        <v>11.458</v>
      </c>
      <c r="I620" s="12">
        <v>72.534473730144882</v>
      </c>
      <c r="J620" s="12">
        <v>7.01</v>
      </c>
      <c r="K620" s="12">
        <v>3.1469999999999998</v>
      </c>
      <c r="L620" s="12">
        <f t="shared" si="18"/>
        <v>55.106990014265335</v>
      </c>
      <c r="M620" s="12">
        <f t="shared" si="19"/>
        <v>3.6912598408603938</v>
      </c>
      <c r="N620" s="12">
        <v>47.77</v>
      </c>
      <c r="O620" s="12">
        <v>1.54</v>
      </c>
      <c r="P620" s="12">
        <v>9.6229999999999993</v>
      </c>
    </row>
    <row r="621" spans="1:16" x14ac:dyDescent="0.3">
      <c r="A621" s="12">
        <v>270</v>
      </c>
      <c r="B621" s="12" t="s">
        <v>20</v>
      </c>
      <c r="C621" s="12" t="s">
        <v>18</v>
      </c>
      <c r="D621" s="12" t="s">
        <v>16</v>
      </c>
      <c r="E621" s="12">
        <v>2</v>
      </c>
      <c r="F621" s="12" t="s">
        <v>17</v>
      </c>
      <c r="G621" s="12">
        <v>18</v>
      </c>
      <c r="H621" s="12">
        <v>12.635999999999999</v>
      </c>
      <c r="I621" s="12">
        <v>78.284267173156067</v>
      </c>
      <c r="J621" s="12">
        <v>7.0400000000000009</v>
      </c>
      <c r="K621" s="12">
        <v>2.7440000000000002</v>
      </c>
      <c r="L621" s="12">
        <f t="shared" si="18"/>
        <v>61.02272727272728</v>
      </c>
      <c r="M621" s="12">
        <f t="shared" si="19"/>
        <v>3.8325632182024769</v>
      </c>
      <c r="N621" s="12">
        <v>48.06</v>
      </c>
      <c r="O621" s="12">
        <v>1.637</v>
      </c>
      <c r="P621" s="12">
        <v>10.231999999999999</v>
      </c>
    </row>
    <row r="622" spans="1:16" x14ac:dyDescent="0.3">
      <c r="A622" s="12">
        <v>276</v>
      </c>
      <c r="B622" s="12" t="s">
        <v>20</v>
      </c>
      <c r="C622" s="12" t="s">
        <v>15</v>
      </c>
      <c r="D622" s="12" t="s">
        <v>16</v>
      </c>
      <c r="E622" s="12">
        <v>3</v>
      </c>
      <c r="F622" s="12" t="s">
        <v>17</v>
      </c>
      <c r="G622" s="12">
        <v>18</v>
      </c>
      <c r="H622" s="12">
        <v>12.234999999999999</v>
      </c>
      <c r="I622" s="12">
        <v>81.912545974662848</v>
      </c>
      <c r="J622" s="12">
        <v>6.9899999999999993</v>
      </c>
      <c r="K622" s="12">
        <v>2.2130000000000001</v>
      </c>
      <c r="L622" s="12">
        <f t="shared" si="18"/>
        <v>68.340486409155929</v>
      </c>
      <c r="M622" s="12">
        <f t="shared" si="19"/>
        <v>4.0405032530729708</v>
      </c>
      <c r="N622" s="12">
        <v>47.05</v>
      </c>
      <c r="O622" s="12">
        <v>1.9410000000000001</v>
      </c>
      <c r="P622" s="12">
        <v>12.132999999999999</v>
      </c>
    </row>
    <row r="623" spans="1:16" x14ac:dyDescent="0.3">
      <c r="A623" s="12">
        <v>289</v>
      </c>
      <c r="B623" s="12" t="s">
        <v>20</v>
      </c>
      <c r="C623" s="12" t="s">
        <v>15</v>
      </c>
      <c r="D623" s="12" t="s">
        <v>16</v>
      </c>
      <c r="E623" s="12">
        <v>2</v>
      </c>
      <c r="F623" s="12" t="s">
        <v>17</v>
      </c>
      <c r="G623" s="12">
        <v>18</v>
      </c>
      <c r="H623" s="12">
        <v>10.379</v>
      </c>
      <c r="I623" s="12">
        <v>76.385008189613629</v>
      </c>
      <c r="J623" s="12">
        <v>6.97</v>
      </c>
      <c r="K623" s="12">
        <v>2.4510000000000001</v>
      </c>
      <c r="L623" s="12">
        <f t="shared" si="18"/>
        <v>64.835007173601156</v>
      </c>
      <c r="M623" s="12">
        <f t="shared" si="19"/>
        <v>3.9354908781226214</v>
      </c>
      <c r="N623" s="12">
        <v>45.45</v>
      </c>
      <c r="O623" s="12">
        <v>1.72</v>
      </c>
      <c r="P623" s="12">
        <v>10.747</v>
      </c>
    </row>
    <row r="624" spans="1:16" x14ac:dyDescent="0.3">
      <c r="A624" s="12">
        <v>376</v>
      </c>
      <c r="B624" s="12" t="s">
        <v>20</v>
      </c>
      <c r="C624" s="12" t="s">
        <v>18</v>
      </c>
      <c r="D624" s="12" t="s">
        <v>19</v>
      </c>
      <c r="E624" s="12">
        <v>2</v>
      </c>
      <c r="F624" s="12" t="s">
        <v>17</v>
      </c>
      <c r="G624" s="12">
        <v>18</v>
      </c>
      <c r="H624" s="12">
        <v>9.9740000000000002</v>
      </c>
      <c r="I624" s="12">
        <v>64.13675556446762</v>
      </c>
      <c r="J624" s="12">
        <v>6.94</v>
      </c>
      <c r="K624" s="12">
        <v>3.577</v>
      </c>
      <c r="L624" s="12">
        <f t="shared" si="18"/>
        <v>48.458213256484157</v>
      </c>
      <c r="M624" s="12">
        <f t="shared" si="19"/>
        <v>3.5531490721379972</v>
      </c>
      <c r="N624" s="12">
        <v>46.52</v>
      </c>
      <c r="O624" s="12">
        <v>1.357</v>
      </c>
      <c r="P624" s="12">
        <v>8.4830000000000005</v>
      </c>
    </row>
    <row r="625" spans="1:16" x14ac:dyDescent="0.3">
      <c r="A625" s="12">
        <v>377</v>
      </c>
      <c r="B625" s="12" t="s">
        <v>20</v>
      </c>
      <c r="C625" s="12" t="s">
        <v>15</v>
      </c>
      <c r="D625" s="12" t="s">
        <v>19</v>
      </c>
      <c r="E625" s="12">
        <v>1</v>
      </c>
      <c r="F625" s="12" t="s">
        <v>17</v>
      </c>
      <c r="G625" s="12">
        <v>18</v>
      </c>
      <c r="H625" s="12">
        <v>6.3360000000000003</v>
      </c>
      <c r="I625" s="12">
        <v>57.607323232323239</v>
      </c>
      <c r="J625" s="12">
        <v>7.01</v>
      </c>
      <c r="K625" s="12">
        <v>2.6859999999999999</v>
      </c>
      <c r="L625" s="12">
        <f t="shared" si="18"/>
        <v>61.683309557774614</v>
      </c>
      <c r="M625" s="12">
        <f t="shared" si="19"/>
        <v>3.8496563608416174</v>
      </c>
      <c r="N625" s="12">
        <v>46.96</v>
      </c>
      <c r="O625" s="12">
        <v>1.4430000000000001</v>
      </c>
      <c r="P625" s="12">
        <v>9.0169999999999995</v>
      </c>
    </row>
    <row r="626" spans="1:16" x14ac:dyDescent="0.3">
      <c r="A626" s="12">
        <v>380</v>
      </c>
      <c r="B626" s="12" t="s">
        <v>20</v>
      </c>
      <c r="C626" s="12" t="s">
        <v>18</v>
      </c>
      <c r="D626" s="12" t="s">
        <v>19</v>
      </c>
      <c r="E626" s="12">
        <v>3</v>
      </c>
      <c r="F626" s="12" t="s">
        <v>17</v>
      </c>
      <c r="G626" s="12">
        <v>18</v>
      </c>
      <c r="H626" s="12">
        <v>5.4809999999999999</v>
      </c>
      <c r="I626" s="12">
        <v>52.65462506841817</v>
      </c>
      <c r="J626" s="12">
        <v>6.99</v>
      </c>
      <c r="K626" s="12">
        <v>2.5950000000000002</v>
      </c>
      <c r="L626" s="12">
        <f t="shared" si="18"/>
        <v>62.875536480686691</v>
      </c>
      <c r="M626" s="12">
        <f t="shared" si="19"/>
        <v>3.8812657975240317</v>
      </c>
      <c r="N626" s="12">
        <v>45.82</v>
      </c>
      <c r="O626" s="12">
        <v>1.3839999999999999</v>
      </c>
      <c r="P626" s="12">
        <v>8.6479999999999997</v>
      </c>
    </row>
    <row r="627" spans="1:16" x14ac:dyDescent="0.3">
      <c r="A627" s="12">
        <v>388</v>
      </c>
      <c r="B627" s="12" t="s">
        <v>20</v>
      </c>
      <c r="C627" s="12" t="s">
        <v>18</v>
      </c>
      <c r="D627" s="12" t="s">
        <v>19</v>
      </c>
      <c r="E627" s="12">
        <v>1</v>
      </c>
      <c r="F627" s="12" t="s">
        <v>17</v>
      </c>
      <c r="G627" s="12">
        <v>18</v>
      </c>
      <c r="H627" s="12">
        <v>11.471</v>
      </c>
      <c r="I627" s="12">
        <v>88.45785023101736</v>
      </c>
      <c r="J627" s="12">
        <v>6.98</v>
      </c>
      <c r="K627" s="12">
        <v>1.3240000000000001</v>
      </c>
      <c r="L627" s="12">
        <f t="shared" si="18"/>
        <v>81.031518624641848</v>
      </c>
      <c r="M627" s="12">
        <f t="shared" si="19"/>
        <v>4.5527632171556291</v>
      </c>
      <c r="N627" s="12">
        <v>46.15</v>
      </c>
      <c r="O627" s="12">
        <v>1.173</v>
      </c>
      <c r="P627" s="12">
        <v>7.3339999999999996</v>
      </c>
    </row>
    <row r="628" spans="1:16" x14ac:dyDescent="0.3">
      <c r="A628" s="12">
        <v>400</v>
      </c>
      <c r="B628" s="12" t="s">
        <v>20</v>
      </c>
      <c r="C628" s="12" t="s">
        <v>15</v>
      </c>
      <c r="D628" s="12" t="s">
        <v>19</v>
      </c>
      <c r="E628" s="12">
        <v>3</v>
      </c>
      <c r="F628" s="12" t="s">
        <v>17</v>
      </c>
      <c r="G628" s="12">
        <v>18</v>
      </c>
      <c r="H628" s="12">
        <v>10.029</v>
      </c>
      <c r="I628" s="12">
        <v>75.590786718516298</v>
      </c>
      <c r="J628" s="12">
        <v>6.91</v>
      </c>
      <c r="K628" s="12">
        <v>2.448</v>
      </c>
      <c r="L628" s="12">
        <f t="shared" si="18"/>
        <v>64.573082489146159</v>
      </c>
      <c r="M628" s="12">
        <f t="shared" si="19"/>
        <v>3.9280700310256633</v>
      </c>
      <c r="N628" s="12">
        <v>46.1</v>
      </c>
      <c r="O628" s="12">
        <v>1.4810000000000001</v>
      </c>
      <c r="P628" s="12">
        <v>8.7509999999999994</v>
      </c>
    </row>
    <row r="629" spans="1:16" x14ac:dyDescent="0.3">
      <c r="A629" s="12">
        <v>406</v>
      </c>
      <c r="B629" s="12" t="s">
        <v>20</v>
      </c>
      <c r="C629" s="12" t="s">
        <v>15</v>
      </c>
      <c r="D629" s="12" t="s">
        <v>19</v>
      </c>
      <c r="E629" s="12">
        <v>4</v>
      </c>
      <c r="F629" s="12" t="s">
        <v>17</v>
      </c>
      <c r="G629" s="12">
        <v>18</v>
      </c>
      <c r="H629" s="12">
        <v>8.3879999999999999</v>
      </c>
      <c r="I629" s="12">
        <v>75.727229375298037</v>
      </c>
      <c r="J629" s="12">
        <v>6.97</v>
      </c>
      <c r="K629" s="12">
        <v>2.036</v>
      </c>
      <c r="L629" s="12">
        <f t="shared" si="18"/>
        <v>70.789096126255373</v>
      </c>
      <c r="M629" s="12">
        <f t="shared" si="19"/>
        <v>4.1209998839803212</v>
      </c>
      <c r="N629" s="12">
        <v>45.98</v>
      </c>
      <c r="O629" s="12">
        <v>1.512</v>
      </c>
      <c r="P629" s="12">
        <v>9.4480000000000004</v>
      </c>
    </row>
    <row r="630" spans="1:16" x14ac:dyDescent="0.3">
      <c r="A630" s="12">
        <v>409</v>
      </c>
      <c r="B630" s="12" t="s">
        <v>20</v>
      </c>
      <c r="C630" s="12" t="s">
        <v>15</v>
      </c>
      <c r="D630" s="12" t="s">
        <v>19</v>
      </c>
      <c r="E630" s="12">
        <v>2</v>
      </c>
      <c r="F630" s="12" t="s">
        <v>17</v>
      </c>
      <c r="G630" s="12">
        <v>18</v>
      </c>
      <c r="H630" s="12">
        <v>6.2649999999999997</v>
      </c>
      <c r="I630" s="12">
        <v>70.263367916999201</v>
      </c>
      <c r="J630" s="12">
        <v>6.93</v>
      </c>
      <c r="K630" s="12">
        <v>1.863</v>
      </c>
      <c r="L630" s="12">
        <f t="shared" si="18"/>
        <v>73.11688311688313</v>
      </c>
      <c r="M630" s="12">
        <f t="shared" si="19"/>
        <v>4.2040434794785249</v>
      </c>
      <c r="N630" s="12">
        <v>45.92</v>
      </c>
      <c r="O630" s="12">
        <v>1.4970000000000001</v>
      </c>
      <c r="P630" s="12">
        <v>9.0850000000000009</v>
      </c>
    </row>
    <row r="631" spans="1:16" x14ac:dyDescent="0.3">
      <c r="A631" s="12">
        <v>410</v>
      </c>
      <c r="B631" s="12" t="s">
        <v>20</v>
      </c>
      <c r="C631" s="12" t="s">
        <v>18</v>
      </c>
      <c r="D631" s="12" t="s">
        <v>19</v>
      </c>
      <c r="E631" s="12">
        <v>4</v>
      </c>
      <c r="F631" s="12" t="s">
        <v>17</v>
      </c>
      <c r="G631" s="12">
        <v>18</v>
      </c>
      <c r="H631" s="12">
        <v>4.8129999999999997</v>
      </c>
      <c r="I631" s="12">
        <v>71.660087263660927</v>
      </c>
      <c r="J631" s="12">
        <v>6.95</v>
      </c>
      <c r="K631" s="12">
        <v>1.3640000000000001</v>
      </c>
      <c r="L631" s="12">
        <f t="shared" si="18"/>
        <v>80.374100719424462</v>
      </c>
      <c r="M631" s="12">
        <f t="shared" si="19"/>
        <v>4.5186918580515956</v>
      </c>
      <c r="N631" s="12">
        <v>47.7</v>
      </c>
      <c r="O631" s="12">
        <v>1.331</v>
      </c>
      <c r="P631" s="12">
        <v>8.3209999999999997</v>
      </c>
    </row>
    <row r="632" spans="1:16" x14ac:dyDescent="0.3">
      <c r="A632" s="12">
        <v>411</v>
      </c>
      <c r="B632" s="12" t="s">
        <v>20</v>
      </c>
      <c r="C632" s="12" t="s">
        <v>18</v>
      </c>
      <c r="D632" s="12" t="s">
        <v>19</v>
      </c>
      <c r="E632" s="12">
        <v>5</v>
      </c>
      <c r="F632" s="12" t="s">
        <v>17</v>
      </c>
      <c r="G632" s="12">
        <v>18</v>
      </c>
      <c r="H632" s="12">
        <v>10.593999999999999</v>
      </c>
      <c r="I632" s="12">
        <v>70.285067019067398</v>
      </c>
      <c r="J632" s="12">
        <v>7.01</v>
      </c>
      <c r="K632" s="12">
        <v>3.1480000000000001</v>
      </c>
      <c r="L632" s="12">
        <f t="shared" si="18"/>
        <v>55.092724679029956</v>
      </c>
      <c r="M632" s="12">
        <f t="shared" si="19"/>
        <v>3.6909421283875066</v>
      </c>
      <c r="N632" s="12">
        <v>45.22</v>
      </c>
      <c r="O632" s="12">
        <v>1.38</v>
      </c>
      <c r="P632" s="12">
        <v>8.6229999999999993</v>
      </c>
    </row>
    <row r="633" spans="1:16" x14ac:dyDescent="0.3">
      <c r="A633" s="12">
        <v>458</v>
      </c>
      <c r="B633" s="12" t="s">
        <v>14</v>
      </c>
      <c r="C633" s="12" t="s">
        <v>15</v>
      </c>
      <c r="D633" s="12" t="s">
        <v>19</v>
      </c>
      <c r="E633" s="12">
        <v>2</v>
      </c>
      <c r="F633" s="12" t="s">
        <v>17</v>
      </c>
      <c r="G633" s="12">
        <v>18</v>
      </c>
      <c r="H633" s="12">
        <v>3.4689999999999999</v>
      </c>
      <c r="I633" s="12">
        <v>44.652637647737095</v>
      </c>
      <c r="J633" s="12">
        <v>7.04</v>
      </c>
      <c r="K633" s="12">
        <v>1.92</v>
      </c>
      <c r="L633" s="12">
        <f t="shared" si="18"/>
        <v>72.727272727272734</v>
      </c>
      <c r="M633" s="12">
        <f t="shared" si="19"/>
        <v>4.1896547420264261</v>
      </c>
      <c r="N633" s="12">
        <v>49.07</v>
      </c>
      <c r="O633" s="12">
        <v>1.4970000000000001</v>
      </c>
      <c r="P633" s="12">
        <v>8.8510000000000009</v>
      </c>
    </row>
    <row r="634" spans="1:16" x14ac:dyDescent="0.3">
      <c r="A634" s="12">
        <v>484</v>
      </c>
      <c r="B634" s="12" t="s">
        <v>21</v>
      </c>
      <c r="C634" s="12" t="s">
        <v>18</v>
      </c>
      <c r="D634" s="12" t="s">
        <v>16</v>
      </c>
      <c r="E634" s="12">
        <v>2</v>
      </c>
      <c r="F634" s="12" t="s">
        <v>17</v>
      </c>
      <c r="G634" s="12">
        <v>18</v>
      </c>
      <c r="H634" s="12">
        <v>5.694</v>
      </c>
      <c r="I634" s="12">
        <v>33.017211099402878</v>
      </c>
      <c r="J634" s="12">
        <v>7.06</v>
      </c>
      <c r="K634" s="12">
        <v>1.88</v>
      </c>
      <c r="L634" s="12">
        <f t="shared" si="18"/>
        <v>73.371104815864015</v>
      </c>
      <c r="M634" s="12">
        <f t="shared" si="19"/>
        <v>4.2135450325594572</v>
      </c>
      <c r="N634" s="12">
        <v>46.41</v>
      </c>
      <c r="O634" s="12">
        <v>1.4930000000000001</v>
      </c>
      <c r="P634" s="12">
        <v>9.3290000000000006</v>
      </c>
    </row>
    <row r="635" spans="1:16" x14ac:dyDescent="0.3">
      <c r="A635" s="12">
        <v>485</v>
      </c>
      <c r="B635" s="12" t="s">
        <v>21</v>
      </c>
      <c r="C635" s="12" t="s">
        <v>15</v>
      </c>
      <c r="D635" s="12" t="s">
        <v>16</v>
      </c>
      <c r="E635" s="12">
        <v>4</v>
      </c>
      <c r="F635" s="12" t="s">
        <v>17</v>
      </c>
      <c r="G635" s="12">
        <v>18</v>
      </c>
      <c r="H635" s="12">
        <v>9.2940000000000005</v>
      </c>
      <c r="I635" s="12">
        <v>28.071874327523133</v>
      </c>
      <c r="J635" s="12">
        <v>7</v>
      </c>
      <c r="K635" s="12">
        <v>2.609</v>
      </c>
      <c r="L635" s="12">
        <f t="shared" si="18"/>
        <v>62.728571428571435</v>
      </c>
      <c r="M635" s="12">
        <f t="shared" si="19"/>
        <v>3.8773149007968866</v>
      </c>
      <c r="N635" s="12">
        <v>46.72</v>
      </c>
      <c r="O635" s="12">
        <v>1.679</v>
      </c>
      <c r="P635" s="12">
        <v>10.492000000000001</v>
      </c>
    </row>
    <row r="636" spans="1:16" x14ac:dyDescent="0.3">
      <c r="A636" s="12">
        <v>495</v>
      </c>
      <c r="B636" s="12" t="s">
        <v>21</v>
      </c>
      <c r="C636" s="12" t="s">
        <v>18</v>
      </c>
      <c r="D636" s="12" t="s">
        <v>16</v>
      </c>
      <c r="E636" s="12">
        <v>4</v>
      </c>
      <c r="F636" s="12" t="s">
        <v>17</v>
      </c>
      <c r="G636" s="12">
        <v>18</v>
      </c>
      <c r="H636" s="12">
        <v>6.4180000000000001</v>
      </c>
      <c r="I636" s="12">
        <v>33.234652539732004</v>
      </c>
      <c r="J636" s="12">
        <v>6.99</v>
      </c>
      <c r="K636" s="12">
        <v>2.133</v>
      </c>
      <c r="L636" s="12">
        <f t="shared" si="18"/>
        <v>69.484978540772531</v>
      </c>
      <c r="M636" s="12">
        <f t="shared" si="19"/>
        <v>4.07732287465267</v>
      </c>
      <c r="N636" s="12">
        <v>42.86</v>
      </c>
      <c r="O636" s="12">
        <v>1.5409999999999999</v>
      </c>
      <c r="P636" s="12">
        <v>9.6280000000000001</v>
      </c>
    </row>
    <row r="637" spans="1:16" x14ac:dyDescent="0.3">
      <c r="A637" s="12">
        <v>504</v>
      </c>
      <c r="B637" s="12" t="s">
        <v>21</v>
      </c>
      <c r="C637" s="12" t="s">
        <v>15</v>
      </c>
      <c r="D637" s="12" t="s">
        <v>16</v>
      </c>
      <c r="E637" s="12">
        <v>1</v>
      </c>
      <c r="F637" s="12" t="s">
        <v>17</v>
      </c>
      <c r="G637" s="12">
        <v>18</v>
      </c>
      <c r="H637" s="12">
        <v>3.2210000000000001</v>
      </c>
      <c r="I637" s="12">
        <v>44.582427817447993</v>
      </c>
      <c r="J637" s="12">
        <v>6.9</v>
      </c>
      <c r="K637" s="12">
        <v>1.4359999999999999</v>
      </c>
      <c r="L637" s="12">
        <f t="shared" si="18"/>
        <v>79.188405797101453</v>
      </c>
      <c r="M637" s="12">
        <f t="shared" si="19"/>
        <v>4.4600316988733457</v>
      </c>
      <c r="N637" s="12">
        <v>46.64</v>
      </c>
      <c r="O637" s="12">
        <v>1.8140000000000001</v>
      </c>
      <c r="P637" s="12">
        <v>11.335000000000001</v>
      </c>
    </row>
    <row r="638" spans="1:16" x14ac:dyDescent="0.3">
      <c r="A638" s="12">
        <v>509</v>
      </c>
      <c r="B638" s="12" t="s">
        <v>21</v>
      </c>
      <c r="C638" s="12" t="s">
        <v>18</v>
      </c>
      <c r="D638" s="12" t="s">
        <v>16</v>
      </c>
      <c r="E638" s="12">
        <v>1</v>
      </c>
      <c r="F638" s="12" t="s">
        <v>17</v>
      </c>
      <c r="G638" s="12">
        <v>18</v>
      </c>
      <c r="H638" s="12">
        <v>4.9059999999999997</v>
      </c>
      <c r="I638" s="12">
        <v>42.804728903383612</v>
      </c>
      <c r="J638" s="12">
        <v>7.04</v>
      </c>
      <c r="K638" s="12">
        <v>2.1</v>
      </c>
      <c r="L638" s="12">
        <f t="shared" si="18"/>
        <v>70.170454545454547</v>
      </c>
      <c r="M638" s="12">
        <f t="shared" si="19"/>
        <v>4.1000425833367382</v>
      </c>
      <c r="N638" s="12">
        <v>45.38</v>
      </c>
      <c r="O638" s="12">
        <v>1.91</v>
      </c>
      <c r="P638" s="12">
        <v>11.938000000000001</v>
      </c>
    </row>
    <row r="639" spans="1:16" x14ac:dyDescent="0.3">
      <c r="A639" s="12">
        <v>512</v>
      </c>
      <c r="B639" s="12" t="s">
        <v>21</v>
      </c>
      <c r="C639" s="12" t="s">
        <v>18</v>
      </c>
      <c r="D639" s="12" t="s">
        <v>16</v>
      </c>
      <c r="E639" s="12">
        <v>3</v>
      </c>
      <c r="F639" s="12" t="s">
        <v>17</v>
      </c>
      <c r="G639" s="12">
        <v>18</v>
      </c>
      <c r="H639" s="12">
        <v>8.2509999999999994</v>
      </c>
      <c r="I639" s="12">
        <v>21.960974427342141</v>
      </c>
      <c r="J639" s="12">
        <v>7.08</v>
      </c>
      <c r="K639" s="12">
        <v>1.8120000000000001</v>
      </c>
      <c r="L639" s="12">
        <f t="shared" si="18"/>
        <v>74.406779661016941</v>
      </c>
      <c r="M639" s="12">
        <f t="shared" si="19"/>
        <v>4.2532144579810058</v>
      </c>
      <c r="N639" s="12">
        <v>45.44</v>
      </c>
      <c r="O639" s="12">
        <v>1.4550000000000001</v>
      </c>
      <c r="P639" s="12">
        <v>9.0950000000000006</v>
      </c>
    </row>
    <row r="640" spans="1:16" x14ac:dyDescent="0.3">
      <c r="A640" s="12">
        <v>519</v>
      </c>
      <c r="B640" s="12" t="s">
        <v>21</v>
      </c>
      <c r="C640" s="12" t="s">
        <v>15</v>
      </c>
      <c r="D640" s="12" t="s">
        <v>16</v>
      </c>
      <c r="E640" s="12">
        <v>2</v>
      </c>
      <c r="F640" s="12" t="s">
        <v>17</v>
      </c>
      <c r="G640" s="12">
        <v>18</v>
      </c>
      <c r="H640" s="12">
        <v>7.3620000000000001</v>
      </c>
      <c r="I640" s="12">
        <v>38.549307253463731</v>
      </c>
      <c r="J640" s="12">
        <v>7</v>
      </c>
      <c r="K640" s="12">
        <v>2.8380000000000001</v>
      </c>
      <c r="L640" s="12">
        <f t="shared" si="18"/>
        <v>59.457142857142856</v>
      </c>
      <c r="M640" s="12">
        <f t="shared" si="19"/>
        <v>3.7931823282136272</v>
      </c>
      <c r="N640" s="12">
        <v>45.5</v>
      </c>
      <c r="O640" s="12">
        <v>1.6160000000000001</v>
      </c>
      <c r="P640" s="12">
        <v>10.102</v>
      </c>
    </row>
    <row r="641" spans="1:16" x14ac:dyDescent="0.3">
      <c r="A641" s="12">
        <v>520</v>
      </c>
      <c r="B641" s="12" t="s">
        <v>21</v>
      </c>
      <c r="C641" s="12" t="s">
        <v>15</v>
      </c>
      <c r="D641" s="12" t="s">
        <v>16</v>
      </c>
      <c r="E641" s="12">
        <v>3</v>
      </c>
      <c r="F641" s="12" t="s">
        <v>17</v>
      </c>
      <c r="G641" s="12">
        <v>18</v>
      </c>
      <c r="H641" s="12">
        <v>6.2460000000000004</v>
      </c>
      <c r="I641" s="12">
        <v>42.21902017291066</v>
      </c>
      <c r="J641" s="12">
        <v>7.07</v>
      </c>
      <c r="K641" s="12">
        <v>2.637</v>
      </c>
      <c r="L641" s="12">
        <f t="shared" si="18"/>
        <v>62.701555869872692</v>
      </c>
      <c r="M641" s="12">
        <f t="shared" si="19"/>
        <v>3.8765903304334968</v>
      </c>
      <c r="N641" s="12">
        <v>43.09</v>
      </c>
      <c r="O641" s="12">
        <v>1.7110000000000001</v>
      </c>
      <c r="P641" s="12">
        <v>10.692</v>
      </c>
    </row>
    <row r="642" spans="1:16" x14ac:dyDescent="0.3">
      <c r="A642" s="12">
        <v>538</v>
      </c>
      <c r="B642" s="12" t="s">
        <v>21</v>
      </c>
      <c r="C642" s="12" t="s">
        <v>18</v>
      </c>
      <c r="D642" s="12" t="s">
        <v>16</v>
      </c>
      <c r="E642" s="12">
        <v>5</v>
      </c>
      <c r="F642" s="12" t="s">
        <v>17</v>
      </c>
      <c r="G642" s="12">
        <v>18</v>
      </c>
      <c r="H642" s="12">
        <v>5.8520000000000003</v>
      </c>
      <c r="I642" s="12">
        <v>32.057416267942578</v>
      </c>
      <c r="J642" s="12">
        <v>7.06</v>
      </c>
      <c r="K642" s="12">
        <v>1.8759999999999999</v>
      </c>
      <c r="L642" s="12">
        <f t="shared" si="18"/>
        <v>73.427762039660053</v>
      </c>
      <c r="M642" s="12">
        <f t="shared" si="19"/>
        <v>4.2156749588172824</v>
      </c>
      <c r="N642" s="12">
        <v>46.51</v>
      </c>
      <c r="O642" s="12">
        <v>1.744</v>
      </c>
      <c r="P642" s="12">
        <v>10.901999999999999</v>
      </c>
    </row>
    <row r="643" spans="1:16" x14ac:dyDescent="0.3">
      <c r="A643" s="12">
        <v>539</v>
      </c>
      <c r="B643" s="12" t="s">
        <v>21</v>
      </c>
      <c r="C643" s="12" t="s">
        <v>15</v>
      </c>
      <c r="D643" s="12" t="s">
        <v>16</v>
      </c>
      <c r="E643" s="12">
        <v>5</v>
      </c>
      <c r="F643" s="12" t="s">
        <v>17</v>
      </c>
      <c r="G643" s="12">
        <v>18</v>
      </c>
      <c r="H643" s="12">
        <v>6.1340000000000003</v>
      </c>
      <c r="I643" s="12">
        <v>29.784805999347896</v>
      </c>
      <c r="J643" s="12">
        <v>7.01</v>
      </c>
      <c r="K643" s="12">
        <v>1.827</v>
      </c>
      <c r="L643" s="12">
        <f t="shared" ref="L643:L706" si="20">((J643-K643)/J643)*100</f>
        <v>73.93723252496433</v>
      </c>
      <c r="M643" s="12">
        <f t="shared" ref="M643:M706" si="21">-LN((K643/J643)/G643)</f>
        <v>4.2350341815467933</v>
      </c>
      <c r="N643" s="12">
        <v>46.09</v>
      </c>
      <c r="O643" s="12">
        <v>1.919</v>
      </c>
      <c r="P643" s="12">
        <v>11.992000000000001</v>
      </c>
    </row>
    <row r="644" spans="1:16" x14ac:dyDescent="0.3">
      <c r="A644" s="12">
        <v>602</v>
      </c>
      <c r="B644" s="12" t="s">
        <v>21</v>
      </c>
      <c r="C644" s="12" t="s">
        <v>18</v>
      </c>
      <c r="D644" s="12" t="s">
        <v>19</v>
      </c>
      <c r="E644" s="12">
        <v>4</v>
      </c>
      <c r="F644" s="12" t="s">
        <v>17</v>
      </c>
      <c r="G644" s="12">
        <v>18</v>
      </c>
      <c r="H644" s="12">
        <v>3.4990000000000001</v>
      </c>
      <c r="I644" s="12">
        <v>42.840811660474422</v>
      </c>
      <c r="J644" s="12">
        <v>7.04</v>
      </c>
      <c r="K644" s="12">
        <v>1.4990000000000001</v>
      </c>
      <c r="L644" s="12">
        <f t="shared" si="20"/>
        <v>78.707386363636374</v>
      </c>
      <c r="M644" s="12">
        <f t="shared" si="21"/>
        <v>4.4371817089456549</v>
      </c>
      <c r="N644" s="12">
        <v>47.45</v>
      </c>
      <c r="O644" s="12">
        <v>2.4550000000000001</v>
      </c>
      <c r="P644" s="12">
        <v>15.343</v>
      </c>
    </row>
    <row r="645" spans="1:16" x14ac:dyDescent="0.3">
      <c r="A645" s="12">
        <v>614</v>
      </c>
      <c r="B645" s="12" t="s">
        <v>21</v>
      </c>
      <c r="C645" s="12" t="s">
        <v>18</v>
      </c>
      <c r="D645" s="12" t="s">
        <v>19</v>
      </c>
      <c r="E645" s="12">
        <v>1</v>
      </c>
      <c r="F645" s="12" t="s">
        <v>17</v>
      </c>
      <c r="G645" s="12">
        <v>18</v>
      </c>
      <c r="H645" s="12">
        <v>9.9260000000000002</v>
      </c>
      <c r="I645" s="12">
        <v>16.814426758009269</v>
      </c>
      <c r="J645" s="12">
        <v>6.95</v>
      </c>
      <c r="K645" s="12">
        <v>1.669</v>
      </c>
      <c r="L645" s="12">
        <f t="shared" si="20"/>
        <v>75.985611510791372</v>
      </c>
      <c r="M645" s="12">
        <f t="shared" si="21"/>
        <v>4.3168887727931677</v>
      </c>
      <c r="N645" s="12">
        <v>46.7</v>
      </c>
      <c r="O645" s="12">
        <v>1.3660000000000001</v>
      </c>
      <c r="P645" s="12">
        <v>8.5389999999999997</v>
      </c>
    </row>
    <row r="646" spans="1:16" x14ac:dyDescent="0.3">
      <c r="A646" s="12">
        <v>631</v>
      </c>
      <c r="B646" s="12" t="s">
        <v>21</v>
      </c>
      <c r="C646" s="12" t="s">
        <v>18</v>
      </c>
      <c r="D646" s="12" t="s">
        <v>19</v>
      </c>
      <c r="E646" s="12">
        <v>5</v>
      </c>
      <c r="F646" s="12" t="s">
        <v>17</v>
      </c>
      <c r="G646" s="12">
        <v>18</v>
      </c>
      <c r="H646" s="12">
        <v>7.7930000000000001</v>
      </c>
      <c r="I646" s="12">
        <v>30.97651738739895</v>
      </c>
      <c r="J646" s="12">
        <v>7.09</v>
      </c>
      <c r="K646" s="12">
        <v>2.4140000000000001</v>
      </c>
      <c r="L646" s="12">
        <f t="shared" si="20"/>
        <v>65.952045133991547</v>
      </c>
      <c r="M646" s="12">
        <f t="shared" si="21"/>
        <v>3.9677719757648608</v>
      </c>
      <c r="N646" s="12">
        <v>47.45</v>
      </c>
      <c r="O646" s="12">
        <v>1.7490000000000001</v>
      </c>
      <c r="P646" s="12">
        <v>10.929</v>
      </c>
    </row>
    <row r="647" spans="1:16" x14ac:dyDescent="0.3">
      <c r="A647" s="12">
        <v>634</v>
      </c>
      <c r="B647" s="12" t="s">
        <v>21</v>
      </c>
      <c r="C647" s="12" t="s">
        <v>15</v>
      </c>
      <c r="D647" s="12" t="s">
        <v>19</v>
      </c>
      <c r="E647" s="12">
        <v>3</v>
      </c>
      <c r="F647" s="12" t="s">
        <v>17</v>
      </c>
      <c r="G647" s="12">
        <v>18</v>
      </c>
      <c r="H647" s="12">
        <v>5.0049999999999999</v>
      </c>
      <c r="I647" s="12">
        <v>38.061938061938058</v>
      </c>
      <c r="J647" s="12">
        <v>7.05</v>
      </c>
      <c r="K647" s="12">
        <v>1.905</v>
      </c>
      <c r="L647" s="12">
        <f t="shared" si="20"/>
        <v>72.978723404255319</v>
      </c>
      <c r="M647" s="12">
        <f t="shared" si="21"/>
        <v>4.1989173661416777</v>
      </c>
      <c r="N647" s="12">
        <v>46.66</v>
      </c>
      <c r="O647" s="12">
        <v>2.8130000000000002</v>
      </c>
      <c r="P647" s="12">
        <v>17.581</v>
      </c>
    </row>
    <row r="648" spans="1:16" x14ac:dyDescent="0.3">
      <c r="A648" s="12">
        <v>639</v>
      </c>
      <c r="B648" s="12" t="s">
        <v>21</v>
      </c>
      <c r="C648" s="12" t="s">
        <v>18</v>
      </c>
      <c r="D648" s="12" t="s">
        <v>19</v>
      </c>
      <c r="E648" s="12">
        <v>3</v>
      </c>
      <c r="F648" s="12" t="s">
        <v>17</v>
      </c>
      <c r="G648" s="12">
        <v>18</v>
      </c>
      <c r="H648" s="12">
        <v>3.2250000000000001</v>
      </c>
      <c r="I648" s="12">
        <v>62.201550387596896</v>
      </c>
      <c r="J648" s="12">
        <v>6.95</v>
      </c>
      <c r="K648" s="12">
        <v>2.0059999999999998</v>
      </c>
      <c r="L648" s="12">
        <f t="shared" si="20"/>
        <v>71.136690647482027</v>
      </c>
      <c r="M648" s="12">
        <f t="shared" si="21"/>
        <v>4.132970727933122</v>
      </c>
      <c r="N648" s="12">
        <v>43.06</v>
      </c>
      <c r="O648" s="12">
        <v>1.4319999999999999</v>
      </c>
      <c r="P648" s="12">
        <v>8.7680000000000007</v>
      </c>
    </row>
    <row r="649" spans="1:16" x14ac:dyDescent="0.3">
      <c r="A649" s="12">
        <v>655</v>
      </c>
      <c r="B649" s="12" t="s">
        <v>21</v>
      </c>
      <c r="C649" s="12" t="s">
        <v>15</v>
      </c>
      <c r="D649" s="12" t="s">
        <v>19</v>
      </c>
      <c r="E649" s="12">
        <v>5</v>
      </c>
      <c r="F649" s="12" t="s">
        <v>17</v>
      </c>
      <c r="G649" s="12">
        <v>18</v>
      </c>
      <c r="H649" s="12">
        <v>6.6580000000000004</v>
      </c>
      <c r="I649" s="12">
        <v>49.864824271553019</v>
      </c>
      <c r="J649" s="12">
        <v>7.02</v>
      </c>
      <c r="K649" s="12">
        <v>3.32</v>
      </c>
      <c r="L649" s="12">
        <f t="shared" si="20"/>
        <v>52.706552706552699</v>
      </c>
      <c r="M649" s="12">
        <f t="shared" si="21"/>
        <v>3.6391701930054872</v>
      </c>
      <c r="N649" s="12">
        <v>46.77</v>
      </c>
      <c r="O649" s="12">
        <v>1.752</v>
      </c>
      <c r="P649" s="12">
        <v>8.9359999999999999</v>
      </c>
    </row>
    <row r="650" spans="1:16" x14ac:dyDescent="0.3">
      <c r="A650" s="12">
        <v>675</v>
      </c>
      <c r="B650" s="12" t="s">
        <v>21</v>
      </c>
      <c r="C650" s="12" t="s">
        <v>15</v>
      </c>
      <c r="D650" s="12" t="s">
        <v>19</v>
      </c>
      <c r="E650" s="12">
        <v>1</v>
      </c>
      <c r="F650" s="12" t="s">
        <v>17</v>
      </c>
      <c r="G650" s="12">
        <v>18</v>
      </c>
      <c r="H650" s="12">
        <v>4.0469999999999997</v>
      </c>
      <c r="I650" s="12">
        <v>49.641709908574256</v>
      </c>
      <c r="J650" s="12">
        <v>7</v>
      </c>
      <c r="K650" s="12">
        <v>2.0089999999999999</v>
      </c>
      <c r="L650" s="12">
        <f t="shared" si="20"/>
        <v>71.3</v>
      </c>
      <c r="M650" s="12">
        <f t="shared" si="21"/>
        <v>4.1386448211186808</v>
      </c>
      <c r="N650" s="12">
        <v>45.69</v>
      </c>
      <c r="O650" s="12">
        <v>1.589</v>
      </c>
      <c r="P650" s="12">
        <v>9.9280000000000008</v>
      </c>
    </row>
    <row r="651" spans="1:16" x14ac:dyDescent="0.3">
      <c r="A651" s="12" t="s">
        <v>35</v>
      </c>
      <c r="B651" s="12" t="s">
        <v>21</v>
      </c>
      <c r="C651" s="12" t="s">
        <v>18</v>
      </c>
      <c r="D651" s="12" t="s">
        <v>19</v>
      </c>
      <c r="E651" s="12">
        <v>2</v>
      </c>
      <c r="F651" s="12" t="s">
        <v>17</v>
      </c>
      <c r="G651" s="12">
        <v>18</v>
      </c>
      <c r="H651" s="12">
        <v>3.1720000000000002</v>
      </c>
      <c r="I651" s="12">
        <v>33.13366960907944</v>
      </c>
      <c r="J651" s="12">
        <v>7</v>
      </c>
      <c r="K651" s="12">
        <v>1.0509999999999999</v>
      </c>
      <c r="L651" s="12">
        <f t="shared" si="20"/>
        <v>84.98571428571428</v>
      </c>
      <c r="M651" s="12">
        <f t="shared" si="21"/>
        <v>4.7865398150566643</v>
      </c>
      <c r="N651" s="12">
        <v>45.76</v>
      </c>
      <c r="O651" s="12">
        <v>1.369</v>
      </c>
      <c r="P651" s="12">
        <v>8.5559999999999992</v>
      </c>
    </row>
    <row r="652" spans="1:16" x14ac:dyDescent="0.3">
      <c r="A652" s="12" t="s">
        <v>36</v>
      </c>
      <c r="B652" s="12" t="s">
        <v>21</v>
      </c>
      <c r="C652" s="12" t="s">
        <v>15</v>
      </c>
      <c r="D652" s="12" t="s">
        <v>16</v>
      </c>
      <c r="E652" s="12">
        <v>4</v>
      </c>
      <c r="F652" s="12" t="s">
        <v>17</v>
      </c>
      <c r="G652" s="12">
        <v>18</v>
      </c>
      <c r="H652" s="12">
        <v>4.9050000000000002</v>
      </c>
      <c r="I652" s="12">
        <v>45.15800203873598</v>
      </c>
      <c r="J652" s="12">
        <v>7</v>
      </c>
      <c r="K652" s="12">
        <v>2.2149999999999999</v>
      </c>
      <c r="L652" s="12">
        <f t="shared" si="20"/>
        <v>68.357142857142861</v>
      </c>
      <c r="M652" s="12">
        <f t="shared" si="21"/>
        <v>4.0410295034543795</v>
      </c>
      <c r="N652" s="12">
        <v>44.49</v>
      </c>
      <c r="O652" s="12">
        <v>1.8720000000000001</v>
      </c>
      <c r="P652" s="12">
        <v>11.702</v>
      </c>
    </row>
    <row r="653" spans="1:16" x14ac:dyDescent="0.3">
      <c r="A653" s="12" t="s">
        <v>37</v>
      </c>
      <c r="B653" s="12" t="s">
        <v>21</v>
      </c>
      <c r="C653" s="12" t="s">
        <v>15</v>
      </c>
      <c r="D653" s="12" t="s">
        <v>19</v>
      </c>
      <c r="E653" s="12">
        <v>2</v>
      </c>
      <c r="F653" s="12" t="s">
        <v>17</v>
      </c>
      <c r="G653" s="12">
        <v>18</v>
      </c>
      <c r="H653" s="12">
        <v>4.8129999999999997</v>
      </c>
      <c r="I653" s="12">
        <v>32.017452732183671</v>
      </c>
      <c r="J653" s="12">
        <v>7</v>
      </c>
      <c r="K653" s="12">
        <v>1.5409999999999999</v>
      </c>
      <c r="L653" s="12">
        <f t="shared" si="20"/>
        <v>77.98571428571428</v>
      </c>
      <c r="M653" s="12">
        <f t="shared" si="21"/>
        <v>4.4038503506134994</v>
      </c>
      <c r="N653" s="12">
        <v>43.9</v>
      </c>
      <c r="O653" s="12">
        <v>2.6429999999999998</v>
      </c>
      <c r="P653" s="12">
        <v>16.518999999999998</v>
      </c>
    </row>
    <row r="654" spans="1:16" x14ac:dyDescent="0.3">
      <c r="A654" s="12" t="s">
        <v>38</v>
      </c>
      <c r="B654" s="12" t="s">
        <v>14</v>
      </c>
      <c r="C654" s="12" t="s">
        <v>18</v>
      </c>
      <c r="D654" s="12" t="s">
        <v>16</v>
      </c>
      <c r="E654" s="12">
        <v>2</v>
      </c>
      <c r="F654" s="12" t="s">
        <v>17</v>
      </c>
      <c r="G654" s="12">
        <v>18</v>
      </c>
      <c r="H654" s="12">
        <v>3.8969999999999998</v>
      </c>
      <c r="I654" s="12">
        <v>39.876828329484212</v>
      </c>
      <c r="J654" s="12">
        <v>7</v>
      </c>
      <c r="K654" s="12">
        <v>2.343</v>
      </c>
      <c r="L654" s="12">
        <f t="shared" si="20"/>
        <v>66.528571428571425</v>
      </c>
      <c r="M654" s="12">
        <f t="shared" si="21"/>
        <v>3.9848497474258195</v>
      </c>
      <c r="N654" s="12">
        <v>45.26</v>
      </c>
      <c r="O654" s="12">
        <v>1.6859999999999999</v>
      </c>
      <c r="P654" s="12">
        <v>10.536</v>
      </c>
    </row>
    <row r="655" spans="1:16" x14ac:dyDescent="0.3">
      <c r="A655" s="12" t="s">
        <v>39</v>
      </c>
      <c r="B655" s="12" t="s">
        <v>14</v>
      </c>
      <c r="C655" s="12" t="s">
        <v>18</v>
      </c>
      <c r="D655" s="12" t="s">
        <v>19</v>
      </c>
      <c r="E655" s="12">
        <v>2</v>
      </c>
      <c r="F655" s="12" t="s">
        <v>17</v>
      </c>
      <c r="G655" s="12">
        <v>18</v>
      </c>
      <c r="H655" s="12">
        <v>3.93</v>
      </c>
      <c r="I655" s="12">
        <v>40.101781170483456</v>
      </c>
      <c r="J655" s="12">
        <v>7</v>
      </c>
      <c r="K655" s="12">
        <v>2.3540000000000001</v>
      </c>
      <c r="L655" s="12">
        <f t="shared" si="20"/>
        <v>66.371428571428567</v>
      </c>
      <c r="M655" s="12">
        <f t="shared" si="21"/>
        <v>3.9801658981133929</v>
      </c>
      <c r="N655" s="12">
        <v>46.77</v>
      </c>
      <c r="O655" s="12">
        <v>1.228</v>
      </c>
      <c r="P655" s="12">
        <v>7.6779999999999999</v>
      </c>
    </row>
    <row r="656" spans="1:16" x14ac:dyDescent="0.3">
      <c r="A656" s="12" t="s">
        <v>40</v>
      </c>
      <c r="B656" s="12" t="s">
        <v>14</v>
      </c>
      <c r="C656" s="12" t="s">
        <v>18</v>
      </c>
      <c r="D656" s="12" t="s">
        <v>19</v>
      </c>
      <c r="E656" s="12">
        <v>3</v>
      </c>
      <c r="F656" s="12" t="s">
        <v>17</v>
      </c>
      <c r="G656" s="12">
        <v>18</v>
      </c>
      <c r="H656" s="12">
        <v>6.2729999999999997</v>
      </c>
      <c r="I656" s="12">
        <v>83.644189383070298</v>
      </c>
      <c r="J656" s="12">
        <v>7</v>
      </c>
      <c r="K656" s="12">
        <v>1.026</v>
      </c>
      <c r="L656" s="12">
        <f t="shared" si="20"/>
        <v>85.342857142857142</v>
      </c>
      <c r="M656" s="12">
        <f t="shared" si="21"/>
        <v>4.8106141602029</v>
      </c>
      <c r="N656" s="12">
        <v>45.48</v>
      </c>
      <c r="O656" s="12">
        <v>1.51</v>
      </c>
      <c r="P656" s="12">
        <v>9.4359999999999999</v>
      </c>
    </row>
    <row r="657" spans="1:16" x14ac:dyDescent="0.3">
      <c r="A657" s="12" t="s">
        <v>41</v>
      </c>
      <c r="B657" s="12" t="s">
        <v>14</v>
      </c>
      <c r="C657" s="12" t="s">
        <v>15</v>
      </c>
      <c r="D657" s="12" t="s">
        <v>19</v>
      </c>
      <c r="E657" s="12">
        <v>4</v>
      </c>
      <c r="F657" s="12" t="s">
        <v>17</v>
      </c>
      <c r="G657" s="12">
        <v>18</v>
      </c>
      <c r="H657" s="12">
        <v>4.59</v>
      </c>
      <c r="I657" s="12">
        <v>44.662309368191714</v>
      </c>
      <c r="J657" s="12">
        <v>7</v>
      </c>
      <c r="K657" s="12">
        <v>2.54</v>
      </c>
      <c r="L657" s="12">
        <f t="shared" si="20"/>
        <v>63.714285714285715</v>
      </c>
      <c r="M657" s="12">
        <f t="shared" si="21"/>
        <v>3.9041178259210327</v>
      </c>
      <c r="N657" s="12">
        <v>45.09</v>
      </c>
      <c r="O657" s="12">
        <v>1.51</v>
      </c>
      <c r="P657" s="12">
        <v>9.4359999999999999</v>
      </c>
    </row>
    <row r="658" spans="1:16" x14ac:dyDescent="0.3">
      <c r="A658" s="2">
        <v>14</v>
      </c>
      <c r="B658" s="2" t="s">
        <v>14</v>
      </c>
      <c r="C658" s="2" t="s">
        <v>15</v>
      </c>
      <c r="D658" s="2" t="s">
        <v>16</v>
      </c>
      <c r="E658" s="2">
        <v>2</v>
      </c>
      <c r="F658" s="2" t="s">
        <v>22</v>
      </c>
      <c r="G658" s="2">
        <v>18</v>
      </c>
      <c r="H658" s="2">
        <v>4.12</v>
      </c>
      <c r="I658" s="2">
        <v>37.427184466019426</v>
      </c>
      <c r="J658" s="2">
        <v>6.99</v>
      </c>
      <c r="K658" s="2">
        <v>2.5779999999999998</v>
      </c>
      <c r="L658" s="2">
        <f t="shared" si="20"/>
        <v>63.118741058655239</v>
      </c>
      <c r="M658" s="2">
        <f t="shared" si="21"/>
        <v>3.8878384096248881</v>
      </c>
      <c r="N658" s="2">
        <v>44.58</v>
      </c>
      <c r="O658" s="2">
        <v>1.5249999999999999</v>
      </c>
      <c r="P658" s="2">
        <v>9.5289999999999999</v>
      </c>
    </row>
    <row r="659" spans="1:16" x14ac:dyDescent="0.3">
      <c r="A659" s="2">
        <v>63</v>
      </c>
      <c r="B659" s="2" t="s">
        <v>14</v>
      </c>
      <c r="C659" s="2" t="s">
        <v>18</v>
      </c>
      <c r="D659" s="2" t="s">
        <v>16</v>
      </c>
      <c r="E659" s="2">
        <v>5</v>
      </c>
      <c r="F659" s="2" t="s">
        <v>22</v>
      </c>
      <c r="G659" s="2">
        <v>18</v>
      </c>
      <c r="H659" s="2">
        <v>6.0250000000000004</v>
      </c>
      <c r="I659" s="2">
        <v>60.746887966804977</v>
      </c>
      <c r="J659" s="2">
        <v>7.06</v>
      </c>
      <c r="K659" s="2">
        <v>2.3650000000000002</v>
      </c>
      <c r="L659" s="2">
        <f t="shared" si="20"/>
        <v>66.501416430594901</v>
      </c>
      <c r="M659" s="2">
        <f t="shared" si="21"/>
        <v>3.9840387874574192</v>
      </c>
      <c r="N659" s="2">
        <v>44.09</v>
      </c>
      <c r="O659" s="2">
        <v>1.9490000000000001</v>
      </c>
      <c r="P659" s="2">
        <v>12.180999999999999</v>
      </c>
    </row>
    <row r="660" spans="1:16" x14ac:dyDescent="0.3">
      <c r="A660" s="2">
        <v>69</v>
      </c>
      <c r="B660" s="2" t="s">
        <v>14</v>
      </c>
      <c r="C660" s="2" t="s">
        <v>18</v>
      </c>
      <c r="D660" s="2" t="s">
        <v>16</v>
      </c>
      <c r="E660" s="2">
        <v>1</v>
      </c>
      <c r="F660" s="2" t="s">
        <v>22</v>
      </c>
      <c r="G660" s="2">
        <v>18</v>
      </c>
      <c r="H660" s="2">
        <v>4.1452999999999998</v>
      </c>
      <c r="I660" s="2">
        <v>17.528285045714423</v>
      </c>
      <c r="J660" s="2">
        <v>7</v>
      </c>
      <c r="K660" s="2">
        <v>3.4186999999999999</v>
      </c>
      <c r="L660" s="2">
        <f t="shared" si="20"/>
        <v>51.161428571428566</v>
      </c>
      <c r="M660" s="2">
        <f t="shared" si="21"/>
        <v>3.6070215450987928</v>
      </c>
      <c r="N660" s="2">
        <v>45.57</v>
      </c>
      <c r="O660" s="2">
        <v>1.6639999999999999</v>
      </c>
      <c r="P660" s="2">
        <v>10.401999999999999</v>
      </c>
    </row>
    <row r="661" spans="1:16" x14ac:dyDescent="0.3">
      <c r="A661" s="2">
        <v>79</v>
      </c>
      <c r="B661" s="2" t="s">
        <v>14</v>
      </c>
      <c r="C661" s="2" t="s">
        <v>15</v>
      </c>
      <c r="D661" s="2" t="s">
        <v>16</v>
      </c>
      <c r="E661" s="2">
        <v>5</v>
      </c>
      <c r="F661" s="2" t="s">
        <v>22</v>
      </c>
      <c r="G661" s="2">
        <v>18</v>
      </c>
      <c r="H661" s="2">
        <v>5.22</v>
      </c>
      <c r="I661" s="2">
        <v>45.670498084291189</v>
      </c>
      <c r="J661" s="2">
        <v>7.05</v>
      </c>
      <c r="K661" s="2">
        <v>2.8359999999999999</v>
      </c>
      <c r="L661" s="2">
        <f t="shared" si="20"/>
        <v>59.773049645390074</v>
      </c>
      <c r="M661" s="2">
        <f t="shared" si="21"/>
        <v>3.8010047660504611</v>
      </c>
      <c r="N661" s="2">
        <v>47.92</v>
      </c>
      <c r="O661" s="2">
        <v>1.661</v>
      </c>
      <c r="P661" s="2">
        <v>10.379</v>
      </c>
    </row>
    <row r="662" spans="1:16" x14ac:dyDescent="0.3">
      <c r="A662" s="2">
        <v>87</v>
      </c>
      <c r="B662" s="2" t="s">
        <v>14</v>
      </c>
      <c r="C662" s="2" t="s">
        <v>18</v>
      </c>
      <c r="D662" s="2" t="s">
        <v>16</v>
      </c>
      <c r="E662" s="2">
        <v>2</v>
      </c>
      <c r="F662" s="2" t="s">
        <v>22</v>
      </c>
      <c r="G662" s="2">
        <v>18</v>
      </c>
      <c r="H662" s="2">
        <v>3.98</v>
      </c>
      <c r="I662" s="2">
        <v>38.5929648241206</v>
      </c>
      <c r="J662" s="2">
        <v>7.02</v>
      </c>
      <c r="K662" s="2">
        <v>2.444</v>
      </c>
      <c r="L662" s="2">
        <f t="shared" si="20"/>
        <v>65.185185185185176</v>
      </c>
      <c r="M662" s="2">
        <f t="shared" si="21"/>
        <v>3.9454989346245357</v>
      </c>
      <c r="N662" s="2">
        <v>44.54</v>
      </c>
      <c r="O662" s="2">
        <v>2.0099999999999998</v>
      </c>
      <c r="P662" s="2">
        <v>12.565</v>
      </c>
    </row>
    <row r="663" spans="1:16" x14ac:dyDescent="0.3">
      <c r="A663" s="2">
        <v>89</v>
      </c>
      <c r="B663" s="2" t="s">
        <v>14</v>
      </c>
      <c r="C663" s="2" t="s">
        <v>15</v>
      </c>
      <c r="D663" s="2" t="s">
        <v>16</v>
      </c>
      <c r="E663" s="2">
        <v>4</v>
      </c>
      <c r="F663" s="2" t="s">
        <v>22</v>
      </c>
      <c r="G663" s="2">
        <v>18</v>
      </c>
      <c r="H663" s="2">
        <v>3.786</v>
      </c>
      <c r="I663" s="2">
        <v>23.048071843634439</v>
      </c>
      <c r="J663" s="2">
        <v>6.99</v>
      </c>
      <c r="K663" s="2">
        <v>2.9134000000000002</v>
      </c>
      <c r="L663" s="2">
        <f t="shared" si="20"/>
        <v>58.320457796852644</v>
      </c>
      <c r="M663" s="2">
        <f t="shared" si="21"/>
        <v>3.7655315301091732</v>
      </c>
      <c r="N663" s="2">
        <v>44.62</v>
      </c>
      <c r="O663" s="2">
        <v>1.597</v>
      </c>
      <c r="P663" s="2">
        <v>9.9789999999999992</v>
      </c>
    </row>
    <row r="664" spans="1:16" x14ac:dyDescent="0.3">
      <c r="A664" s="2">
        <v>90</v>
      </c>
      <c r="B664" s="2" t="s">
        <v>14</v>
      </c>
      <c r="C664" s="2" t="s">
        <v>15</v>
      </c>
      <c r="D664" s="2" t="s">
        <v>16</v>
      </c>
      <c r="E664" s="2">
        <v>1</v>
      </c>
      <c r="F664" s="2" t="s">
        <v>22</v>
      </c>
      <c r="G664" s="2">
        <v>18</v>
      </c>
      <c r="H664" s="2">
        <v>4.4347000000000003</v>
      </c>
      <c r="I664" s="2">
        <v>14.512819356438994</v>
      </c>
      <c r="J664" s="2">
        <v>7.05</v>
      </c>
      <c r="K664" s="2">
        <v>3.7911000000000001</v>
      </c>
      <c r="L664" s="2">
        <f t="shared" si="20"/>
        <v>46.225531914893615</v>
      </c>
      <c r="M664" s="2">
        <f t="shared" si="21"/>
        <v>3.5107431602697341</v>
      </c>
      <c r="N664" s="2">
        <v>47.63</v>
      </c>
      <c r="O664" s="2">
        <v>1.591</v>
      </c>
      <c r="P664" s="2">
        <v>9.9440000000000008</v>
      </c>
    </row>
    <row r="665" spans="1:16" x14ac:dyDescent="0.3">
      <c r="A665" s="2">
        <v>200</v>
      </c>
      <c r="B665" s="2" t="s">
        <v>14</v>
      </c>
      <c r="C665" s="2" t="s">
        <v>18</v>
      </c>
      <c r="D665" s="2" t="s">
        <v>19</v>
      </c>
      <c r="E665" s="2">
        <v>4</v>
      </c>
      <c r="F665" s="2" t="s">
        <v>22</v>
      </c>
      <c r="G665" s="2">
        <v>18</v>
      </c>
      <c r="H665" s="2">
        <v>12.268000000000001</v>
      </c>
      <c r="I665" s="2">
        <v>76.948157808933814</v>
      </c>
      <c r="J665" s="2">
        <v>7.05</v>
      </c>
      <c r="K665" s="2">
        <v>2.8279999999999998</v>
      </c>
      <c r="L665" s="2">
        <f t="shared" si="20"/>
        <v>59.88652482269503</v>
      </c>
      <c r="M665" s="2">
        <f t="shared" si="21"/>
        <v>3.8038296266860154</v>
      </c>
      <c r="N665" s="2">
        <v>41.9</v>
      </c>
      <c r="O665" s="2">
        <v>1.25</v>
      </c>
      <c r="P665" s="2">
        <v>7.8140000000000001</v>
      </c>
    </row>
    <row r="666" spans="1:16" x14ac:dyDescent="0.3">
      <c r="A666" s="2">
        <v>204</v>
      </c>
      <c r="B666" s="2" t="s">
        <v>14</v>
      </c>
      <c r="C666" s="2" t="s">
        <v>18</v>
      </c>
      <c r="D666" s="2" t="s">
        <v>19</v>
      </c>
      <c r="E666" s="2">
        <v>3</v>
      </c>
      <c r="F666" s="2" t="s">
        <v>22</v>
      </c>
      <c r="G666" s="2">
        <v>18</v>
      </c>
      <c r="H666" s="2">
        <v>4.0381999999999998</v>
      </c>
      <c r="I666" s="2">
        <v>32.90822643752167</v>
      </c>
      <c r="J666" s="2">
        <v>7.08</v>
      </c>
      <c r="K666" s="2">
        <v>2.7092999999999998</v>
      </c>
      <c r="L666" s="2">
        <f t="shared" si="20"/>
        <v>61.733050847457626</v>
      </c>
      <c r="M666" s="2">
        <f t="shared" si="21"/>
        <v>3.8509553666590675</v>
      </c>
      <c r="N666" s="2">
        <v>37.979999999999997</v>
      </c>
      <c r="O666" s="2">
        <v>1.6439999999999999</v>
      </c>
      <c r="P666" s="2">
        <v>10.273999999999999</v>
      </c>
    </row>
    <row r="667" spans="1:16" x14ac:dyDescent="0.3">
      <c r="A667" s="2">
        <v>216</v>
      </c>
      <c r="B667" s="2" t="s">
        <v>14</v>
      </c>
      <c r="C667" s="2" t="s">
        <v>15</v>
      </c>
      <c r="D667" s="2" t="s">
        <v>19</v>
      </c>
      <c r="E667" s="2">
        <v>1</v>
      </c>
      <c r="F667" s="2" t="s">
        <v>22</v>
      </c>
      <c r="G667" s="2">
        <v>18</v>
      </c>
      <c r="H667" s="2">
        <v>5.0750000000000002</v>
      </c>
      <c r="I667" s="2">
        <v>28.157635467980302</v>
      </c>
      <c r="J667" s="2">
        <v>6.99</v>
      </c>
      <c r="K667" s="2">
        <v>3.6459999999999999</v>
      </c>
      <c r="L667" s="2">
        <f t="shared" si="20"/>
        <v>47.839771101573682</v>
      </c>
      <c r="M667" s="2">
        <f t="shared" si="21"/>
        <v>3.5412216378854122</v>
      </c>
      <c r="N667" s="2">
        <v>45.38</v>
      </c>
      <c r="O667" s="2">
        <v>1.5009999999999999</v>
      </c>
      <c r="P667" s="2">
        <v>9.3800000000000008</v>
      </c>
    </row>
    <row r="668" spans="1:16" x14ac:dyDescent="0.3">
      <c r="A668" s="2">
        <v>218</v>
      </c>
      <c r="B668" s="2" t="s">
        <v>14</v>
      </c>
      <c r="C668" s="2" t="s">
        <v>15</v>
      </c>
      <c r="D668" s="2" t="s">
        <v>19</v>
      </c>
      <c r="E668" s="2">
        <v>3</v>
      </c>
      <c r="F668" s="2" t="s">
        <v>22</v>
      </c>
      <c r="G668" s="2">
        <v>18</v>
      </c>
      <c r="H668" s="2">
        <v>7.0010000000000003</v>
      </c>
      <c r="I668" s="2">
        <v>60.034280817026143</v>
      </c>
      <c r="J668" s="2">
        <v>7</v>
      </c>
      <c r="K668" s="2">
        <v>2.798</v>
      </c>
      <c r="L668" s="2">
        <f t="shared" si="20"/>
        <v>60.028571428571432</v>
      </c>
      <c r="M668" s="2">
        <f t="shared" si="21"/>
        <v>3.8073770307081887</v>
      </c>
      <c r="N668" s="2">
        <v>46.89</v>
      </c>
      <c r="O668" s="2">
        <v>1.893</v>
      </c>
      <c r="P668" s="2">
        <v>11.832000000000001</v>
      </c>
    </row>
    <row r="669" spans="1:16" x14ac:dyDescent="0.3">
      <c r="A669" s="2">
        <v>221</v>
      </c>
      <c r="B669" s="2" t="s">
        <v>14</v>
      </c>
      <c r="C669" s="2" t="s">
        <v>15</v>
      </c>
      <c r="D669" s="2" t="s">
        <v>19</v>
      </c>
      <c r="E669" s="2">
        <v>2</v>
      </c>
      <c r="F669" s="2" t="s">
        <v>22</v>
      </c>
      <c r="G669" s="2">
        <v>18</v>
      </c>
      <c r="H669" s="2">
        <v>4.2119999999999997</v>
      </c>
      <c r="I669" s="2">
        <v>33.357075023741686</v>
      </c>
      <c r="J669" s="2">
        <v>7.02</v>
      </c>
      <c r="K669" s="2">
        <v>2.8069999999999999</v>
      </c>
      <c r="L669" s="2">
        <f t="shared" si="20"/>
        <v>60.014245014245006</v>
      </c>
      <c r="M669" s="2">
        <f t="shared" si="21"/>
        <v>3.8070186785541389</v>
      </c>
      <c r="N669" s="2">
        <v>47.51</v>
      </c>
      <c r="O669" s="2">
        <v>1.56</v>
      </c>
      <c r="P669" s="2">
        <v>9.7490000000000006</v>
      </c>
    </row>
    <row r="670" spans="1:16" x14ac:dyDescent="0.3">
      <c r="A670" s="2">
        <v>232</v>
      </c>
      <c r="B670" s="2" t="s">
        <v>14</v>
      </c>
      <c r="C670" s="2" t="s">
        <v>18</v>
      </c>
      <c r="D670" s="2" t="s">
        <v>19</v>
      </c>
      <c r="E670" s="2">
        <v>1</v>
      </c>
      <c r="F670" s="2" t="s">
        <v>22</v>
      </c>
      <c r="G670" s="2">
        <v>18</v>
      </c>
      <c r="H670" s="2">
        <v>4.5434000000000001</v>
      </c>
      <c r="I670" s="2">
        <v>24.422238851961083</v>
      </c>
      <c r="J670" s="2">
        <v>7.03</v>
      </c>
      <c r="K670" s="2">
        <v>3.4338000000000002</v>
      </c>
      <c r="L670" s="2">
        <f t="shared" si="20"/>
        <v>51.155049786628737</v>
      </c>
      <c r="M670" s="2">
        <f t="shared" si="21"/>
        <v>3.6068909440577634</v>
      </c>
      <c r="N670" s="2">
        <v>43.43</v>
      </c>
      <c r="O670" s="2">
        <v>1.4219999999999999</v>
      </c>
      <c r="P670" s="2">
        <v>8.89</v>
      </c>
    </row>
    <row r="671" spans="1:16" x14ac:dyDescent="0.3">
      <c r="A671" s="2">
        <v>234</v>
      </c>
      <c r="B671" s="2" t="s">
        <v>14</v>
      </c>
      <c r="C671" s="2" t="s">
        <v>15</v>
      </c>
      <c r="D671" s="2" t="s">
        <v>19</v>
      </c>
      <c r="E671" s="2">
        <v>5</v>
      </c>
      <c r="F671" s="2" t="s">
        <v>22</v>
      </c>
      <c r="G671" s="2">
        <v>18</v>
      </c>
      <c r="H671" s="2">
        <v>4.87</v>
      </c>
      <c r="I671" s="2">
        <v>31.355236139630392</v>
      </c>
      <c r="J671" s="2">
        <v>6.98</v>
      </c>
      <c r="K671" s="2">
        <v>3.343</v>
      </c>
      <c r="L671" s="2">
        <f t="shared" si="20"/>
        <v>52.106017191977081</v>
      </c>
      <c r="M671" s="2">
        <f t="shared" si="21"/>
        <v>3.6265520672324842</v>
      </c>
      <c r="N671" s="2">
        <v>47.43</v>
      </c>
      <c r="O671" s="2">
        <v>1.1679999999999999</v>
      </c>
      <c r="P671" s="2">
        <v>7.3</v>
      </c>
    </row>
    <row r="672" spans="1:16" x14ac:dyDescent="0.3">
      <c r="A672" s="2">
        <v>303</v>
      </c>
      <c r="B672" s="2" t="s">
        <v>20</v>
      </c>
      <c r="C672" s="2" t="s">
        <v>15</v>
      </c>
      <c r="D672" s="2" t="s">
        <v>16</v>
      </c>
      <c r="E672" s="2">
        <v>4</v>
      </c>
      <c r="F672" s="2" t="s">
        <v>22</v>
      </c>
      <c r="G672" s="2">
        <v>18</v>
      </c>
      <c r="H672" s="2">
        <v>6.2767999999999997</v>
      </c>
      <c r="I672" s="2">
        <v>56.192645934234008</v>
      </c>
      <c r="J672" s="2">
        <v>7.06</v>
      </c>
      <c r="K672" s="2">
        <v>2.7496999999999998</v>
      </c>
      <c r="L672" s="2">
        <f t="shared" si="20"/>
        <v>61.052407932011334</v>
      </c>
      <c r="M672" s="2">
        <f t="shared" si="21"/>
        <v>3.8333249945827723</v>
      </c>
      <c r="N672" s="2">
        <v>47.12</v>
      </c>
      <c r="O672" s="2">
        <v>1.873</v>
      </c>
      <c r="P672" s="2">
        <v>11.706</v>
      </c>
    </row>
    <row r="673" spans="1:16" x14ac:dyDescent="0.3">
      <c r="A673" s="2">
        <v>306</v>
      </c>
      <c r="B673" s="2" t="s">
        <v>20</v>
      </c>
      <c r="C673" s="2" t="s">
        <v>18</v>
      </c>
      <c r="D673" s="2" t="s">
        <v>16</v>
      </c>
      <c r="E673" s="2">
        <v>4</v>
      </c>
      <c r="F673" s="2" t="s">
        <v>22</v>
      </c>
      <c r="G673" s="2">
        <v>18</v>
      </c>
      <c r="H673" s="2">
        <v>7.5119999999999996</v>
      </c>
      <c r="I673" s="2">
        <v>44.673855165069213</v>
      </c>
      <c r="J673" s="2">
        <v>7.03</v>
      </c>
      <c r="K673" s="2">
        <v>4.1561000000000003</v>
      </c>
      <c r="L673" s="2">
        <f t="shared" si="20"/>
        <v>40.880512091038398</v>
      </c>
      <c r="M673" s="2">
        <f t="shared" si="21"/>
        <v>3.4159813291735426</v>
      </c>
      <c r="N673" s="2">
        <v>45.92</v>
      </c>
      <c r="O673" s="2">
        <v>1.8919999999999999</v>
      </c>
      <c r="P673" s="2">
        <v>11.826000000000001</v>
      </c>
    </row>
    <row r="674" spans="1:16" x14ac:dyDescent="0.3">
      <c r="A674" s="2">
        <v>319</v>
      </c>
      <c r="B674" s="2" t="s">
        <v>20</v>
      </c>
      <c r="C674" s="2" t="s">
        <v>18</v>
      </c>
      <c r="D674" s="2" t="s">
        <v>16</v>
      </c>
      <c r="E674" s="2">
        <v>1</v>
      </c>
      <c r="F674" s="2" t="s">
        <v>22</v>
      </c>
      <c r="G674" s="2">
        <v>18</v>
      </c>
      <c r="H674" s="2">
        <v>25.846</v>
      </c>
      <c r="I674" s="2">
        <v>92.261858701539893</v>
      </c>
      <c r="J674" s="2">
        <v>7.02</v>
      </c>
      <c r="K674" s="2">
        <v>2</v>
      </c>
      <c r="L674" s="2">
        <f t="shared" si="20"/>
        <v>71.509971509971507</v>
      </c>
      <c r="M674" s="2">
        <f t="shared" si="21"/>
        <v>4.145987795373939</v>
      </c>
      <c r="N674" s="2">
        <v>45.73</v>
      </c>
      <c r="O674" s="2">
        <v>1.827</v>
      </c>
      <c r="P674" s="2">
        <v>11.420999999999999</v>
      </c>
    </row>
    <row r="675" spans="1:16" x14ac:dyDescent="0.3">
      <c r="A675" s="2">
        <v>340</v>
      </c>
      <c r="B675" s="2" t="s">
        <v>20</v>
      </c>
      <c r="C675" s="2" t="s">
        <v>15</v>
      </c>
      <c r="D675" s="2" t="s">
        <v>16</v>
      </c>
      <c r="E675" s="2">
        <v>1</v>
      </c>
      <c r="F675" s="2" t="s">
        <v>22</v>
      </c>
      <c r="G675" s="2">
        <v>18</v>
      </c>
      <c r="H675" s="2">
        <v>7.2756999999999996</v>
      </c>
      <c r="I675" s="2">
        <v>57.782756298363033</v>
      </c>
      <c r="J675" s="2">
        <v>7.01</v>
      </c>
      <c r="K675" s="2">
        <v>3.0716000000000001</v>
      </c>
      <c r="L675" s="2">
        <f t="shared" si="20"/>
        <v>56.182596291012828</v>
      </c>
      <c r="M675" s="2">
        <f t="shared" si="21"/>
        <v>3.7155108604684122</v>
      </c>
      <c r="N675" s="2">
        <v>37.200000000000003</v>
      </c>
      <c r="O675" s="2">
        <v>1.786</v>
      </c>
      <c r="P675" s="2">
        <v>11.162000000000001</v>
      </c>
    </row>
    <row r="676" spans="1:16" x14ac:dyDescent="0.3">
      <c r="A676" s="2">
        <v>343</v>
      </c>
      <c r="B676" s="2" t="s">
        <v>20</v>
      </c>
      <c r="C676" s="2" t="s">
        <v>15</v>
      </c>
      <c r="D676" s="2" t="s">
        <v>16</v>
      </c>
      <c r="E676" s="2">
        <v>3</v>
      </c>
      <c r="F676" s="2" t="s">
        <v>22</v>
      </c>
      <c r="G676" s="2">
        <v>18</v>
      </c>
      <c r="H676" s="2">
        <v>10.6053</v>
      </c>
      <c r="I676" s="2">
        <v>77.719630750662404</v>
      </c>
      <c r="J676" s="2">
        <v>7.01</v>
      </c>
      <c r="K676" s="2">
        <v>2.3628999999999998</v>
      </c>
      <c r="L676" s="2">
        <f t="shared" si="20"/>
        <v>66.292439372325248</v>
      </c>
      <c r="M676" s="2">
        <f t="shared" si="21"/>
        <v>3.9778197807192783</v>
      </c>
      <c r="N676" s="2">
        <v>46.93</v>
      </c>
      <c r="O676" s="2">
        <v>1.7070000000000001</v>
      </c>
      <c r="P676" s="2">
        <v>10.666</v>
      </c>
    </row>
    <row r="677" spans="1:16" x14ac:dyDescent="0.3">
      <c r="A677" s="2">
        <v>360</v>
      </c>
      <c r="B677" s="2" t="s">
        <v>20</v>
      </c>
      <c r="C677" s="2" t="s">
        <v>18</v>
      </c>
      <c r="D677" s="2" t="s">
        <v>16</v>
      </c>
      <c r="E677" s="2">
        <v>2</v>
      </c>
      <c r="F677" s="2" t="s">
        <v>22</v>
      </c>
      <c r="G677" s="2">
        <v>18</v>
      </c>
      <c r="H677" s="2">
        <v>8.5434999999999999</v>
      </c>
      <c r="I677" s="2">
        <v>67.227716977819398</v>
      </c>
      <c r="J677" s="2">
        <v>7.01</v>
      </c>
      <c r="K677" s="2">
        <v>2.7999000000000001</v>
      </c>
      <c r="L677" s="2">
        <f t="shared" si="20"/>
        <v>60.058487874465051</v>
      </c>
      <c r="M677" s="2">
        <f t="shared" si="21"/>
        <v>3.8081257566849898</v>
      </c>
      <c r="N677" s="2">
        <v>46.18</v>
      </c>
      <c r="O677" s="2">
        <v>1.726</v>
      </c>
      <c r="P677" s="2">
        <v>10.788</v>
      </c>
    </row>
    <row r="678" spans="1:16" x14ac:dyDescent="0.3">
      <c r="A678" s="2">
        <v>400</v>
      </c>
      <c r="B678" s="2" t="s">
        <v>14</v>
      </c>
      <c r="C678" s="2" t="s">
        <v>15</v>
      </c>
      <c r="D678" s="2" t="s">
        <v>16</v>
      </c>
      <c r="E678" s="2">
        <v>3</v>
      </c>
      <c r="F678" s="2" t="s">
        <v>22</v>
      </c>
      <c r="G678" s="2">
        <v>18</v>
      </c>
      <c r="H678" s="2">
        <v>7.6390000000000002</v>
      </c>
      <c r="I678" s="2">
        <v>61.107474800366532</v>
      </c>
      <c r="J678" s="2">
        <v>7</v>
      </c>
      <c r="K678" s="2">
        <v>2.9710000000000001</v>
      </c>
      <c r="L678" s="2">
        <f t="shared" si="20"/>
        <v>57.55714285714285</v>
      </c>
      <c r="M678" s="2">
        <f t="shared" si="21"/>
        <v>3.7473833104710073</v>
      </c>
      <c r="N678" s="2">
        <v>43.73</v>
      </c>
      <c r="O678" s="2">
        <v>1.964</v>
      </c>
      <c r="P678" s="2">
        <v>12.276</v>
      </c>
    </row>
    <row r="679" spans="1:16" x14ac:dyDescent="0.3">
      <c r="A679" s="2">
        <v>427</v>
      </c>
      <c r="B679" s="2" t="s">
        <v>20</v>
      </c>
      <c r="C679" s="2" t="s">
        <v>18</v>
      </c>
      <c r="D679" s="2" t="s">
        <v>19</v>
      </c>
      <c r="E679" s="2">
        <v>2</v>
      </c>
      <c r="F679" s="2" t="s">
        <v>22</v>
      </c>
      <c r="G679" s="2">
        <v>18</v>
      </c>
      <c r="H679" s="2">
        <v>7.3247</v>
      </c>
      <c r="I679" s="2">
        <v>47.009433833467575</v>
      </c>
      <c r="J679" s="2">
        <v>6.97</v>
      </c>
      <c r="K679" s="2">
        <v>3.8814000000000002</v>
      </c>
      <c r="L679" s="2">
        <f t="shared" si="20"/>
        <v>44.312769010043034</v>
      </c>
      <c r="M679" s="2">
        <f t="shared" si="21"/>
        <v>3.4757910693727396</v>
      </c>
      <c r="N679" s="2">
        <v>47.55</v>
      </c>
      <c r="O679" s="2">
        <v>1.2929999999999999</v>
      </c>
      <c r="P679" s="2">
        <v>8.0790000000000006</v>
      </c>
    </row>
    <row r="680" spans="1:16" x14ac:dyDescent="0.3">
      <c r="A680" s="2">
        <v>435</v>
      </c>
      <c r="B680" s="2" t="s">
        <v>20</v>
      </c>
      <c r="C680" s="2" t="s">
        <v>18</v>
      </c>
      <c r="D680" s="2" t="s">
        <v>19</v>
      </c>
      <c r="E680" s="2" t="s">
        <v>23</v>
      </c>
      <c r="F680" s="2" t="s">
        <v>22</v>
      </c>
      <c r="G680" s="2">
        <v>18</v>
      </c>
      <c r="H680" s="2">
        <v>23.710999999999999</v>
      </c>
      <c r="I680" s="2">
        <v>89.641938340854452</v>
      </c>
      <c r="J680" s="2">
        <v>7.09</v>
      </c>
      <c r="K680" s="2">
        <v>2.456</v>
      </c>
      <c r="L680" s="2">
        <f t="shared" si="20"/>
        <v>65.359661495063477</v>
      </c>
      <c r="M680" s="2">
        <f t="shared" si="21"/>
        <v>3.9505230881553048</v>
      </c>
      <c r="N680" s="2">
        <v>44.96</v>
      </c>
      <c r="O680" s="2">
        <v>1.48</v>
      </c>
      <c r="P680" s="2">
        <v>9.2479999999999993</v>
      </c>
    </row>
    <row r="681" spans="1:16" x14ac:dyDescent="0.3">
      <c r="A681" s="2">
        <v>440</v>
      </c>
      <c r="B681" s="2" t="s">
        <v>20</v>
      </c>
      <c r="C681" s="2" t="s">
        <v>18</v>
      </c>
      <c r="D681" s="2" t="s">
        <v>19</v>
      </c>
      <c r="E681" s="2">
        <v>5</v>
      </c>
      <c r="F681" s="2" t="s">
        <v>22</v>
      </c>
      <c r="G681" s="2">
        <v>18</v>
      </c>
      <c r="H681" s="2">
        <v>12.102399999999999</v>
      </c>
      <c r="I681" s="2">
        <v>67.962552882072984</v>
      </c>
      <c r="J681" s="2">
        <v>7.03</v>
      </c>
      <c r="K681" s="2">
        <v>3.8773</v>
      </c>
      <c r="L681" s="2">
        <f t="shared" si="20"/>
        <v>44.846372688477956</v>
      </c>
      <c r="M681" s="2">
        <f t="shared" si="21"/>
        <v>3.4854194286065039</v>
      </c>
      <c r="N681" s="2">
        <v>45.9</v>
      </c>
      <c r="O681" s="2">
        <v>1.74</v>
      </c>
      <c r="P681" s="2">
        <v>10.877000000000001</v>
      </c>
    </row>
    <row r="682" spans="1:16" x14ac:dyDescent="0.3">
      <c r="A682" s="2">
        <v>447</v>
      </c>
      <c r="B682" s="2" t="s">
        <v>20</v>
      </c>
      <c r="C682" s="2" t="s">
        <v>15</v>
      </c>
      <c r="D682" s="2" t="s">
        <v>19</v>
      </c>
      <c r="E682" s="2">
        <v>3</v>
      </c>
      <c r="F682" s="2" t="s">
        <v>22</v>
      </c>
      <c r="G682" s="2">
        <v>18</v>
      </c>
      <c r="H682" s="2">
        <v>9.3742999999999999</v>
      </c>
      <c r="I682" s="2">
        <v>71.225584843668315</v>
      </c>
      <c r="J682" s="2">
        <v>7</v>
      </c>
      <c r="K682" s="2">
        <v>2.6974</v>
      </c>
      <c r="L682" s="2">
        <f t="shared" si="20"/>
        <v>61.465714285714292</v>
      </c>
      <c r="M682" s="2">
        <f t="shared" si="21"/>
        <v>3.843993560850858</v>
      </c>
      <c r="N682" s="2">
        <v>45.94</v>
      </c>
      <c r="O682" s="2">
        <v>1.6870000000000001</v>
      </c>
      <c r="P682" s="2">
        <v>10.545999999999999</v>
      </c>
    </row>
    <row r="683" spans="1:16" x14ac:dyDescent="0.3">
      <c r="A683" s="2">
        <v>452</v>
      </c>
      <c r="B683" s="2" t="s">
        <v>20</v>
      </c>
      <c r="C683" s="2" t="s">
        <v>18</v>
      </c>
      <c r="D683" s="2" t="s">
        <v>19</v>
      </c>
      <c r="E683" s="2">
        <v>3</v>
      </c>
      <c r="F683" s="2" t="s">
        <v>22</v>
      </c>
      <c r="G683" s="2">
        <v>18</v>
      </c>
      <c r="H683" s="2">
        <v>5.0590999999999999</v>
      </c>
      <c r="I683" s="2">
        <v>34.249174754402958</v>
      </c>
      <c r="J683" s="2">
        <v>7.01</v>
      </c>
      <c r="K683" s="2">
        <v>3.3264</v>
      </c>
      <c r="L683" s="2">
        <f t="shared" si="20"/>
        <v>52.547788873038513</v>
      </c>
      <c r="M683" s="2">
        <f t="shared" si="21"/>
        <v>3.635818820821052</v>
      </c>
      <c r="N683" s="2">
        <v>47.01</v>
      </c>
      <c r="O683" s="2">
        <v>1.508</v>
      </c>
      <c r="P683" s="2">
        <v>9.4239999999999995</v>
      </c>
    </row>
    <row r="684" spans="1:16" x14ac:dyDescent="0.3">
      <c r="A684" s="2">
        <v>463</v>
      </c>
      <c r="B684" s="2" t="s">
        <v>20</v>
      </c>
      <c r="C684" s="2" t="s">
        <v>15</v>
      </c>
      <c r="D684" s="2" t="s">
        <v>19</v>
      </c>
      <c r="E684" s="2">
        <v>4</v>
      </c>
      <c r="F684" s="2" t="s">
        <v>22</v>
      </c>
      <c r="G684" s="2">
        <v>18</v>
      </c>
      <c r="H684" s="2">
        <v>9.3079999999999998</v>
      </c>
      <c r="I684" s="2">
        <v>62.176622260421141</v>
      </c>
      <c r="J684" s="2">
        <v>6.98</v>
      </c>
      <c r="K684" s="2">
        <v>3.5206</v>
      </c>
      <c r="L684" s="2">
        <f t="shared" si="20"/>
        <v>49.561604584527224</v>
      </c>
      <c r="M684" s="2">
        <f t="shared" si="21"/>
        <v>3.5747892450407108</v>
      </c>
      <c r="N684" s="2">
        <v>44.91</v>
      </c>
      <c r="O684" s="2">
        <v>1.623</v>
      </c>
      <c r="P684" s="2">
        <v>10.141999999999999</v>
      </c>
    </row>
    <row r="685" spans="1:16" x14ac:dyDescent="0.3">
      <c r="A685" s="2">
        <v>470</v>
      </c>
      <c r="B685" s="2" t="s">
        <v>20</v>
      </c>
      <c r="C685" s="2" t="s">
        <v>18</v>
      </c>
      <c r="D685" s="2" t="s">
        <v>19</v>
      </c>
      <c r="E685" s="2">
        <v>4</v>
      </c>
      <c r="F685" s="2" t="s">
        <v>22</v>
      </c>
      <c r="G685" s="2">
        <v>18</v>
      </c>
      <c r="H685" s="2">
        <v>16.217099999999999</v>
      </c>
      <c r="I685" s="2">
        <v>74.655147961102784</v>
      </c>
      <c r="J685" s="2">
        <v>6.92</v>
      </c>
      <c r="K685" s="2">
        <v>4.1101999999999999</v>
      </c>
      <c r="L685" s="2">
        <f t="shared" si="20"/>
        <v>40.604046242774565</v>
      </c>
      <c r="M685" s="2">
        <f t="shared" si="21"/>
        <v>3.4113158384010602</v>
      </c>
      <c r="N685" s="2">
        <v>46.21</v>
      </c>
      <c r="O685" s="2">
        <v>1.9</v>
      </c>
      <c r="P685" s="2">
        <v>11.875</v>
      </c>
    </row>
    <row r="686" spans="1:16" x14ac:dyDescent="0.3">
      <c r="A686" s="2">
        <v>543</v>
      </c>
      <c r="B686" s="2" t="s">
        <v>21</v>
      </c>
      <c r="C686" s="2" t="s">
        <v>18</v>
      </c>
      <c r="D686" s="2" t="s">
        <v>16</v>
      </c>
      <c r="E686" s="2">
        <v>2</v>
      </c>
      <c r="F686" s="2" t="s">
        <v>22</v>
      </c>
      <c r="G686" s="2">
        <v>18</v>
      </c>
      <c r="H686" s="2">
        <v>6.5140000000000002</v>
      </c>
      <c r="I686" s="2">
        <v>41.321768498618361</v>
      </c>
      <c r="J686" s="2">
        <v>6.97</v>
      </c>
      <c r="K686" s="2">
        <v>2.6917</v>
      </c>
      <c r="L686" s="2">
        <f t="shared" si="20"/>
        <v>61.381635581061687</v>
      </c>
      <c r="M686" s="2">
        <f t="shared" si="21"/>
        <v>3.8418140184037379</v>
      </c>
      <c r="N686" s="2">
        <v>44.57</v>
      </c>
      <c r="O686" s="2">
        <v>1.5449999999999999</v>
      </c>
      <c r="P686" s="2">
        <v>9.6530000000000005</v>
      </c>
    </row>
    <row r="687" spans="1:16" x14ac:dyDescent="0.3">
      <c r="A687" s="2">
        <v>547</v>
      </c>
      <c r="B687" s="2" t="s">
        <v>21</v>
      </c>
      <c r="C687" s="2" t="s">
        <v>18</v>
      </c>
      <c r="D687" s="2" t="s">
        <v>16</v>
      </c>
      <c r="E687" s="2">
        <v>1</v>
      </c>
      <c r="F687" s="2" t="s">
        <v>22</v>
      </c>
      <c r="G687" s="2">
        <v>18</v>
      </c>
      <c r="H687" s="2">
        <v>4.7830000000000004</v>
      </c>
      <c r="I687" s="2">
        <v>50.570771482333264</v>
      </c>
      <c r="J687" s="2">
        <v>6.99</v>
      </c>
      <c r="K687" s="2">
        <v>2.4188000000000001</v>
      </c>
      <c r="L687" s="2">
        <f t="shared" si="20"/>
        <v>65.396280400572252</v>
      </c>
      <c r="M687" s="2">
        <f t="shared" si="21"/>
        <v>3.9515807647249628</v>
      </c>
      <c r="N687" s="2">
        <v>45.37</v>
      </c>
      <c r="O687" s="2">
        <v>1.47</v>
      </c>
      <c r="P687" s="2">
        <v>9.1880000000000006</v>
      </c>
    </row>
    <row r="688" spans="1:16" x14ac:dyDescent="0.3">
      <c r="A688" s="2">
        <v>550</v>
      </c>
      <c r="B688" s="2" t="s">
        <v>21</v>
      </c>
      <c r="C688" s="2" t="s">
        <v>18</v>
      </c>
      <c r="D688" s="2" t="s">
        <v>16</v>
      </c>
      <c r="E688" s="2">
        <v>5</v>
      </c>
      <c r="F688" s="2" t="s">
        <v>22</v>
      </c>
      <c r="G688" s="2">
        <v>18</v>
      </c>
      <c r="H688" s="2">
        <v>4.2279999999999998</v>
      </c>
      <c r="I688" s="2">
        <v>55.132450331125824</v>
      </c>
      <c r="J688" s="2">
        <v>6.99</v>
      </c>
      <c r="K688" s="2">
        <v>2.331</v>
      </c>
      <c r="L688" s="2">
        <f t="shared" si="20"/>
        <v>66.652360515021471</v>
      </c>
      <c r="M688" s="2">
        <f t="shared" si="21"/>
        <v>3.9885549540882637</v>
      </c>
      <c r="N688" s="2">
        <v>44.81</v>
      </c>
      <c r="O688" s="2">
        <v>1.8540000000000001</v>
      </c>
      <c r="P688" s="2">
        <v>11.587</v>
      </c>
    </row>
    <row r="689" spans="1:16" x14ac:dyDescent="0.3">
      <c r="A689" s="2">
        <v>552</v>
      </c>
      <c r="B689" s="2" t="s">
        <v>21</v>
      </c>
      <c r="C689" s="2" t="s">
        <v>18</v>
      </c>
      <c r="D689" s="2" t="s">
        <v>16</v>
      </c>
      <c r="E689" s="2">
        <v>3</v>
      </c>
      <c r="F689" s="2" t="s">
        <v>22</v>
      </c>
      <c r="G689" s="2">
        <v>18</v>
      </c>
      <c r="H689" s="2">
        <v>4.6840000000000002</v>
      </c>
      <c r="I689" s="2">
        <v>66.560631938514092</v>
      </c>
      <c r="J689" s="2">
        <v>6.95</v>
      </c>
      <c r="K689" s="2">
        <v>3.1177000000000001</v>
      </c>
      <c r="L689" s="2">
        <f t="shared" si="20"/>
        <v>55.141007194244608</v>
      </c>
      <c r="M689" s="2">
        <f t="shared" si="21"/>
        <v>3.6920178669890622</v>
      </c>
      <c r="N689" s="2">
        <v>45.67</v>
      </c>
      <c r="O689" s="2">
        <v>1.4359999999999999</v>
      </c>
      <c r="P689" s="2">
        <v>8.9760000000000009</v>
      </c>
    </row>
    <row r="690" spans="1:16" x14ac:dyDescent="0.3">
      <c r="A690" s="2">
        <v>563</v>
      </c>
      <c r="B690" s="2" t="s">
        <v>21</v>
      </c>
      <c r="C690" s="2" t="s">
        <v>15</v>
      </c>
      <c r="D690" s="2" t="s">
        <v>16</v>
      </c>
      <c r="E690" s="2">
        <v>5</v>
      </c>
      <c r="F690" s="2" t="s">
        <v>22</v>
      </c>
      <c r="G690" s="2">
        <v>18</v>
      </c>
      <c r="H690" s="2">
        <v>6.1280000000000001</v>
      </c>
      <c r="I690" s="2">
        <v>36.886422976501308</v>
      </c>
      <c r="J690" s="2">
        <v>7.09</v>
      </c>
      <c r="K690" s="2">
        <v>2.2604000000000002</v>
      </c>
      <c r="L690" s="2">
        <f t="shared" si="20"/>
        <v>68.118476727785605</v>
      </c>
      <c r="M690" s="2">
        <f t="shared" si="21"/>
        <v>4.0335153096666492</v>
      </c>
      <c r="N690" s="2">
        <v>44.55</v>
      </c>
      <c r="O690" s="2">
        <v>1.9890000000000001</v>
      </c>
      <c r="P690" s="2">
        <v>12.430999999999999</v>
      </c>
    </row>
    <row r="691" spans="1:16" x14ac:dyDescent="0.3">
      <c r="A691" s="2">
        <v>565</v>
      </c>
      <c r="B691" s="2" t="s">
        <v>21</v>
      </c>
      <c r="C691" s="2" t="s">
        <v>18</v>
      </c>
      <c r="D691" s="2" t="s">
        <v>16</v>
      </c>
      <c r="E691" s="2">
        <v>4</v>
      </c>
      <c r="F691" s="2" t="s">
        <v>22</v>
      </c>
      <c r="G691" s="2">
        <v>18</v>
      </c>
      <c r="H691" s="2">
        <v>5.625</v>
      </c>
      <c r="I691" s="2">
        <v>48.675555555555555</v>
      </c>
      <c r="J691" s="2">
        <v>6.99</v>
      </c>
      <c r="K691" s="2">
        <v>2.738</v>
      </c>
      <c r="L691" s="2">
        <f t="shared" si="20"/>
        <v>60.829756795422043</v>
      </c>
      <c r="M691" s="2">
        <f t="shared" si="21"/>
        <v>3.8276245872756265</v>
      </c>
      <c r="N691" s="2">
        <v>43.82</v>
      </c>
      <c r="O691" s="2">
        <v>1.7689999999999999</v>
      </c>
      <c r="P691" s="2">
        <v>11.054</v>
      </c>
    </row>
    <row r="692" spans="1:16" x14ac:dyDescent="0.3">
      <c r="A692" s="2">
        <v>568</v>
      </c>
      <c r="B692" s="2" t="s">
        <v>21</v>
      </c>
      <c r="C692" s="2" t="s">
        <v>15</v>
      </c>
      <c r="D692" s="2" t="s">
        <v>16</v>
      </c>
      <c r="E692" s="2">
        <v>1</v>
      </c>
      <c r="F692" s="2" t="s">
        <v>22</v>
      </c>
      <c r="G692" s="2">
        <v>18</v>
      </c>
      <c r="H692" s="2">
        <v>4.4850000000000003</v>
      </c>
      <c r="I692" s="2">
        <v>68.564102564102555</v>
      </c>
      <c r="J692" s="2">
        <v>6.94</v>
      </c>
      <c r="K692" s="2">
        <v>3.0750999999999999</v>
      </c>
      <c r="L692" s="2">
        <f t="shared" si="20"/>
        <v>55.690201729106633</v>
      </c>
      <c r="M692" s="2">
        <f t="shared" si="21"/>
        <v>3.7043361113599675</v>
      </c>
      <c r="N692" s="2">
        <v>45.51</v>
      </c>
      <c r="O692" s="2">
        <v>1.7330000000000001</v>
      </c>
      <c r="P692" s="2">
        <v>10.832000000000001</v>
      </c>
    </row>
    <row r="693" spans="1:16" x14ac:dyDescent="0.3">
      <c r="A693" s="2">
        <v>573</v>
      </c>
      <c r="B693" s="2" t="s">
        <v>21</v>
      </c>
      <c r="C693" s="2" t="s">
        <v>15</v>
      </c>
      <c r="D693" s="2" t="s">
        <v>16</v>
      </c>
      <c r="E693" s="2">
        <v>3</v>
      </c>
      <c r="F693" s="2" t="s">
        <v>22</v>
      </c>
      <c r="G693" s="2">
        <v>18</v>
      </c>
      <c r="H693" s="2">
        <v>4.1040000000000001</v>
      </c>
      <c r="I693" s="2">
        <v>68.494152046783626</v>
      </c>
      <c r="J693" s="2">
        <v>7.07</v>
      </c>
      <c r="K693" s="2">
        <v>2.8109999999999999</v>
      </c>
      <c r="L693" s="2">
        <f t="shared" si="20"/>
        <v>60.240452616690241</v>
      </c>
      <c r="M693" s="2">
        <f t="shared" si="21"/>
        <v>3.8126919458802515</v>
      </c>
      <c r="N693" s="2">
        <v>46.79</v>
      </c>
      <c r="O693" s="2">
        <v>1.7350000000000001</v>
      </c>
      <c r="P693" s="2">
        <v>10.843</v>
      </c>
    </row>
    <row r="694" spans="1:16" x14ac:dyDescent="0.3">
      <c r="A694" s="2">
        <v>582</v>
      </c>
      <c r="B694" s="2" t="s">
        <v>21</v>
      </c>
      <c r="C694" s="2" t="s">
        <v>15</v>
      </c>
      <c r="D694" s="2" t="s">
        <v>16</v>
      </c>
      <c r="E694" s="2">
        <v>4</v>
      </c>
      <c r="F694" s="2" t="s">
        <v>22</v>
      </c>
      <c r="G694" s="2">
        <v>18</v>
      </c>
      <c r="H694" s="2">
        <v>5.9349999999999996</v>
      </c>
      <c r="I694" s="2">
        <v>59.292333614153335</v>
      </c>
      <c r="J694" s="2">
        <v>6.95</v>
      </c>
      <c r="K694" s="2">
        <v>3.5190000000000001</v>
      </c>
      <c r="L694" s="2">
        <f t="shared" si="20"/>
        <v>49.366906474820141</v>
      </c>
      <c r="M694" s="2">
        <f t="shared" si="21"/>
        <v>3.5709365591334175</v>
      </c>
      <c r="N694" s="2">
        <v>44.92</v>
      </c>
      <c r="O694" s="2">
        <v>1.6120000000000001</v>
      </c>
      <c r="P694" s="2">
        <v>10.073</v>
      </c>
    </row>
    <row r="695" spans="1:16" x14ac:dyDescent="0.3">
      <c r="A695" s="2">
        <v>597</v>
      </c>
      <c r="B695" s="2" t="s">
        <v>21</v>
      </c>
      <c r="C695" s="2" t="s">
        <v>15</v>
      </c>
      <c r="D695" s="2" t="s">
        <v>16</v>
      </c>
      <c r="E695" s="2">
        <v>2</v>
      </c>
      <c r="F695" s="2" t="s">
        <v>22</v>
      </c>
      <c r="G695" s="2">
        <v>18</v>
      </c>
      <c r="H695" s="2">
        <v>5.4210000000000003</v>
      </c>
      <c r="I695" s="2">
        <v>59.513004980630882</v>
      </c>
      <c r="J695" s="2">
        <v>6.98</v>
      </c>
      <c r="K695" s="2">
        <v>3.2262</v>
      </c>
      <c r="L695" s="2">
        <f t="shared" si="20"/>
        <v>53.779369627507165</v>
      </c>
      <c r="M695" s="2">
        <f t="shared" si="21"/>
        <v>3.6621157006088954</v>
      </c>
      <c r="N695" s="2">
        <v>46.07</v>
      </c>
      <c r="O695" s="2">
        <v>1.702</v>
      </c>
      <c r="P695" s="2">
        <v>10.638</v>
      </c>
    </row>
    <row r="696" spans="1:16" x14ac:dyDescent="0.3">
      <c r="A696" s="2">
        <v>667</v>
      </c>
      <c r="B696" s="2" t="s">
        <v>21</v>
      </c>
      <c r="C696" s="2" t="s">
        <v>18</v>
      </c>
      <c r="D696" s="2" t="s">
        <v>19</v>
      </c>
      <c r="E696" s="2">
        <v>1</v>
      </c>
      <c r="F696" s="2" t="s">
        <v>22</v>
      </c>
      <c r="G696" s="2">
        <v>18</v>
      </c>
      <c r="H696" s="2">
        <v>8.0310000000000006</v>
      </c>
      <c r="I696" s="2">
        <v>36.969244178807124</v>
      </c>
      <c r="J696" s="2">
        <v>6.92</v>
      </c>
      <c r="K696" s="2">
        <v>2.9689999999999999</v>
      </c>
      <c r="L696" s="2">
        <f t="shared" si="20"/>
        <v>57.095375722543352</v>
      </c>
      <c r="M696" s="2">
        <f t="shared" si="21"/>
        <v>3.7365623317441203</v>
      </c>
      <c r="N696" s="2">
        <v>45.24</v>
      </c>
      <c r="O696" s="2">
        <v>1.425</v>
      </c>
      <c r="P696" s="2">
        <v>8.9039999999999999</v>
      </c>
    </row>
    <row r="697" spans="1:16" x14ac:dyDescent="0.3">
      <c r="A697" s="2">
        <v>668</v>
      </c>
      <c r="B697" s="2" t="s">
        <v>21</v>
      </c>
      <c r="C697" s="2" t="s">
        <v>15</v>
      </c>
      <c r="D697" s="2" t="s">
        <v>19</v>
      </c>
      <c r="E697" s="2">
        <v>1</v>
      </c>
      <c r="F697" s="2" t="s">
        <v>22</v>
      </c>
      <c r="G697" s="2">
        <v>18</v>
      </c>
      <c r="H697" s="2">
        <v>5.85</v>
      </c>
      <c r="I697" s="2">
        <v>67.482051282051287</v>
      </c>
      <c r="J697" s="2">
        <v>6.93</v>
      </c>
      <c r="K697" s="2">
        <v>3.9477000000000002</v>
      </c>
      <c r="L697" s="2">
        <f t="shared" si="20"/>
        <v>43.034632034632033</v>
      </c>
      <c r="M697" s="2">
        <f t="shared" si="21"/>
        <v>3.4530984402559088</v>
      </c>
      <c r="N697" s="2">
        <v>46.15</v>
      </c>
      <c r="O697" s="2">
        <v>1.512</v>
      </c>
      <c r="P697" s="2">
        <v>9.4489999999999998</v>
      </c>
    </row>
    <row r="698" spans="1:16" x14ac:dyDescent="0.3">
      <c r="A698" s="2">
        <v>671</v>
      </c>
      <c r="B698" s="2" t="s">
        <v>21</v>
      </c>
      <c r="C698" s="2" t="s">
        <v>15</v>
      </c>
      <c r="D698" s="2" t="s">
        <v>19</v>
      </c>
      <c r="E698" s="2">
        <v>5</v>
      </c>
      <c r="F698" s="2" t="s">
        <v>22</v>
      </c>
      <c r="G698" s="2">
        <v>18</v>
      </c>
      <c r="H698" s="2">
        <v>5.5359999999999996</v>
      </c>
      <c r="I698" s="2">
        <v>54.225072254335259</v>
      </c>
      <c r="J698" s="2">
        <v>6.92</v>
      </c>
      <c r="K698" s="2">
        <v>3.0019</v>
      </c>
      <c r="L698" s="2">
        <f t="shared" si="20"/>
        <v>56.619942196531795</v>
      </c>
      <c r="M698" s="2">
        <f t="shared" si="21"/>
        <v>3.7255421059952165</v>
      </c>
      <c r="N698" s="2">
        <v>46.34</v>
      </c>
      <c r="O698" s="2">
        <v>1.774</v>
      </c>
      <c r="P698" s="2">
        <v>11.085000000000001</v>
      </c>
    </row>
    <row r="699" spans="1:16" x14ac:dyDescent="0.3">
      <c r="A699" s="2">
        <v>673</v>
      </c>
      <c r="B699" s="2" t="s">
        <v>21</v>
      </c>
      <c r="C699" s="2" t="s">
        <v>15</v>
      </c>
      <c r="D699" s="2" t="s">
        <v>19</v>
      </c>
      <c r="E699" s="2">
        <v>4</v>
      </c>
      <c r="F699" s="2" t="s">
        <v>22</v>
      </c>
      <c r="G699" s="2">
        <v>18</v>
      </c>
      <c r="H699" s="2">
        <v>5.39</v>
      </c>
      <c r="I699" s="2">
        <v>51.020408163265309</v>
      </c>
      <c r="J699" s="2">
        <v>7.08</v>
      </c>
      <c r="K699" s="2">
        <v>2.75</v>
      </c>
      <c r="L699" s="2">
        <f t="shared" si="20"/>
        <v>61.158192090395481</v>
      </c>
      <c r="M699" s="2">
        <f t="shared" si="21"/>
        <v>3.8360447539233133</v>
      </c>
      <c r="N699" s="2">
        <v>47.14</v>
      </c>
      <c r="O699" s="2">
        <v>1.4810000000000001</v>
      </c>
      <c r="P699" s="2">
        <v>9.2590000000000003</v>
      </c>
    </row>
    <row r="700" spans="1:16" x14ac:dyDescent="0.3">
      <c r="A700" s="2">
        <v>679</v>
      </c>
      <c r="B700" s="2" t="s">
        <v>21</v>
      </c>
      <c r="C700" s="2" t="s">
        <v>15</v>
      </c>
      <c r="D700" s="2" t="s">
        <v>19</v>
      </c>
      <c r="E700" s="2">
        <v>3</v>
      </c>
      <c r="F700" s="2" t="s">
        <v>22</v>
      </c>
      <c r="G700" s="2">
        <v>18</v>
      </c>
      <c r="H700" s="2">
        <v>6.35</v>
      </c>
      <c r="I700" s="2">
        <v>41.637795275590555</v>
      </c>
      <c r="J700" s="2">
        <v>6.91</v>
      </c>
      <c r="K700" s="2">
        <v>2.6440000000000001</v>
      </c>
      <c r="L700" s="2">
        <f t="shared" si="20"/>
        <v>61.736613603473224</v>
      </c>
      <c r="M700" s="2">
        <f t="shared" si="21"/>
        <v>3.8510484736863035</v>
      </c>
      <c r="N700" s="2">
        <v>46.69</v>
      </c>
      <c r="O700" s="2">
        <v>1.5580000000000001</v>
      </c>
      <c r="P700" s="2">
        <v>9.7360000000000007</v>
      </c>
    </row>
    <row r="701" spans="1:16" x14ac:dyDescent="0.3">
      <c r="A701" s="2">
        <v>691</v>
      </c>
      <c r="B701" s="2" t="s">
        <v>21</v>
      </c>
      <c r="C701" s="2" t="s">
        <v>18</v>
      </c>
      <c r="D701" s="2" t="s">
        <v>19</v>
      </c>
      <c r="E701" s="2">
        <v>2</v>
      </c>
      <c r="F701" s="2" t="s">
        <v>22</v>
      </c>
      <c r="G701" s="2">
        <v>18</v>
      </c>
      <c r="H701" s="2">
        <v>7.8319999999999999</v>
      </c>
      <c r="I701" s="2">
        <v>33.204800817160368</v>
      </c>
      <c r="J701" s="2">
        <v>6.99</v>
      </c>
      <c r="K701" s="2">
        <v>2.6006</v>
      </c>
      <c r="L701" s="2">
        <f t="shared" si="20"/>
        <v>62.795422031473535</v>
      </c>
      <c r="M701" s="2">
        <f t="shared" si="21"/>
        <v>3.8791101265068013</v>
      </c>
      <c r="N701" s="2">
        <v>44.99</v>
      </c>
      <c r="O701" s="2">
        <v>1.363</v>
      </c>
      <c r="P701" s="2">
        <v>8.52</v>
      </c>
    </row>
    <row r="702" spans="1:16" x14ac:dyDescent="0.3">
      <c r="A702" s="2">
        <v>694</v>
      </c>
      <c r="B702" s="2" t="s">
        <v>21</v>
      </c>
      <c r="C702" s="2" t="s">
        <v>15</v>
      </c>
      <c r="D702" s="2" t="s">
        <v>19</v>
      </c>
      <c r="E702" s="2">
        <v>2</v>
      </c>
      <c r="F702" s="2" t="s">
        <v>22</v>
      </c>
      <c r="G702" s="2">
        <v>18</v>
      </c>
      <c r="H702" s="2">
        <v>6.0780000000000003</v>
      </c>
      <c r="I702" s="2">
        <v>56.900296150049357</v>
      </c>
      <c r="J702" s="2">
        <v>7.04</v>
      </c>
      <c r="K702" s="2">
        <v>3.4584000000000001</v>
      </c>
      <c r="L702" s="2">
        <f t="shared" si="20"/>
        <v>50.875</v>
      </c>
      <c r="M702" s="2">
        <f t="shared" si="21"/>
        <v>3.6011738736948309</v>
      </c>
      <c r="N702" s="2">
        <v>41.38</v>
      </c>
      <c r="O702" s="2">
        <v>1.4910000000000001</v>
      </c>
      <c r="P702" s="2">
        <v>9.32</v>
      </c>
    </row>
    <row r="703" spans="1:16" x14ac:dyDescent="0.3">
      <c r="A703" s="2">
        <v>702</v>
      </c>
      <c r="B703" s="2" t="s">
        <v>21</v>
      </c>
      <c r="C703" s="2" t="s">
        <v>18</v>
      </c>
      <c r="D703" s="2" t="s">
        <v>19</v>
      </c>
      <c r="E703" s="2">
        <v>5</v>
      </c>
      <c r="F703" s="2" t="s">
        <v>22</v>
      </c>
      <c r="G703" s="2">
        <v>18</v>
      </c>
      <c r="H703" s="2">
        <v>5.6420000000000003</v>
      </c>
      <c r="I703" s="2">
        <v>47.066643034384967</v>
      </c>
      <c r="J703" s="2">
        <v>6.98</v>
      </c>
      <c r="K703" s="2">
        <v>2.6555</v>
      </c>
      <c r="L703" s="2">
        <f t="shared" si="20"/>
        <v>61.95558739255015</v>
      </c>
      <c r="M703" s="2">
        <f t="shared" si="21"/>
        <v>3.856787713790129</v>
      </c>
      <c r="N703" s="2">
        <v>45.54</v>
      </c>
      <c r="O703" s="2">
        <v>1.5609999999999999</v>
      </c>
      <c r="P703" s="2">
        <v>9.7550000000000008</v>
      </c>
    </row>
    <row r="704" spans="1:16" x14ac:dyDescent="0.3">
      <c r="A704" s="2">
        <v>704</v>
      </c>
      <c r="B704" s="2" t="s">
        <v>21</v>
      </c>
      <c r="C704" s="2" t="s">
        <v>18</v>
      </c>
      <c r="D704" s="2" t="s">
        <v>19</v>
      </c>
      <c r="E704" s="2">
        <v>3</v>
      </c>
      <c r="F704" s="2" t="s">
        <v>22</v>
      </c>
      <c r="G704" s="2">
        <v>18</v>
      </c>
      <c r="H704" s="2">
        <v>5.1440000000000001</v>
      </c>
      <c r="I704" s="2">
        <v>54.510108864696726</v>
      </c>
      <c r="J704" s="2">
        <v>7.02</v>
      </c>
      <c r="K704" s="2">
        <v>2.8039999999999998</v>
      </c>
      <c r="L704" s="2">
        <f t="shared" si="20"/>
        <v>60.056980056980045</v>
      </c>
      <c r="M704" s="2">
        <f t="shared" si="21"/>
        <v>3.8080880067615408</v>
      </c>
      <c r="N704" s="2">
        <v>46.65</v>
      </c>
      <c r="O704" s="2">
        <v>1.4279999999999999</v>
      </c>
      <c r="P704" s="2">
        <v>8.9220000000000006</v>
      </c>
    </row>
    <row r="705" spans="1:16" x14ac:dyDescent="0.3">
      <c r="A705" s="2">
        <v>710</v>
      </c>
      <c r="B705" s="2" t="s">
        <v>21</v>
      </c>
      <c r="C705" s="2" t="s">
        <v>18</v>
      </c>
      <c r="D705" s="2" t="s">
        <v>19</v>
      </c>
      <c r="E705" s="2">
        <v>4</v>
      </c>
      <c r="F705" s="2" t="s">
        <v>22</v>
      </c>
      <c r="G705" s="2">
        <v>18</v>
      </c>
      <c r="H705" s="2">
        <v>6.28</v>
      </c>
      <c r="I705" s="2">
        <v>37.195859872611464</v>
      </c>
      <c r="J705" s="2">
        <v>6.96</v>
      </c>
      <c r="K705" s="2">
        <v>2.3359000000000001</v>
      </c>
      <c r="L705" s="2">
        <f t="shared" si="20"/>
        <v>66.438218390804607</v>
      </c>
      <c r="M705" s="2">
        <f t="shared" si="21"/>
        <v>3.9821539764119884</v>
      </c>
      <c r="N705" s="2">
        <v>44.61</v>
      </c>
      <c r="O705" s="2">
        <v>1.903</v>
      </c>
      <c r="P705" s="2">
        <v>11.891</v>
      </c>
    </row>
    <row r="706" spans="1:16" x14ac:dyDescent="0.3">
      <c r="A706" s="2" t="s">
        <v>42</v>
      </c>
      <c r="B706" s="2" t="s">
        <v>14</v>
      </c>
      <c r="C706" s="2" t="s">
        <v>18</v>
      </c>
      <c r="D706" s="2" t="s">
        <v>19</v>
      </c>
      <c r="E706" s="2">
        <v>2</v>
      </c>
      <c r="F706" s="2" t="s">
        <v>22</v>
      </c>
      <c r="G706" s="2">
        <v>18</v>
      </c>
      <c r="H706" s="2">
        <v>5</v>
      </c>
      <c r="I706" s="2">
        <v>40.679999999999993</v>
      </c>
      <c r="J706" s="2">
        <v>6.92</v>
      </c>
      <c r="K706" s="2">
        <v>2.9660000000000002</v>
      </c>
      <c r="L706" s="2">
        <f t="shared" si="20"/>
        <v>57.138728323699418</v>
      </c>
      <c r="M706" s="2">
        <f t="shared" si="21"/>
        <v>3.7375732838100024</v>
      </c>
      <c r="N706" s="2">
        <v>46.41</v>
      </c>
      <c r="O706" s="2">
        <v>1.6339999999999999</v>
      </c>
      <c r="P706" s="2">
        <v>10.214</v>
      </c>
    </row>
    <row r="707" spans="1:16" x14ac:dyDescent="0.3">
      <c r="A707" s="2" t="s">
        <v>43</v>
      </c>
      <c r="B707" s="2" t="s">
        <v>14</v>
      </c>
      <c r="C707" s="2" t="s">
        <v>18</v>
      </c>
      <c r="D707" s="2" t="s">
        <v>16</v>
      </c>
      <c r="E707" s="2">
        <v>3</v>
      </c>
      <c r="F707" s="2" t="s">
        <v>22</v>
      </c>
      <c r="G707" s="2">
        <v>18</v>
      </c>
      <c r="H707" s="2">
        <v>6.1989999999999998</v>
      </c>
      <c r="I707" s="2">
        <v>49.846749475721893</v>
      </c>
      <c r="J707" s="2">
        <v>7</v>
      </c>
      <c r="K707" s="2">
        <v>3.109</v>
      </c>
      <c r="L707" s="2">
        <f t="shared" ref="L707:L711" si="22">((J707-K707)/J707)*100</f>
        <v>55.585714285714282</v>
      </c>
      <c r="M707" s="2">
        <f t="shared" ref="M707:M711" si="23">-LN((K707/J707)/G707)</f>
        <v>3.7019807758748615</v>
      </c>
      <c r="N707" s="2">
        <v>40.71</v>
      </c>
      <c r="O707" s="2">
        <v>1.728</v>
      </c>
      <c r="P707" s="2">
        <v>10.8</v>
      </c>
    </row>
    <row r="708" spans="1:16" x14ac:dyDescent="0.3">
      <c r="A708" s="2" t="s">
        <v>34</v>
      </c>
      <c r="B708" s="2" t="s">
        <v>14</v>
      </c>
      <c r="C708" s="2" t="s">
        <v>18</v>
      </c>
      <c r="D708" s="2" t="s">
        <v>19</v>
      </c>
      <c r="E708" s="2">
        <v>5</v>
      </c>
      <c r="F708" s="2" t="s">
        <v>22</v>
      </c>
      <c r="G708" s="2">
        <v>18</v>
      </c>
      <c r="H708" s="2">
        <v>4.2610000000000001</v>
      </c>
      <c r="I708" s="2">
        <v>31.893921614644448</v>
      </c>
      <c r="J708" s="2">
        <v>7</v>
      </c>
      <c r="K708" s="2">
        <v>2.9020000000000001</v>
      </c>
      <c r="L708" s="2">
        <f t="shared" si="22"/>
        <v>58.542857142857144</v>
      </c>
      <c r="M708" s="2">
        <f t="shared" si="23"/>
        <v>3.770881752489482</v>
      </c>
      <c r="N708" s="2">
        <v>45.73</v>
      </c>
      <c r="O708" s="2">
        <v>1.615</v>
      </c>
      <c r="P708" s="2">
        <v>10.093</v>
      </c>
    </row>
    <row r="709" spans="1:16" x14ac:dyDescent="0.3">
      <c r="A709" s="2" t="s">
        <v>44</v>
      </c>
      <c r="B709" s="2" t="s">
        <v>14</v>
      </c>
      <c r="C709" s="2" t="s">
        <v>18</v>
      </c>
      <c r="D709" s="2" t="s">
        <v>16</v>
      </c>
      <c r="E709" s="2">
        <v>4</v>
      </c>
      <c r="F709" s="2" t="s">
        <v>22</v>
      </c>
      <c r="G709" s="2">
        <v>18</v>
      </c>
      <c r="H709" s="2">
        <v>14.0335</v>
      </c>
      <c r="I709" s="2">
        <v>79.266041970997961</v>
      </c>
      <c r="J709" s="2">
        <v>7</v>
      </c>
      <c r="K709" s="2">
        <v>2.9097</v>
      </c>
      <c r="L709" s="2">
        <f t="shared" si="22"/>
        <v>58.432857142857145</v>
      </c>
      <c r="M709" s="2">
        <f t="shared" si="23"/>
        <v>3.7682319238660082</v>
      </c>
      <c r="N709" s="2">
        <v>43.1</v>
      </c>
      <c r="O709" s="2">
        <v>1.5580000000000001</v>
      </c>
      <c r="P709" s="2">
        <v>9.7390000000000008</v>
      </c>
    </row>
    <row r="710" spans="1:16" x14ac:dyDescent="0.3">
      <c r="A710" s="2" t="s">
        <v>45</v>
      </c>
      <c r="B710" s="2" t="s">
        <v>20</v>
      </c>
      <c r="C710" s="2" t="s">
        <v>18</v>
      </c>
      <c r="D710" s="2" t="s">
        <v>16</v>
      </c>
      <c r="E710" s="2">
        <v>5</v>
      </c>
      <c r="F710" s="2" t="s">
        <v>22</v>
      </c>
      <c r="G710" s="2">
        <v>18</v>
      </c>
      <c r="H710" s="2">
        <v>14.5121</v>
      </c>
      <c r="I710" s="2">
        <v>77.777854342238555</v>
      </c>
      <c r="J710" s="2">
        <v>7</v>
      </c>
      <c r="K710" s="2">
        <v>3.2248999999999999</v>
      </c>
      <c r="L710" s="2">
        <f t="shared" si="22"/>
        <v>53.93</v>
      </c>
      <c r="M710" s="2">
        <f t="shared" si="23"/>
        <v>3.6653799649364305</v>
      </c>
      <c r="N710" s="2">
        <v>37.270000000000003</v>
      </c>
      <c r="O710" s="2">
        <v>1.38</v>
      </c>
      <c r="P710" s="2">
        <v>8.6229999999999993</v>
      </c>
    </row>
    <row r="711" spans="1:16" x14ac:dyDescent="0.3">
      <c r="A711" s="2" t="s">
        <v>46</v>
      </c>
      <c r="B711" s="2" t="s">
        <v>14</v>
      </c>
      <c r="C711" s="2" t="s">
        <v>15</v>
      </c>
      <c r="D711" s="2" t="s">
        <v>19</v>
      </c>
      <c r="E711" s="2">
        <v>4</v>
      </c>
      <c r="F711" s="2" t="s">
        <v>22</v>
      </c>
      <c r="G711" s="2">
        <v>18</v>
      </c>
      <c r="H711" s="2">
        <v>3.661</v>
      </c>
      <c r="I711" s="2">
        <v>28.981152690521711</v>
      </c>
      <c r="J711" s="2">
        <v>7</v>
      </c>
      <c r="K711" s="2">
        <v>2.6</v>
      </c>
      <c r="L711" s="2">
        <f t="shared" si="22"/>
        <v>62.857142857142868</v>
      </c>
      <c r="M711" s="2">
        <f t="shared" si="23"/>
        <v>3.8807704619240417</v>
      </c>
      <c r="N711" s="2">
        <v>46.01</v>
      </c>
      <c r="O711" s="2">
        <v>1.5249999999999999</v>
      </c>
      <c r="P711" s="2">
        <v>9.5289999999999999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0245D-A9D7-4FC6-B1D1-B7425B9E2736}">
  <dimension ref="A3:C6"/>
  <sheetViews>
    <sheetView tabSelected="1" workbookViewId="0">
      <selection activeCell="F14" sqref="F14"/>
    </sheetView>
  </sheetViews>
  <sheetFormatPr defaultRowHeight="14.4" x14ac:dyDescent="0.3"/>
  <cols>
    <col min="1" max="1" width="12.44140625" bestFit="1" customWidth="1"/>
    <col min="2" max="2" width="17.77734375" bestFit="1" customWidth="1"/>
    <col min="3" max="3" width="16.21875" bestFit="1" customWidth="1"/>
  </cols>
  <sheetData>
    <row r="3" spans="1:3" x14ac:dyDescent="0.3">
      <c r="A3" s="15" t="s">
        <v>49</v>
      </c>
      <c r="B3" t="s">
        <v>51</v>
      </c>
      <c r="C3" t="s">
        <v>52</v>
      </c>
    </row>
    <row r="4" spans="1:3" x14ac:dyDescent="0.3">
      <c r="A4" s="16" t="s">
        <v>16</v>
      </c>
      <c r="B4">
        <v>46.72571917808218</v>
      </c>
      <c r="C4">
        <v>1.3147294520547947</v>
      </c>
    </row>
    <row r="5" spans="1:3" x14ac:dyDescent="0.3">
      <c r="A5" s="16" t="s">
        <v>19</v>
      </c>
      <c r="B5">
        <v>46.666677852348968</v>
      </c>
      <c r="C5">
        <v>1.1961208053691279</v>
      </c>
    </row>
    <row r="6" spans="1:3" x14ac:dyDescent="0.3">
      <c r="A6" s="16" t="s">
        <v>50</v>
      </c>
      <c r="B6">
        <v>46.695898305084789</v>
      </c>
      <c r="C6">
        <v>1.2548220338983049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Rush, Harlee</dc:creator>
  <cp:lastModifiedBy>Rush, Harlee</cp:lastModifiedBy>
  <dcterms:created xsi:type="dcterms:W3CDTF">2026-01-12T17:12:41Z</dcterms:created>
  <dcterms:modified xsi:type="dcterms:W3CDTF">2026-03-08T21:07:42Z</dcterms:modified>
</cp:coreProperties>
</file>