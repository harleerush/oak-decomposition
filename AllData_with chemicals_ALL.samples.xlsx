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Manuscripts/Chapter 2 - GPD/Data/"/>
    </mc:Choice>
  </mc:AlternateContent>
  <xr:revisionPtr revIDLastSave="548" documentId="8_{A7826150-0A2E-4676-927E-F29962DFF07A}" xr6:coauthVersionLast="47" xr6:coauthVersionMax="47" xr10:uidLastSave="{AA0EFEF3-38C5-4B85-983C-D9DB687EE664}"/>
  <bookViews>
    <workbookView xWindow="-108" yWindow="-108" windowWidth="23256" windowHeight="13896" tabRatio="599" xr2:uid="{3184EA9C-56D6-4978-BCA2-E8D3257AF9B8}"/>
  </bookViews>
  <sheets>
    <sheet name="all!!" sheetId="13" r:id="rId1"/>
    <sheet name="Sheet3" sheetId="17" r:id="rId2"/>
    <sheet name="Sheet2" sheetId="16" r:id="rId3"/>
    <sheet name="Sheet1" sheetId="14" r:id="rId4"/>
    <sheet name="About" sheetId="6" r:id="rId5"/>
  </sheets>
  <calcPr calcId="191029"/>
  <pivotCaches>
    <pivotCache cacheId="0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3" l="1"/>
  <c r="M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CK298" i="13"/>
  <c r="CJ298" i="13"/>
  <c r="CI298" i="13"/>
  <c r="CH298" i="13"/>
  <c r="CG298" i="13"/>
  <c r="M298" i="13"/>
  <c r="CK297" i="13"/>
  <c r="CJ297" i="13"/>
  <c r="CI297" i="13"/>
  <c r="CH297" i="13"/>
  <c r="CG297" i="13"/>
  <c r="M297" i="13"/>
  <c r="CK296" i="13"/>
  <c r="CJ296" i="13"/>
  <c r="CI296" i="13"/>
  <c r="CH296" i="13"/>
  <c r="CG296" i="13"/>
  <c r="M296" i="13"/>
  <c r="CK295" i="13"/>
  <c r="CJ295" i="13"/>
  <c r="CI295" i="13"/>
  <c r="CH295" i="13"/>
  <c r="CG295" i="13"/>
  <c r="M295" i="13"/>
  <c r="CK294" i="13"/>
  <c r="CJ294" i="13"/>
  <c r="CI294" i="13"/>
  <c r="CH294" i="13"/>
  <c r="CG294" i="13"/>
  <c r="M294" i="13"/>
  <c r="CK293" i="13"/>
  <c r="CJ293" i="13"/>
  <c r="CI293" i="13"/>
  <c r="CH293" i="13"/>
  <c r="CG293" i="13"/>
  <c r="M293" i="13"/>
  <c r="CK292" i="13"/>
  <c r="CJ292" i="13"/>
  <c r="CI292" i="13"/>
  <c r="CH292" i="13"/>
  <c r="CG292" i="13"/>
  <c r="M292" i="13"/>
  <c r="CK291" i="13"/>
  <c r="CJ291" i="13"/>
  <c r="CI291" i="13"/>
  <c r="CH291" i="13"/>
  <c r="CG291" i="13"/>
  <c r="M291" i="13"/>
  <c r="CK290" i="13"/>
  <c r="CJ290" i="13"/>
  <c r="CI290" i="13"/>
  <c r="CH290" i="13"/>
  <c r="CG290" i="13"/>
  <c r="M290" i="13"/>
  <c r="CK289" i="13"/>
  <c r="CJ289" i="13"/>
  <c r="CI289" i="13"/>
  <c r="CH289" i="13"/>
  <c r="CG289" i="13"/>
  <c r="M289" i="13"/>
  <c r="CK288" i="13"/>
  <c r="CJ288" i="13"/>
  <c r="CI288" i="13"/>
  <c r="CH288" i="13"/>
  <c r="CG288" i="13"/>
  <c r="M288" i="13"/>
  <c r="CK287" i="13"/>
  <c r="CJ287" i="13"/>
  <c r="CI287" i="13"/>
  <c r="CH287" i="13"/>
  <c r="CG287" i="13"/>
  <c r="M287" i="13"/>
  <c r="CK286" i="13"/>
  <c r="CJ286" i="13"/>
  <c r="CI286" i="13"/>
  <c r="CH286" i="13"/>
  <c r="CG286" i="13"/>
  <c r="M286" i="13"/>
  <c r="CK285" i="13"/>
  <c r="CJ285" i="13"/>
  <c r="CI285" i="13"/>
  <c r="CH285" i="13"/>
  <c r="CG285" i="13"/>
  <c r="M285" i="13"/>
  <c r="CK284" i="13"/>
  <c r="CJ284" i="13"/>
  <c r="CI284" i="13"/>
  <c r="CH284" i="13"/>
  <c r="CG284" i="13"/>
  <c r="M284" i="13"/>
  <c r="CK283" i="13"/>
  <c r="CJ283" i="13"/>
  <c r="CI283" i="13"/>
  <c r="CH283" i="13"/>
  <c r="CG283" i="13"/>
  <c r="M283" i="13"/>
  <c r="CK282" i="13"/>
  <c r="CJ282" i="13"/>
  <c r="CI282" i="13"/>
  <c r="CH282" i="13"/>
  <c r="CG282" i="13"/>
  <c r="M282" i="13"/>
  <c r="CK281" i="13"/>
  <c r="CJ281" i="13"/>
  <c r="CI281" i="13"/>
  <c r="CH281" i="13"/>
  <c r="CG281" i="13"/>
  <c r="M281" i="13"/>
  <c r="CK280" i="13"/>
  <c r="CJ280" i="13"/>
  <c r="CI280" i="13"/>
  <c r="CH280" i="13"/>
  <c r="CG280" i="13"/>
  <c r="M280" i="13"/>
  <c r="CK279" i="13"/>
  <c r="CJ279" i="13"/>
  <c r="CI279" i="13"/>
  <c r="CH279" i="13"/>
  <c r="CG279" i="13"/>
  <c r="M279" i="13"/>
  <c r="CK278" i="13"/>
  <c r="CJ278" i="13"/>
  <c r="CI278" i="13"/>
  <c r="CH278" i="13"/>
  <c r="CG278" i="13"/>
  <c r="M278" i="13"/>
  <c r="CK277" i="13"/>
  <c r="CJ277" i="13"/>
  <c r="CI277" i="13"/>
  <c r="CH277" i="13"/>
  <c r="CG277" i="13"/>
  <c r="M277" i="13"/>
  <c r="CK276" i="13"/>
  <c r="CJ276" i="13"/>
  <c r="CI276" i="13"/>
  <c r="CH276" i="13"/>
  <c r="CG276" i="13"/>
  <c r="M276" i="13"/>
  <c r="CK275" i="13"/>
  <c r="CJ275" i="13"/>
  <c r="CI275" i="13"/>
  <c r="CH275" i="13"/>
  <c r="CG275" i="13"/>
  <c r="M275" i="13"/>
  <c r="CK274" i="13"/>
  <c r="CJ274" i="13"/>
  <c r="CI274" i="13"/>
  <c r="CH274" i="13"/>
  <c r="CG274" i="13"/>
  <c r="M274" i="13"/>
  <c r="CK273" i="13"/>
  <c r="CJ273" i="13"/>
  <c r="CI273" i="13"/>
  <c r="CH273" i="13"/>
  <c r="CG273" i="13"/>
  <c r="M273" i="13"/>
  <c r="CK272" i="13"/>
  <c r="CJ272" i="13"/>
  <c r="CI272" i="13"/>
  <c r="CH272" i="13"/>
  <c r="CG272" i="13"/>
  <c r="M272" i="13"/>
  <c r="CK271" i="13"/>
  <c r="CJ271" i="13"/>
  <c r="CI271" i="13"/>
  <c r="CH271" i="13"/>
  <c r="CG271" i="13"/>
  <c r="M271" i="13"/>
  <c r="CK270" i="13"/>
  <c r="CJ270" i="13"/>
  <c r="CI270" i="13"/>
  <c r="CH270" i="13"/>
  <c r="CG270" i="13"/>
  <c r="M270" i="13"/>
  <c r="CK269" i="13"/>
  <c r="CJ269" i="13"/>
  <c r="CI269" i="13"/>
  <c r="CH269" i="13"/>
  <c r="CG269" i="13"/>
  <c r="M269" i="13"/>
  <c r="CK268" i="13"/>
  <c r="CJ268" i="13"/>
  <c r="CI268" i="13"/>
  <c r="CH268" i="13"/>
  <c r="CG268" i="13"/>
  <c r="M268" i="13"/>
  <c r="CK267" i="13"/>
  <c r="CJ267" i="13"/>
  <c r="CI267" i="13"/>
  <c r="CH267" i="13"/>
  <c r="CG267" i="13"/>
  <c r="M267" i="13"/>
  <c r="CK266" i="13"/>
  <c r="CJ266" i="13"/>
  <c r="CI266" i="13"/>
  <c r="CH266" i="13"/>
  <c r="CG266" i="13"/>
  <c r="M266" i="13"/>
  <c r="CK265" i="13"/>
  <c r="CJ265" i="13"/>
  <c r="CI265" i="13"/>
  <c r="CH265" i="13"/>
  <c r="CG265" i="13"/>
  <c r="M265" i="13"/>
  <c r="CK264" i="13"/>
  <c r="CJ264" i="13"/>
  <c r="CI264" i="13"/>
  <c r="CH264" i="13"/>
  <c r="CG264" i="13"/>
  <c r="M264" i="13"/>
  <c r="CK263" i="13"/>
  <c r="CJ263" i="13"/>
  <c r="CI263" i="13"/>
  <c r="CH263" i="13"/>
  <c r="CG263" i="13"/>
  <c r="M263" i="13"/>
  <c r="CK262" i="13"/>
  <c r="CJ262" i="13"/>
  <c r="CI262" i="13"/>
  <c r="CH262" i="13"/>
  <c r="CG262" i="13"/>
  <c r="M262" i="13"/>
  <c r="CK261" i="13"/>
  <c r="CJ261" i="13"/>
  <c r="CI261" i="13"/>
  <c r="CH261" i="13"/>
  <c r="CG261" i="13"/>
  <c r="M261" i="13"/>
  <c r="CK260" i="13"/>
  <c r="CJ260" i="13"/>
  <c r="CI260" i="13"/>
  <c r="CH260" i="13"/>
  <c r="CG260" i="13"/>
  <c r="M260" i="13"/>
  <c r="CK259" i="13"/>
  <c r="CJ259" i="13"/>
  <c r="CI259" i="13"/>
  <c r="CH259" i="13"/>
  <c r="CG259" i="13"/>
  <c r="M259" i="13"/>
  <c r="CK258" i="13"/>
  <c r="CJ258" i="13"/>
  <c r="CI258" i="13"/>
  <c r="CH258" i="13"/>
  <c r="CG258" i="13"/>
  <c r="M258" i="13"/>
  <c r="CK257" i="13"/>
  <c r="CJ257" i="13"/>
  <c r="CI257" i="13"/>
  <c r="CH257" i="13"/>
  <c r="CG257" i="13"/>
  <c r="M257" i="13"/>
  <c r="CK256" i="13"/>
  <c r="CJ256" i="13"/>
  <c r="CI256" i="13"/>
  <c r="CH256" i="13"/>
  <c r="CG256" i="13"/>
  <c r="M256" i="13"/>
  <c r="CK255" i="13"/>
  <c r="CJ255" i="13"/>
  <c r="CI255" i="13"/>
  <c r="CH255" i="13"/>
  <c r="CG255" i="13"/>
  <c r="M255" i="13"/>
  <c r="CK254" i="13"/>
  <c r="CJ254" i="13"/>
  <c r="CI254" i="13"/>
  <c r="CH254" i="13"/>
  <c r="CG254" i="13"/>
  <c r="M254" i="13"/>
  <c r="CK253" i="13"/>
  <c r="CJ253" i="13"/>
  <c r="CI253" i="13"/>
  <c r="CH253" i="13"/>
  <c r="CG253" i="13"/>
  <c r="M253" i="13"/>
  <c r="CK252" i="13"/>
  <c r="CJ252" i="13"/>
  <c r="CI252" i="13"/>
  <c r="CH252" i="13"/>
  <c r="CG252" i="13"/>
  <c r="M252" i="13"/>
  <c r="CK251" i="13"/>
  <c r="CJ251" i="13"/>
  <c r="CI251" i="13"/>
  <c r="CH251" i="13"/>
  <c r="CG251" i="13"/>
  <c r="M251" i="13"/>
  <c r="CK250" i="13"/>
  <c r="CJ250" i="13"/>
  <c r="CI250" i="13"/>
  <c r="CH250" i="13"/>
  <c r="CG250" i="13"/>
  <c r="M250" i="13"/>
  <c r="CK249" i="13"/>
  <c r="CJ249" i="13"/>
  <c r="CI249" i="13"/>
  <c r="CH249" i="13"/>
  <c r="CG249" i="13"/>
  <c r="M249" i="13"/>
  <c r="CK248" i="13"/>
  <c r="CJ248" i="13"/>
  <c r="CI248" i="13"/>
  <c r="CH248" i="13"/>
  <c r="CG248" i="13"/>
  <c r="M248" i="13"/>
  <c r="CK247" i="13"/>
  <c r="CJ247" i="13"/>
  <c r="CI247" i="13"/>
  <c r="CH247" i="13"/>
  <c r="CG247" i="13"/>
  <c r="M247" i="13"/>
  <c r="CK246" i="13"/>
  <c r="CJ246" i="13"/>
  <c r="CI246" i="13"/>
  <c r="CH246" i="13"/>
  <c r="CG246" i="13"/>
  <c r="M246" i="13"/>
  <c r="CK245" i="13"/>
  <c r="CJ245" i="13"/>
  <c r="CI245" i="13"/>
  <c r="CH245" i="13"/>
  <c r="CG245" i="13"/>
  <c r="M245" i="13"/>
  <c r="CK244" i="13"/>
  <c r="CJ244" i="13"/>
  <c r="CI244" i="13"/>
  <c r="CH244" i="13"/>
  <c r="CG244" i="13"/>
  <c r="M244" i="13"/>
  <c r="CK243" i="13"/>
  <c r="CJ243" i="13"/>
  <c r="CI243" i="13"/>
  <c r="CH243" i="13"/>
  <c r="CG243" i="13"/>
  <c r="M243" i="13"/>
  <c r="CK242" i="13"/>
  <c r="CJ242" i="13"/>
  <c r="CI242" i="13"/>
  <c r="CH242" i="13"/>
  <c r="CG242" i="13"/>
  <c r="M242" i="13"/>
  <c r="CK241" i="13"/>
  <c r="CJ241" i="13"/>
  <c r="CI241" i="13"/>
  <c r="CH241" i="13"/>
  <c r="CG241" i="13"/>
  <c r="M241" i="13"/>
  <c r="CK240" i="13"/>
  <c r="CJ240" i="13"/>
  <c r="CI240" i="13"/>
  <c r="CH240" i="13"/>
  <c r="CG240" i="13"/>
  <c r="M240" i="13"/>
  <c r="CK239" i="13"/>
  <c r="CJ239" i="13"/>
  <c r="CI239" i="13"/>
  <c r="CH239" i="13"/>
  <c r="CG239" i="13"/>
  <c r="M239" i="13"/>
  <c r="CK238" i="13"/>
  <c r="CJ238" i="13"/>
  <c r="CI238" i="13"/>
  <c r="CH238" i="13"/>
  <c r="CG238" i="13"/>
  <c r="M238" i="13"/>
  <c r="CK237" i="13"/>
  <c r="CJ237" i="13"/>
  <c r="CI237" i="13"/>
  <c r="CH237" i="13"/>
  <c r="CG237" i="13"/>
  <c r="M237" i="13"/>
  <c r="CK236" i="13"/>
  <c r="CJ236" i="13"/>
  <c r="CI236" i="13"/>
  <c r="CH236" i="13"/>
  <c r="CG236" i="13"/>
  <c r="M236" i="13"/>
  <c r="CK235" i="13"/>
  <c r="CJ235" i="13"/>
  <c r="CI235" i="13"/>
  <c r="CH235" i="13"/>
  <c r="CG235" i="13"/>
  <c r="M235" i="13"/>
  <c r="CK234" i="13"/>
  <c r="CJ234" i="13"/>
  <c r="CI234" i="13"/>
  <c r="CH234" i="13"/>
  <c r="CG234" i="13"/>
  <c r="M234" i="13"/>
  <c r="CK233" i="13"/>
  <c r="CJ233" i="13"/>
  <c r="CI233" i="13"/>
  <c r="CH233" i="13"/>
  <c r="CG233" i="13"/>
  <c r="M233" i="13"/>
  <c r="CK232" i="13"/>
  <c r="CJ232" i="13"/>
  <c r="CI232" i="13"/>
  <c r="CH232" i="13"/>
  <c r="CG232" i="13"/>
  <c r="M232" i="13"/>
  <c r="CK231" i="13"/>
  <c r="CJ231" i="13"/>
  <c r="CI231" i="13"/>
  <c r="CH231" i="13"/>
  <c r="CG231" i="13"/>
  <c r="M231" i="13"/>
  <c r="CK230" i="13"/>
  <c r="CJ230" i="13"/>
  <c r="CI230" i="13"/>
  <c r="CH230" i="13"/>
  <c r="CG230" i="13"/>
  <c r="M230" i="13"/>
  <c r="CK229" i="13"/>
  <c r="CJ229" i="13"/>
  <c r="CI229" i="13"/>
  <c r="CH229" i="13"/>
  <c r="CG229" i="13"/>
  <c r="M229" i="13"/>
  <c r="CK228" i="13"/>
  <c r="CJ228" i="13"/>
  <c r="CI228" i="13"/>
  <c r="CH228" i="13"/>
  <c r="CG228" i="13"/>
  <c r="M228" i="13"/>
  <c r="CK227" i="13"/>
  <c r="CJ227" i="13"/>
  <c r="CI227" i="13"/>
  <c r="CH227" i="13"/>
  <c r="CG227" i="13"/>
  <c r="M227" i="13"/>
  <c r="CK226" i="13"/>
  <c r="CJ226" i="13"/>
  <c r="CI226" i="13"/>
  <c r="CH226" i="13"/>
  <c r="CG226" i="13"/>
  <c r="M226" i="13"/>
  <c r="CK225" i="13"/>
  <c r="CJ225" i="13"/>
  <c r="CI225" i="13"/>
  <c r="CH225" i="13"/>
  <c r="CG225" i="13"/>
  <c r="M225" i="13"/>
  <c r="CK224" i="13"/>
  <c r="CJ224" i="13"/>
  <c r="CI224" i="13"/>
  <c r="CH224" i="13"/>
  <c r="CG224" i="13"/>
  <c r="M224" i="13"/>
  <c r="CK223" i="13"/>
  <c r="CJ223" i="13"/>
  <c r="CI223" i="13"/>
  <c r="CH223" i="13"/>
  <c r="CG223" i="13"/>
  <c r="M223" i="13"/>
  <c r="CK222" i="13"/>
  <c r="CJ222" i="13"/>
  <c r="CI222" i="13"/>
  <c r="CH222" i="13"/>
  <c r="CG222" i="13"/>
  <c r="M222" i="13"/>
  <c r="CK221" i="13"/>
  <c r="CJ221" i="13"/>
  <c r="CI221" i="13"/>
  <c r="CH221" i="13"/>
  <c r="CG221" i="13"/>
  <c r="M221" i="13"/>
  <c r="CK220" i="13"/>
  <c r="CJ220" i="13"/>
  <c r="CI220" i="13"/>
  <c r="CH220" i="13"/>
  <c r="CG220" i="13"/>
  <c r="M220" i="13"/>
  <c r="CK219" i="13"/>
  <c r="CJ219" i="13"/>
  <c r="CI219" i="13"/>
  <c r="CH219" i="13"/>
  <c r="CG219" i="13"/>
  <c r="M219" i="13"/>
  <c r="CK218" i="13"/>
  <c r="CJ218" i="13"/>
  <c r="CI218" i="13"/>
  <c r="CH218" i="13"/>
  <c r="CG218" i="13"/>
  <c r="M218" i="13"/>
  <c r="CK217" i="13"/>
  <c r="CJ217" i="13"/>
  <c r="CI217" i="13"/>
  <c r="CH217" i="13"/>
  <c r="CG217" i="13"/>
  <c r="M217" i="13"/>
  <c r="CK216" i="13"/>
  <c r="CJ216" i="13"/>
  <c r="CI216" i="13"/>
  <c r="CH216" i="13"/>
  <c r="CG216" i="13"/>
  <c r="M216" i="13"/>
  <c r="CK215" i="13"/>
  <c r="CJ215" i="13"/>
  <c r="CI215" i="13"/>
  <c r="CH215" i="13"/>
  <c r="CG215" i="13"/>
  <c r="M215" i="13"/>
  <c r="CK214" i="13"/>
  <c r="CJ214" i="13"/>
  <c r="CI214" i="13"/>
  <c r="CH214" i="13"/>
  <c r="CG214" i="13"/>
  <c r="M214" i="13"/>
  <c r="CK213" i="13"/>
  <c r="CJ213" i="13"/>
  <c r="CI213" i="13"/>
  <c r="CH213" i="13"/>
  <c r="CG213" i="13"/>
  <c r="M213" i="13"/>
  <c r="CK212" i="13"/>
  <c r="CJ212" i="13"/>
  <c r="CI212" i="13"/>
  <c r="CH212" i="13"/>
  <c r="CG212" i="13"/>
  <c r="M212" i="13"/>
  <c r="CK211" i="13"/>
  <c r="CJ211" i="13"/>
  <c r="CI211" i="13"/>
  <c r="CH211" i="13"/>
  <c r="CG211" i="13"/>
  <c r="M211" i="13"/>
  <c r="CK210" i="13"/>
  <c r="CJ210" i="13"/>
  <c r="CI210" i="13"/>
  <c r="CH210" i="13"/>
  <c r="CG210" i="13"/>
  <c r="M210" i="13"/>
  <c r="CK209" i="13"/>
  <c r="CJ209" i="13"/>
  <c r="CI209" i="13"/>
  <c r="CH209" i="13"/>
  <c r="CG209" i="13"/>
  <c r="M209" i="13"/>
  <c r="CK208" i="13"/>
  <c r="CJ208" i="13"/>
  <c r="CI208" i="13"/>
  <c r="CH208" i="13"/>
  <c r="CG208" i="13"/>
  <c r="M208" i="13"/>
  <c r="CK207" i="13"/>
  <c r="CJ207" i="13"/>
  <c r="CI207" i="13"/>
  <c r="CH207" i="13"/>
  <c r="CG207" i="13"/>
  <c r="M207" i="13"/>
  <c r="CK206" i="13"/>
  <c r="CJ206" i="13"/>
  <c r="CI206" i="13"/>
  <c r="CH206" i="13"/>
  <c r="CG206" i="13"/>
  <c r="M206" i="13"/>
  <c r="CK205" i="13"/>
  <c r="CJ205" i="13"/>
  <c r="CI205" i="13"/>
  <c r="CH205" i="13"/>
  <c r="CG205" i="13"/>
  <c r="M205" i="13"/>
  <c r="CK204" i="13"/>
  <c r="CJ204" i="13"/>
  <c r="CI204" i="13"/>
  <c r="CH204" i="13"/>
  <c r="CG204" i="13"/>
  <c r="M204" i="13"/>
  <c r="CK203" i="13"/>
  <c r="CJ203" i="13"/>
  <c r="CI203" i="13"/>
  <c r="CH203" i="13"/>
  <c r="CG203" i="13"/>
  <c r="M203" i="13"/>
  <c r="CK202" i="13"/>
  <c r="CJ202" i="13"/>
  <c r="CI202" i="13"/>
  <c r="CH202" i="13"/>
  <c r="CG202" i="13"/>
  <c r="M202" i="13"/>
  <c r="CK201" i="13"/>
  <c r="CJ201" i="13"/>
  <c r="CI201" i="13"/>
  <c r="CH201" i="13"/>
  <c r="CG201" i="13"/>
  <c r="M201" i="13"/>
  <c r="CK200" i="13"/>
  <c r="CJ200" i="13"/>
  <c r="CI200" i="13"/>
  <c r="CH200" i="13"/>
  <c r="CG200" i="13"/>
  <c r="M200" i="13"/>
  <c r="CK199" i="13"/>
  <c r="CJ199" i="13"/>
  <c r="CI199" i="13"/>
  <c r="CH199" i="13"/>
  <c r="CG199" i="13"/>
  <c r="M199" i="13"/>
  <c r="CK198" i="13"/>
  <c r="CJ198" i="13"/>
  <c r="CI198" i="13"/>
  <c r="CH198" i="13"/>
  <c r="CG198" i="13"/>
  <c r="M198" i="13"/>
  <c r="CK197" i="13"/>
  <c r="CJ197" i="13"/>
  <c r="CI197" i="13"/>
  <c r="CH197" i="13"/>
  <c r="CG197" i="13"/>
  <c r="M197" i="13"/>
  <c r="CK196" i="13"/>
  <c r="CJ196" i="13"/>
  <c r="CI196" i="13"/>
  <c r="CH196" i="13"/>
  <c r="CG196" i="13"/>
  <c r="M196" i="13"/>
  <c r="CK195" i="13"/>
  <c r="CJ195" i="13"/>
  <c r="CI195" i="13"/>
  <c r="CH195" i="13"/>
  <c r="CG195" i="13"/>
  <c r="M195" i="13"/>
  <c r="CK194" i="13"/>
  <c r="CJ194" i="13"/>
  <c r="CI194" i="13"/>
  <c r="CH194" i="13"/>
  <c r="CG194" i="13"/>
  <c r="M194" i="13"/>
  <c r="CK193" i="13"/>
  <c r="CJ193" i="13"/>
  <c r="CI193" i="13"/>
  <c r="CH193" i="13"/>
  <c r="CG193" i="13"/>
  <c r="M193" i="13"/>
  <c r="CK192" i="13"/>
  <c r="CJ192" i="13"/>
  <c r="CI192" i="13"/>
  <c r="CH192" i="13"/>
  <c r="CG192" i="13"/>
  <c r="M192" i="13"/>
  <c r="CK191" i="13"/>
  <c r="CJ191" i="13"/>
  <c r="CI191" i="13"/>
  <c r="CH191" i="13"/>
  <c r="CG191" i="13"/>
  <c r="M191" i="13"/>
  <c r="CK190" i="13"/>
  <c r="CJ190" i="13"/>
  <c r="CI190" i="13"/>
  <c r="CH190" i="13"/>
  <c r="CG190" i="13"/>
  <c r="M190" i="13"/>
  <c r="CK189" i="13"/>
  <c r="CJ189" i="13"/>
  <c r="CI189" i="13"/>
  <c r="CH189" i="13"/>
  <c r="CG189" i="13"/>
  <c r="M189" i="13"/>
  <c r="CK188" i="13"/>
  <c r="CJ188" i="13"/>
  <c r="CI188" i="13"/>
  <c r="CH188" i="13"/>
  <c r="CG188" i="13"/>
  <c r="M188" i="13"/>
  <c r="CK187" i="13"/>
  <c r="CJ187" i="13"/>
  <c r="CI187" i="13"/>
  <c r="CH187" i="13"/>
  <c r="CG187" i="13"/>
  <c r="M187" i="13"/>
  <c r="CK186" i="13"/>
  <c r="CJ186" i="13"/>
  <c r="CI186" i="13"/>
  <c r="CH186" i="13"/>
  <c r="CG186" i="13"/>
  <c r="M186" i="13"/>
  <c r="CK185" i="13"/>
  <c r="CJ185" i="13"/>
  <c r="CI185" i="13"/>
  <c r="CH185" i="13"/>
  <c r="CG185" i="13"/>
  <c r="M185" i="13"/>
  <c r="CK184" i="13"/>
  <c r="CJ184" i="13"/>
  <c r="CI184" i="13"/>
  <c r="CH184" i="13"/>
  <c r="CG184" i="13"/>
  <c r="M184" i="13"/>
  <c r="CK183" i="13"/>
  <c r="CJ183" i="13"/>
  <c r="CI183" i="13"/>
  <c r="CH183" i="13"/>
  <c r="CG183" i="13"/>
  <c r="M183" i="13"/>
  <c r="CK182" i="13"/>
  <c r="CJ182" i="13"/>
  <c r="CI182" i="13"/>
  <c r="CH182" i="13"/>
  <c r="CG182" i="13"/>
  <c r="M182" i="13"/>
  <c r="CK181" i="13"/>
  <c r="CJ181" i="13"/>
  <c r="CI181" i="13"/>
  <c r="CH181" i="13"/>
  <c r="CG181" i="13"/>
  <c r="M181" i="13"/>
  <c r="CK180" i="13"/>
  <c r="CJ180" i="13"/>
  <c r="CI180" i="13"/>
  <c r="CH180" i="13"/>
  <c r="CG180" i="13"/>
  <c r="M180" i="13"/>
  <c r="CK179" i="13"/>
  <c r="CJ179" i="13"/>
  <c r="CI179" i="13"/>
  <c r="CH179" i="13"/>
  <c r="CG179" i="13"/>
  <c r="M179" i="13"/>
  <c r="CK178" i="13"/>
  <c r="CJ178" i="13"/>
  <c r="CI178" i="13"/>
  <c r="CH178" i="13"/>
  <c r="CG178" i="13"/>
  <c r="M178" i="13"/>
  <c r="CK177" i="13"/>
  <c r="CJ177" i="13"/>
  <c r="CI177" i="13"/>
  <c r="CH177" i="13"/>
  <c r="CG177" i="13"/>
  <c r="M177" i="13"/>
  <c r="CK176" i="13"/>
  <c r="CJ176" i="13"/>
  <c r="CI176" i="13"/>
  <c r="CH176" i="13"/>
  <c r="CG176" i="13"/>
  <c r="M176" i="13"/>
  <c r="CK175" i="13"/>
  <c r="CJ175" i="13"/>
  <c r="CI175" i="13"/>
  <c r="CH175" i="13"/>
  <c r="CG175" i="13"/>
  <c r="M175" i="13"/>
  <c r="CK174" i="13"/>
  <c r="CJ174" i="13"/>
  <c r="CI174" i="13"/>
  <c r="CH174" i="13"/>
  <c r="CG174" i="13"/>
  <c r="M174" i="13"/>
  <c r="CK173" i="13"/>
  <c r="CJ173" i="13"/>
  <c r="CI173" i="13"/>
  <c r="CH173" i="13"/>
  <c r="CG173" i="13"/>
  <c r="M173" i="13"/>
  <c r="CK172" i="13"/>
  <c r="CJ172" i="13"/>
  <c r="CI172" i="13"/>
  <c r="CH172" i="13"/>
  <c r="CG172" i="13"/>
  <c r="M172" i="13"/>
  <c r="CK171" i="13"/>
  <c r="CJ171" i="13"/>
  <c r="CI171" i="13"/>
  <c r="CH171" i="13"/>
  <c r="CG171" i="13"/>
  <c r="M171" i="13"/>
  <c r="CK170" i="13"/>
  <c r="CJ170" i="13"/>
  <c r="CI170" i="13"/>
  <c r="CH170" i="13"/>
  <c r="CG170" i="13"/>
  <c r="M170" i="13"/>
  <c r="CK169" i="13"/>
  <c r="CJ169" i="13"/>
  <c r="CI169" i="13"/>
  <c r="CH169" i="13"/>
  <c r="CG169" i="13"/>
  <c r="M169" i="13"/>
  <c r="CK168" i="13"/>
  <c r="CJ168" i="13"/>
  <c r="CI168" i="13"/>
  <c r="CH168" i="13"/>
  <c r="CG168" i="13"/>
  <c r="M168" i="13"/>
  <c r="CK167" i="13"/>
  <c r="CJ167" i="13"/>
  <c r="CI167" i="13"/>
  <c r="CH167" i="13"/>
  <c r="CG167" i="13"/>
  <c r="M167" i="13"/>
  <c r="CK166" i="13"/>
  <c r="CJ166" i="13"/>
  <c r="CI166" i="13"/>
  <c r="CH166" i="13"/>
  <c r="CG166" i="13"/>
  <c r="M166" i="13"/>
  <c r="CK165" i="13"/>
  <c r="CJ165" i="13"/>
  <c r="CI165" i="13"/>
  <c r="CH165" i="13"/>
  <c r="CG165" i="13"/>
  <c r="M165" i="13"/>
  <c r="CK164" i="13"/>
  <c r="CJ164" i="13"/>
  <c r="CI164" i="13"/>
  <c r="CH164" i="13"/>
  <c r="CG164" i="13"/>
  <c r="M164" i="13"/>
  <c r="CK163" i="13"/>
  <c r="CJ163" i="13"/>
  <c r="CI163" i="13"/>
  <c r="CH163" i="13"/>
  <c r="CG163" i="13"/>
  <c r="M163" i="13"/>
  <c r="CK162" i="13"/>
  <c r="CJ162" i="13"/>
  <c r="CI162" i="13"/>
  <c r="CH162" i="13"/>
  <c r="CG162" i="13"/>
  <c r="M162" i="13"/>
  <c r="CK161" i="13"/>
  <c r="CJ161" i="13"/>
  <c r="CI161" i="13"/>
  <c r="CH161" i="13"/>
  <c r="CG161" i="13"/>
  <c r="M161" i="13"/>
  <c r="CK160" i="13"/>
  <c r="CJ160" i="13"/>
  <c r="CI160" i="13"/>
  <c r="CH160" i="13"/>
  <c r="CG160" i="13"/>
  <c r="M160" i="13"/>
  <c r="CK159" i="13"/>
  <c r="CJ159" i="13"/>
  <c r="CI159" i="13"/>
  <c r="CH159" i="13"/>
  <c r="CG159" i="13"/>
  <c r="M159" i="13"/>
  <c r="CK158" i="13"/>
  <c r="CJ158" i="13"/>
  <c r="CI158" i="13"/>
  <c r="CH158" i="13"/>
  <c r="CG158" i="13"/>
  <c r="M158" i="13"/>
  <c r="CK157" i="13"/>
  <c r="CJ157" i="13"/>
  <c r="CI157" i="13"/>
  <c r="CH157" i="13"/>
  <c r="CG157" i="13"/>
  <c r="M157" i="13"/>
  <c r="CK156" i="13"/>
  <c r="CJ156" i="13"/>
  <c r="CI156" i="13"/>
  <c r="CH156" i="13"/>
  <c r="CG156" i="13"/>
  <c r="M156" i="13"/>
  <c r="CK155" i="13"/>
  <c r="CJ155" i="13"/>
  <c r="CI155" i="13"/>
  <c r="CH155" i="13"/>
  <c r="CG155" i="13"/>
  <c r="M155" i="13"/>
  <c r="CK154" i="13"/>
  <c r="CJ154" i="13"/>
  <c r="CI154" i="13"/>
  <c r="CH154" i="13"/>
  <c r="CG154" i="13"/>
  <c r="M154" i="13"/>
  <c r="CK153" i="13"/>
  <c r="CJ153" i="13"/>
  <c r="CI153" i="13"/>
  <c r="CH153" i="13"/>
  <c r="CG153" i="13"/>
  <c r="M153" i="13"/>
  <c r="CK152" i="13"/>
  <c r="CJ152" i="13"/>
  <c r="CI152" i="13"/>
  <c r="CH152" i="13"/>
  <c r="CG152" i="13"/>
  <c r="M152" i="13"/>
  <c r="CK151" i="13"/>
  <c r="CJ151" i="13"/>
  <c r="CI151" i="13"/>
  <c r="CH151" i="13"/>
  <c r="CG151" i="13"/>
  <c r="M151" i="13"/>
  <c r="CK150" i="13"/>
  <c r="CJ150" i="13"/>
  <c r="CI150" i="13"/>
  <c r="CH150" i="13"/>
  <c r="CG150" i="13"/>
  <c r="M150" i="13"/>
  <c r="CK149" i="13"/>
  <c r="CJ149" i="13"/>
  <c r="CI149" i="13"/>
  <c r="CH149" i="13"/>
  <c r="CG149" i="13"/>
  <c r="M149" i="13"/>
  <c r="CK148" i="13"/>
  <c r="CJ148" i="13"/>
  <c r="CI148" i="13"/>
  <c r="CH148" i="13"/>
  <c r="CG148" i="13"/>
  <c r="M148" i="13"/>
  <c r="CK147" i="13"/>
  <c r="CJ147" i="13"/>
  <c r="CI147" i="13"/>
  <c r="CH147" i="13"/>
  <c r="CG147" i="13"/>
  <c r="M147" i="13"/>
  <c r="CK146" i="13"/>
  <c r="CJ146" i="13"/>
  <c r="CI146" i="13"/>
  <c r="CH146" i="13"/>
  <c r="CG146" i="13"/>
  <c r="M146" i="13"/>
  <c r="CK145" i="13"/>
  <c r="CJ145" i="13"/>
  <c r="CI145" i="13"/>
  <c r="CH145" i="13"/>
  <c r="CG145" i="13"/>
  <c r="M145" i="13"/>
  <c r="CK144" i="13"/>
  <c r="CJ144" i="13"/>
  <c r="CI144" i="13"/>
  <c r="CH144" i="13"/>
  <c r="CG144" i="13"/>
  <c r="M144" i="13"/>
  <c r="CK143" i="13"/>
  <c r="CJ143" i="13"/>
  <c r="CI143" i="13"/>
  <c r="CH143" i="13"/>
  <c r="CG143" i="13"/>
  <c r="M143" i="13"/>
  <c r="CK142" i="13"/>
  <c r="CJ142" i="13"/>
  <c r="CI142" i="13"/>
  <c r="CH142" i="13"/>
  <c r="CG142" i="13"/>
  <c r="M142" i="13"/>
  <c r="CK141" i="13"/>
  <c r="CJ141" i="13"/>
  <c r="CI141" i="13"/>
  <c r="CH141" i="13"/>
  <c r="CG141" i="13"/>
  <c r="M141" i="13"/>
  <c r="CK140" i="13"/>
  <c r="CJ140" i="13"/>
  <c r="CI140" i="13"/>
  <c r="CH140" i="13"/>
  <c r="CG140" i="13"/>
  <c r="M140" i="13"/>
  <c r="CK139" i="13"/>
  <c r="CJ139" i="13"/>
  <c r="CI139" i="13"/>
  <c r="CH139" i="13"/>
  <c r="CG139" i="13"/>
  <c r="M139" i="13"/>
  <c r="CK138" i="13"/>
  <c r="CJ138" i="13"/>
  <c r="CI138" i="13"/>
  <c r="CH138" i="13"/>
  <c r="CG138" i="13"/>
  <c r="M138" i="13"/>
  <c r="CK137" i="13"/>
  <c r="CJ137" i="13"/>
  <c r="CI137" i="13"/>
  <c r="CH137" i="13"/>
  <c r="CG137" i="13"/>
  <c r="M137" i="13"/>
  <c r="CK136" i="13"/>
  <c r="CJ136" i="13"/>
  <c r="CI136" i="13"/>
  <c r="CH136" i="13"/>
  <c r="CG136" i="13"/>
  <c r="M136" i="13"/>
  <c r="CK135" i="13"/>
  <c r="CJ135" i="13"/>
  <c r="CI135" i="13"/>
  <c r="CH135" i="13"/>
  <c r="CG135" i="13"/>
  <c r="M135" i="13"/>
  <c r="CK134" i="13"/>
  <c r="CJ134" i="13"/>
  <c r="CI134" i="13"/>
  <c r="CH134" i="13"/>
  <c r="CG134" i="13"/>
  <c r="M134" i="13"/>
  <c r="CK133" i="13"/>
  <c r="CJ133" i="13"/>
  <c r="CI133" i="13"/>
  <c r="CH133" i="13"/>
  <c r="CG133" i="13"/>
  <c r="M133" i="13"/>
  <c r="CK132" i="13"/>
  <c r="CJ132" i="13"/>
  <c r="CI132" i="13"/>
  <c r="CH132" i="13"/>
  <c r="CG132" i="13"/>
  <c r="M132" i="13"/>
  <c r="CK131" i="13"/>
  <c r="CJ131" i="13"/>
  <c r="CI131" i="13"/>
  <c r="CH131" i="13"/>
  <c r="CG131" i="13"/>
  <c r="M131" i="13"/>
  <c r="CK130" i="13"/>
  <c r="CJ130" i="13"/>
  <c r="CI130" i="13"/>
  <c r="CH130" i="13"/>
  <c r="CG130" i="13"/>
  <c r="M130" i="13"/>
  <c r="CK129" i="13"/>
  <c r="CJ129" i="13"/>
  <c r="CI129" i="13"/>
  <c r="CH129" i="13"/>
  <c r="CG129" i="13"/>
  <c r="M129" i="13"/>
  <c r="CK128" i="13"/>
  <c r="CJ128" i="13"/>
  <c r="CI128" i="13"/>
  <c r="CH128" i="13"/>
  <c r="CG128" i="13"/>
  <c r="M128" i="13"/>
  <c r="CK127" i="13"/>
  <c r="CJ127" i="13"/>
  <c r="CI127" i="13"/>
  <c r="CH127" i="13"/>
  <c r="CG127" i="13"/>
  <c r="M127" i="13"/>
  <c r="CK126" i="13"/>
  <c r="CJ126" i="13"/>
  <c r="CI126" i="13"/>
  <c r="CH126" i="13"/>
  <c r="CG126" i="13"/>
  <c r="M126" i="13"/>
  <c r="CK125" i="13"/>
  <c r="CJ125" i="13"/>
  <c r="CI125" i="13"/>
  <c r="CH125" i="13"/>
  <c r="CG125" i="13"/>
  <c r="M125" i="13"/>
  <c r="CK124" i="13"/>
  <c r="CJ124" i="13"/>
  <c r="CI124" i="13"/>
  <c r="CH124" i="13"/>
  <c r="CG124" i="13"/>
  <c r="M124" i="13"/>
  <c r="CK123" i="13"/>
  <c r="CJ123" i="13"/>
  <c r="CI123" i="13"/>
  <c r="CH123" i="13"/>
  <c r="CG123" i="13"/>
  <c r="M123" i="13"/>
  <c r="CK122" i="13"/>
  <c r="CJ122" i="13"/>
  <c r="CI122" i="13"/>
  <c r="CH122" i="13"/>
  <c r="CG122" i="13"/>
  <c r="M122" i="13"/>
  <c r="CK121" i="13"/>
  <c r="CJ121" i="13"/>
  <c r="CI121" i="13"/>
  <c r="CH121" i="13"/>
  <c r="CG121" i="13"/>
  <c r="M121" i="13"/>
  <c r="CK120" i="13"/>
  <c r="CJ120" i="13"/>
  <c r="CI120" i="13"/>
  <c r="CH120" i="13"/>
  <c r="CG120" i="13"/>
  <c r="M120" i="13"/>
  <c r="CK119" i="13"/>
  <c r="CJ119" i="13"/>
  <c r="CI119" i="13"/>
  <c r="CH119" i="13"/>
  <c r="CG119" i="13"/>
  <c r="M119" i="13"/>
  <c r="CK118" i="13"/>
  <c r="CJ118" i="13"/>
  <c r="CI118" i="13"/>
  <c r="CH118" i="13"/>
  <c r="CG118" i="13"/>
  <c r="M118" i="13"/>
  <c r="CK117" i="13"/>
  <c r="CJ117" i="13"/>
  <c r="CI117" i="13"/>
  <c r="CH117" i="13"/>
  <c r="CG117" i="13"/>
  <c r="M117" i="13"/>
  <c r="CK116" i="13"/>
  <c r="CJ116" i="13"/>
  <c r="CI116" i="13"/>
  <c r="CH116" i="13"/>
  <c r="CG116" i="13"/>
  <c r="M116" i="13"/>
  <c r="CK115" i="13"/>
  <c r="CJ115" i="13"/>
  <c r="CI115" i="13"/>
  <c r="CH115" i="13"/>
  <c r="CG115" i="13"/>
  <c r="M115" i="13"/>
  <c r="CK114" i="13"/>
  <c r="CJ114" i="13"/>
  <c r="CI114" i="13"/>
  <c r="CH114" i="13"/>
  <c r="CG114" i="13"/>
  <c r="M114" i="13"/>
  <c r="CK113" i="13"/>
  <c r="CJ113" i="13"/>
  <c r="CI113" i="13"/>
  <c r="CH113" i="13"/>
  <c r="CG113" i="13"/>
  <c r="M113" i="13"/>
  <c r="CK112" i="13"/>
  <c r="CJ112" i="13"/>
  <c r="CI112" i="13"/>
  <c r="CH112" i="13"/>
  <c r="CG112" i="13"/>
  <c r="M112" i="13"/>
  <c r="CK111" i="13"/>
  <c r="CJ111" i="13"/>
  <c r="CI111" i="13"/>
  <c r="CH111" i="13"/>
  <c r="CG111" i="13"/>
  <c r="M111" i="13"/>
  <c r="CK110" i="13"/>
  <c r="CJ110" i="13"/>
  <c r="CI110" i="13"/>
  <c r="CH110" i="13"/>
  <c r="CG110" i="13"/>
  <c r="M110" i="13"/>
  <c r="CK109" i="13"/>
  <c r="CJ109" i="13"/>
  <c r="CI109" i="13"/>
  <c r="CH109" i="13"/>
  <c r="CG109" i="13"/>
  <c r="M109" i="13"/>
  <c r="CK108" i="13"/>
  <c r="CJ108" i="13"/>
  <c r="CI108" i="13"/>
  <c r="CH108" i="13"/>
  <c r="CG108" i="13"/>
  <c r="M108" i="13"/>
  <c r="CK107" i="13"/>
  <c r="CJ107" i="13"/>
  <c r="CI107" i="13"/>
  <c r="CH107" i="13"/>
  <c r="CG107" i="13"/>
  <c r="M107" i="13"/>
  <c r="CK106" i="13"/>
  <c r="CJ106" i="13"/>
  <c r="CI106" i="13"/>
  <c r="CH106" i="13"/>
  <c r="CG106" i="13"/>
  <c r="M106" i="13"/>
  <c r="CK105" i="13"/>
  <c r="CJ105" i="13"/>
  <c r="CI105" i="13"/>
  <c r="CH105" i="13"/>
  <c r="CG105" i="13"/>
  <c r="M105" i="13"/>
  <c r="CK104" i="13"/>
  <c r="CJ104" i="13"/>
  <c r="CI104" i="13"/>
  <c r="CH104" i="13"/>
  <c r="CG104" i="13"/>
  <c r="M104" i="13"/>
  <c r="CK103" i="13"/>
  <c r="CJ103" i="13"/>
  <c r="CI103" i="13"/>
  <c r="CH103" i="13"/>
  <c r="CG103" i="13"/>
  <c r="M103" i="13"/>
  <c r="CK102" i="13"/>
  <c r="CJ102" i="13"/>
  <c r="CI102" i="13"/>
  <c r="CH102" i="13"/>
  <c r="CG102" i="13"/>
  <c r="M102" i="13"/>
  <c r="CK101" i="13"/>
  <c r="CJ101" i="13"/>
  <c r="CI101" i="13"/>
  <c r="CH101" i="13"/>
  <c r="CG101" i="13"/>
  <c r="M101" i="13"/>
  <c r="CK100" i="13"/>
  <c r="CJ100" i="13"/>
  <c r="CI100" i="13"/>
  <c r="CH100" i="13"/>
  <c r="CG100" i="13"/>
  <c r="M100" i="13"/>
  <c r="CK99" i="13"/>
  <c r="CJ99" i="13"/>
  <c r="CI99" i="13"/>
  <c r="CH99" i="13"/>
  <c r="CG99" i="13"/>
  <c r="M99" i="13"/>
  <c r="CK98" i="13"/>
  <c r="CJ98" i="13"/>
  <c r="CI98" i="13"/>
  <c r="CH98" i="13"/>
  <c r="CG98" i="13"/>
  <c r="M98" i="13"/>
  <c r="CK97" i="13"/>
  <c r="CJ97" i="13"/>
  <c r="CI97" i="13"/>
  <c r="CH97" i="13"/>
  <c r="CG97" i="13"/>
  <c r="M97" i="13"/>
  <c r="CK96" i="13"/>
  <c r="CJ96" i="13"/>
  <c r="CI96" i="13"/>
  <c r="CH96" i="13"/>
  <c r="CG96" i="13"/>
  <c r="M96" i="13"/>
  <c r="CK95" i="13"/>
  <c r="CJ95" i="13"/>
  <c r="CI95" i="13"/>
  <c r="CH95" i="13"/>
  <c r="CG95" i="13"/>
  <c r="M95" i="13"/>
  <c r="CK94" i="13"/>
  <c r="CJ94" i="13"/>
  <c r="CI94" i="13"/>
  <c r="CH94" i="13"/>
  <c r="CG94" i="13"/>
  <c r="M94" i="13"/>
  <c r="CK93" i="13"/>
  <c r="CJ93" i="13"/>
  <c r="CI93" i="13"/>
  <c r="CH93" i="13"/>
  <c r="CG93" i="13"/>
  <c r="M93" i="13"/>
  <c r="CK92" i="13"/>
  <c r="CJ92" i="13"/>
  <c r="CI92" i="13"/>
  <c r="CH92" i="13"/>
  <c r="CG92" i="13"/>
  <c r="M92" i="13"/>
  <c r="CK91" i="13"/>
  <c r="CJ91" i="13"/>
  <c r="CI91" i="13"/>
  <c r="CH91" i="13"/>
  <c r="CG91" i="13"/>
  <c r="M91" i="13"/>
  <c r="CK90" i="13"/>
  <c r="CJ90" i="13"/>
  <c r="CI90" i="13"/>
  <c r="CH90" i="13"/>
  <c r="CG90" i="13"/>
  <c r="M90" i="13"/>
  <c r="CK89" i="13"/>
  <c r="CJ89" i="13"/>
  <c r="CI89" i="13"/>
  <c r="CH89" i="13"/>
  <c r="CG89" i="13"/>
  <c r="M89" i="13"/>
  <c r="CK88" i="13"/>
  <c r="CJ88" i="13"/>
  <c r="CI88" i="13"/>
  <c r="CH88" i="13"/>
  <c r="CG88" i="13"/>
  <c r="M88" i="13"/>
  <c r="CK87" i="13"/>
  <c r="CJ87" i="13"/>
  <c r="CI87" i="13"/>
  <c r="CH87" i="13"/>
  <c r="CG87" i="13"/>
  <c r="M87" i="13"/>
  <c r="CK86" i="13"/>
  <c r="CJ86" i="13"/>
  <c r="CI86" i="13"/>
  <c r="CH86" i="13"/>
  <c r="CG86" i="13"/>
  <c r="M86" i="13"/>
  <c r="CK85" i="13"/>
  <c r="CJ85" i="13"/>
  <c r="CI85" i="13"/>
  <c r="CH85" i="13"/>
  <c r="CG85" i="13"/>
  <c r="M85" i="13"/>
  <c r="CK84" i="13"/>
  <c r="CJ84" i="13"/>
  <c r="CI84" i="13"/>
  <c r="CH84" i="13"/>
  <c r="CG84" i="13"/>
  <c r="M84" i="13"/>
  <c r="CK83" i="13"/>
  <c r="CJ83" i="13"/>
  <c r="CI83" i="13"/>
  <c r="CH83" i="13"/>
  <c r="CG83" i="13"/>
  <c r="M83" i="13"/>
  <c r="CK82" i="13"/>
  <c r="CJ82" i="13"/>
  <c r="CI82" i="13"/>
  <c r="CH82" i="13"/>
  <c r="CG82" i="13"/>
  <c r="M82" i="13"/>
  <c r="CK81" i="13"/>
  <c r="CJ81" i="13"/>
  <c r="CI81" i="13"/>
  <c r="CH81" i="13"/>
  <c r="CG81" i="13"/>
  <c r="M81" i="13"/>
  <c r="CK80" i="13"/>
  <c r="CJ80" i="13"/>
  <c r="CI80" i="13"/>
  <c r="CH80" i="13"/>
  <c r="CG80" i="13"/>
  <c r="M80" i="13"/>
  <c r="CK79" i="13"/>
  <c r="CJ79" i="13"/>
  <c r="CI79" i="13"/>
  <c r="CH79" i="13"/>
  <c r="CG79" i="13"/>
  <c r="M79" i="13"/>
  <c r="CK78" i="13"/>
  <c r="CJ78" i="13"/>
  <c r="CI78" i="13"/>
  <c r="CH78" i="13"/>
  <c r="CG78" i="13"/>
  <c r="M78" i="13"/>
  <c r="CK77" i="13"/>
  <c r="CJ77" i="13"/>
  <c r="CI77" i="13"/>
  <c r="CH77" i="13"/>
  <c r="CG77" i="13"/>
  <c r="M77" i="13"/>
  <c r="CK76" i="13"/>
  <c r="CJ76" i="13"/>
  <c r="CI76" i="13"/>
  <c r="CH76" i="13"/>
  <c r="CG76" i="13"/>
  <c r="M76" i="13"/>
  <c r="CK75" i="13"/>
  <c r="CJ75" i="13"/>
  <c r="CI75" i="13"/>
  <c r="CH75" i="13"/>
  <c r="CG75" i="13"/>
  <c r="M75" i="13"/>
  <c r="CK74" i="13"/>
  <c r="CJ74" i="13"/>
  <c r="CI74" i="13"/>
  <c r="CH74" i="13"/>
  <c r="CG74" i="13"/>
  <c r="M74" i="13"/>
  <c r="CK73" i="13"/>
  <c r="CJ73" i="13"/>
  <c r="CI73" i="13"/>
  <c r="CH73" i="13"/>
  <c r="CG73" i="13"/>
  <c r="M73" i="13"/>
  <c r="CK72" i="13"/>
  <c r="CJ72" i="13"/>
  <c r="CI72" i="13"/>
  <c r="CH72" i="13"/>
  <c r="CG72" i="13"/>
  <c r="M72" i="13"/>
  <c r="CK71" i="13"/>
  <c r="CJ71" i="13"/>
  <c r="CI71" i="13"/>
  <c r="CH71" i="13"/>
  <c r="CG71" i="13"/>
  <c r="M71" i="13"/>
  <c r="CK70" i="13"/>
  <c r="CJ70" i="13"/>
  <c r="CI70" i="13"/>
  <c r="CH70" i="13"/>
  <c r="CG70" i="13"/>
  <c r="M70" i="13"/>
  <c r="CK69" i="13"/>
  <c r="CJ69" i="13"/>
  <c r="CI69" i="13"/>
  <c r="CH69" i="13"/>
  <c r="CG69" i="13"/>
  <c r="M69" i="13"/>
  <c r="CK68" i="13"/>
  <c r="CJ68" i="13"/>
  <c r="CI68" i="13"/>
  <c r="CH68" i="13"/>
  <c r="CG68" i="13"/>
  <c r="M68" i="13"/>
  <c r="CK67" i="13"/>
  <c r="CJ67" i="13"/>
  <c r="CI67" i="13"/>
  <c r="CH67" i="13"/>
  <c r="CG67" i="13"/>
  <c r="M67" i="13"/>
  <c r="CK66" i="13"/>
  <c r="CJ66" i="13"/>
  <c r="CI66" i="13"/>
  <c r="CH66" i="13"/>
  <c r="CG66" i="13"/>
  <c r="M66" i="13"/>
  <c r="CK65" i="13"/>
  <c r="CJ65" i="13"/>
  <c r="CI65" i="13"/>
  <c r="CH65" i="13"/>
  <c r="CG65" i="13"/>
  <c r="M65" i="13"/>
  <c r="CK64" i="13"/>
  <c r="CJ64" i="13"/>
  <c r="CI64" i="13"/>
  <c r="CH64" i="13"/>
  <c r="CG64" i="13"/>
  <c r="M64" i="13"/>
  <c r="CK63" i="13"/>
  <c r="CJ63" i="13"/>
  <c r="CI63" i="13"/>
  <c r="CH63" i="13"/>
  <c r="CG63" i="13"/>
  <c r="M63" i="13"/>
  <c r="CK62" i="13"/>
  <c r="CJ62" i="13"/>
  <c r="CI62" i="13"/>
  <c r="CH62" i="13"/>
  <c r="CG62" i="13"/>
  <c r="M62" i="13"/>
  <c r="CK61" i="13"/>
  <c r="CJ61" i="13"/>
  <c r="CI61" i="13"/>
  <c r="CH61" i="13"/>
  <c r="CG61" i="13"/>
  <c r="M61" i="13"/>
  <c r="CK60" i="13"/>
  <c r="CJ60" i="13"/>
  <c r="CI60" i="13"/>
  <c r="CH60" i="13"/>
  <c r="CG60" i="13"/>
  <c r="M60" i="13"/>
  <c r="CK59" i="13"/>
  <c r="CJ59" i="13"/>
  <c r="CI59" i="13"/>
  <c r="CH59" i="13"/>
  <c r="CG59" i="13"/>
  <c r="M59" i="13"/>
  <c r="CK58" i="13"/>
  <c r="CJ58" i="13"/>
  <c r="CI58" i="13"/>
  <c r="CH58" i="13"/>
  <c r="CG58" i="13"/>
  <c r="M58" i="13"/>
  <c r="CK57" i="13"/>
  <c r="CJ57" i="13"/>
  <c r="CI57" i="13"/>
  <c r="CH57" i="13"/>
  <c r="CG57" i="13"/>
  <c r="M57" i="13"/>
  <c r="CK56" i="13"/>
  <c r="CJ56" i="13"/>
  <c r="CI56" i="13"/>
  <c r="CH56" i="13"/>
  <c r="CG56" i="13"/>
  <c r="M56" i="13"/>
  <c r="CK55" i="13"/>
  <c r="CJ55" i="13"/>
  <c r="CI55" i="13"/>
  <c r="CH55" i="13"/>
  <c r="CG55" i="13"/>
  <c r="M55" i="13"/>
  <c r="CK54" i="13"/>
  <c r="CJ54" i="13"/>
  <c r="CI54" i="13"/>
  <c r="CH54" i="13"/>
  <c r="CG54" i="13"/>
  <c r="M54" i="13"/>
  <c r="CK53" i="13"/>
  <c r="CJ53" i="13"/>
  <c r="CI53" i="13"/>
  <c r="CH53" i="13"/>
  <c r="CG53" i="13"/>
  <c r="M53" i="13"/>
  <c r="CK52" i="13"/>
  <c r="CJ52" i="13"/>
  <c r="CI52" i="13"/>
  <c r="CH52" i="13"/>
  <c r="CG52" i="13"/>
  <c r="M52" i="13"/>
  <c r="CK51" i="13"/>
  <c r="CJ51" i="13"/>
  <c r="CI51" i="13"/>
  <c r="CH51" i="13"/>
  <c r="CG51" i="13"/>
  <c r="M51" i="13"/>
  <c r="CK50" i="13"/>
  <c r="CJ50" i="13"/>
  <c r="CI50" i="13"/>
  <c r="CH50" i="13"/>
  <c r="CG50" i="13"/>
  <c r="M50" i="13"/>
  <c r="CK49" i="13"/>
  <c r="CJ49" i="13"/>
  <c r="CI49" i="13"/>
  <c r="CH49" i="13"/>
  <c r="CG49" i="13"/>
  <c r="M49" i="13"/>
  <c r="CK48" i="13"/>
  <c r="CJ48" i="13"/>
  <c r="CI48" i="13"/>
  <c r="CH48" i="13"/>
  <c r="CG48" i="13"/>
  <c r="M48" i="13"/>
  <c r="CK47" i="13"/>
  <c r="CJ47" i="13"/>
  <c r="CI47" i="13"/>
  <c r="CH47" i="13"/>
  <c r="CG47" i="13"/>
  <c r="M47" i="13"/>
  <c r="CK46" i="13"/>
  <c r="CJ46" i="13"/>
  <c r="CI46" i="13"/>
  <c r="CH46" i="13"/>
  <c r="CG46" i="13"/>
  <c r="M46" i="13"/>
  <c r="CK45" i="13"/>
  <c r="CJ45" i="13"/>
  <c r="CI45" i="13"/>
  <c r="CH45" i="13"/>
  <c r="CG45" i="13"/>
  <c r="M45" i="13"/>
  <c r="CK44" i="13"/>
  <c r="CJ44" i="13"/>
  <c r="CI44" i="13"/>
  <c r="CH44" i="13"/>
  <c r="CG44" i="13"/>
  <c r="M44" i="13"/>
  <c r="CK43" i="13"/>
  <c r="CJ43" i="13"/>
  <c r="CI43" i="13"/>
  <c r="CH43" i="13"/>
  <c r="CG43" i="13"/>
  <c r="M43" i="13"/>
  <c r="CK42" i="13"/>
  <c r="CJ42" i="13"/>
  <c r="CI42" i="13"/>
  <c r="CH42" i="13"/>
  <c r="CG42" i="13"/>
  <c r="M42" i="13"/>
  <c r="CK41" i="13"/>
  <c r="CJ41" i="13"/>
  <c r="CI41" i="13"/>
  <c r="CH41" i="13"/>
  <c r="CG41" i="13"/>
  <c r="M41" i="13"/>
  <c r="CK40" i="13"/>
  <c r="CJ40" i="13"/>
  <c r="CI40" i="13"/>
  <c r="CH40" i="13"/>
  <c r="CG40" i="13"/>
  <c r="M40" i="13"/>
  <c r="CK39" i="13"/>
  <c r="CJ39" i="13"/>
  <c r="CI39" i="13"/>
  <c r="CH39" i="13"/>
  <c r="CG39" i="13"/>
  <c r="M39" i="13"/>
  <c r="CK38" i="13"/>
  <c r="CJ38" i="13"/>
  <c r="CI38" i="13"/>
  <c r="CH38" i="13"/>
  <c r="CG38" i="13"/>
  <c r="M38" i="13"/>
  <c r="CK37" i="13"/>
  <c r="CJ37" i="13"/>
  <c r="CI37" i="13"/>
  <c r="CH37" i="13"/>
  <c r="CG37" i="13"/>
  <c r="M37" i="13"/>
  <c r="CK36" i="13"/>
  <c r="CJ36" i="13"/>
  <c r="CI36" i="13"/>
  <c r="CH36" i="13"/>
  <c r="CG36" i="13"/>
  <c r="M36" i="13"/>
  <c r="CK35" i="13"/>
  <c r="CJ35" i="13"/>
  <c r="CI35" i="13"/>
  <c r="CH35" i="13"/>
  <c r="CG35" i="13"/>
  <c r="M35" i="13"/>
  <c r="CK34" i="13"/>
  <c r="CJ34" i="13"/>
  <c r="CI34" i="13"/>
  <c r="CH34" i="13"/>
  <c r="CG34" i="13"/>
  <c r="M34" i="13"/>
  <c r="CK33" i="13"/>
  <c r="CJ33" i="13"/>
  <c r="CI33" i="13"/>
  <c r="CH33" i="13"/>
  <c r="CG33" i="13"/>
  <c r="M33" i="13"/>
  <c r="CK32" i="13"/>
  <c r="CJ32" i="13"/>
  <c r="CI32" i="13"/>
  <c r="CH32" i="13"/>
  <c r="CG32" i="13"/>
  <c r="M32" i="13"/>
  <c r="CK31" i="13"/>
  <c r="CJ31" i="13"/>
  <c r="CI31" i="13"/>
  <c r="CH31" i="13"/>
  <c r="CG31" i="13"/>
  <c r="M31" i="13"/>
  <c r="CK30" i="13"/>
  <c r="CJ30" i="13"/>
  <c r="CI30" i="13"/>
  <c r="CH30" i="13"/>
  <c r="CG30" i="13"/>
  <c r="M30" i="13"/>
  <c r="CK29" i="13"/>
  <c r="CJ29" i="13"/>
  <c r="CI29" i="13"/>
  <c r="CH29" i="13"/>
  <c r="CG29" i="13"/>
  <c r="M29" i="13"/>
  <c r="CK28" i="13"/>
  <c r="CJ28" i="13"/>
  <c r="CI28" i="13"/>
  <c r="CH28" i="13"/>
  <c r="CG28" i="13"/>
  <c r="M28" i="13"/>
  <c r="CK27" i="13"/>
  <c r="CJ27" i="13"/>
  <c r="CI27" i="13"/>
  <c r="CH27" i="13"/>
  <c r="CG27" i="13"/>
  <c r="M27" i="13"/>
  <c r="CK26" i="13"/>
  <c r="CJ26" i="13"/>
  <c r="CI26" i="13"/>
  <c r="CH26" i="13"/>
  <c r="CG26" i="13"/>
  <c r="M26" i="13"/>
  <c r="CK25" i="13"/>
  <c r="CJ25" i="13"/>
  <c r="CI25" i="13"/>
  <c r="CH25" i="13"/>
  <c r="CG25" i="13"/>
  <c r="M25" i="13"/>
  <c r="CK24" i="13"/>
  <c r="CJ24" i="13"/>
  <c r="CI24" i="13"/>
  <c r="CH24" i="13"/>
  <c r="CG24" i="13"/>
  <c r="M24" i="13"/>
  <c r="CK23" i="13"/>
  <c r="CJ23" i="13"/>
  <c r="CI23" i="13"/>
  <c r="CH23" i="13"/>
  <c r="CG23" i="13"/>
  <c r="M23" i="13"/>
  <c r="CK22" i="13"/>
  <c r="CJ22" i="13"/>
  <c r="CI22" i="13"/>
  <c r="CH22" i="13"/>
  <c r="CG22" i="13"/>
  <c r="M22" i="13"/>
  <c r="CK21" i="13"/>
  <c r="CJ21" i="13"/>
  <c r="CI21" i="13"/>
  <c r="CH21" i="13"/>
  <c r="CG21" i="13"/>
  <c r="M21" i="13"/>
  <c r="CK20" i="13"/>
  <c r="CJ20" i="13"/>
  <c r="CI20" i="13"/>
  <c r="CH20" i="13"/>
  <c r="CG20" i="13"/>
  <c r="M20" i="13"/>
  <c r="CK19" i="13"/>
  <c r="CJ19" i="13"/>
  <c r="CI19" i="13"/>
  <c r="CH19" i="13"/>
  <c r="CG19" i="13"/>
  <c r="M19" i="13"/>
  <c r="CK18" i="13"/>
  <c r="CJ18" i="13"/>
  <c r="CI18" i="13"/>
  <c r="CH18" i="13"/>
  <c r="CG18" i="13"/>
  <c r="M18" i="13"/>
  <c r="CK17" i="13"/>
  <c r="CJ17" i="13"/>
  <c r="CI17" i="13"/>
  <c r="CH17" i="13"/>
  <c r="CG17" i="13"/>
  <c r="M17" i="13"/>
  <c r="CK16" i="13"/>
  <c r="CJ16" i="13"/>
  <c r="CI16" i="13"/>
  <c r="CH16" i="13"/>
  <c r="CG16" i="13"/>
  <c r="M16" i="13"/>
  <c r="CK15" i="13"/>
  <c r="CJ15" i="13"/>
  <c r="CI15" i="13"/>
  <c r="CH15" i="13"/>
  <c r="CG15" i="13"/>
  <c r="M15" i="13"/>
  <c r="CK14" i="13"/>
  <c r="CJ14" i="13"/>
  <c r="CI14" i="13"/>
  <c r="CH14" i="13"/>
  <c r="CG14" i="13"/>
  <c r="M14" i="13"/>
  <c r="CK13" i="13"/>
  <c r="CJ13" i="13"/>
  <c r="CI13" i="13"/>
  <c r="CH13" i="13"/>
  <c r="CG13" i="13"/>
  <c r="M13" i="13"/>
  <c r="CK12" i="13"/>
  <c r="CJ12" i="13"/>
  <c r="CI12" i="13"/>
  <c r="CH12" i="13"/>
  <c r="CG12" i="13"/>
  <c r="M12" i="13"/>
  <c r="CK11" i="13"/>
  <c r="CJ11" i="13"/>
  <c r="CI11" i="13"/>
  <c r="CH11" i="13"/>
  <c r="CG11" i="13"/>
  <c r="M11" i="13"/>
  <c r="CK10" i="13"/>
  <c r="CJ10" i="13"/>
  <c r="CI10" i="13"/>
  <c r="CH10" i="13"/>
  <c r="CG10" i="13"/>
  <c r="M10" i="13"/>
  <c r="CK9" i="13"/>
  <c r="CJ9" i="13"/>
  <c r="CI9" i="13"/>
  <c r="CH9" i="13"/>
  <c r="CG9" i="13"/>
  <c r="M9" i="13"/>
  <c r="CK8" i="13"/>
  <c r="CJ8" i="13"/>
  <c r="CI8" i="13"/>
  <c r="CH8" i="13"/>
  <c r="CG8" i="13"/>
  <c r="M8" i="13"/>
  <c r="CK7" i="13"/>
  <c r="CJ7" i="13"/>
  <c r="CI7" i="13"/>
  <c r="CH7" i="13"/>
  <c r="CG7" i="13"/>
  <c r="M7" i="13"/>
  <c r="CK6" i="13"/>
  <c r="CJ6" i="13"/>
  <c r="CI6" i="13"/>
  <c r="CH6" i="13"/>
  <c r="CG6" i="13"/>
  <c r="M6" i="13"/>
  <c r="CK5" i="13"/>
  <c r="CJ5" i="13"/>
  <c r="CI5" i="13"/>
  <c r="CH5" i="13"/>
  <c r="CG5" i="13"/>
  <c r="M5" i="13"/>
  <c r="CK4" i="13"/>
  <c r="CJ4" i="13"/>
  <c r="CI4" i="13"/>
  <c r="CH4" i="13"/>
  <c r="CG4" i="13"/>
  <c r="M4" i="13"/>
  <c r="CK3" i="13"/>
  <c r="CJ3" i="13"/>
  <c r="CI3" i="13"/>
  <c r="CH3" i="13"/>
  <c r="CG3" i="13"/>
  <c r="M3" i="13"/>
  <c r="CK2" i="13"/>
  <c r="CJ2" i="13"/>
  <c r="CI2" i="13"/>
  <c r="CH2" i="13"/>
  <c r="CG2" i="13"/>
  <c r="CL130" i="13" l="1"/>
  <c r="CL136" i="13"/>
  <c r="CL150" i="13"/>
  <c r="CL162" i="13"/>
  <c r="CL186" i="13"/>
  <c r="CL198" i="13"/>
  <c r="CL240" i="13"/>
  <c r="CL270" i="13"/>
  <c r="CL294" i="13"/>
  <c r="CL141" i="13"/>
  <c r="CL189" i="13"/>
  <c r="CL201" i="13"/>
  <c r="CL285" i="13"/>
  <c r="CL128" i="13"/>
  <c r="CL212" i="13"/>
  <c r="CL260" i="13"/>
  <c r="CL272" i="13"/>
  <c r="CL296" i="13"/>
  <c r="CL216" i="13"/>
  <c r="CL137" i="13"/>
  <c r="CL149" i="13"/>
  <c r="CL161" i="13"/>
  <c r="CL185" i="13"/>
  <c r="CL197" i="13"/>
  <c r="CL233" i="13"/>
  <c r="CL245" i="13"/>
  <c r="CL257" i="13"/>
  <c r="CL264" i="13"/>
  <c r="CL118" i="13"/>
  <c r="CL134" i="13"/>
  <c r="CL170" i="13"/>
  <c r="CL133" i="13"/>
  <c r="CL286" i="13"/>
  <c r="CL298" i="13"/>
  <c r="CL129" i="13"/>
  <c r="CL135" i="13"/>
  <c r="CL109" i="13"/>
  <c r="CL145" i="13"/>
  <c r="CL169" i="13"/>
  <c r="CL193" i="13"/>
  <c r="CL205" i="13"/>
  <c r="CL241" i="13"/>
  <c r="CL253" i="13"/>
  <c r="CL18" i="13"/>
  <c r="CL88" i="13"/>
  <c r="CL126" i="13"/>
  <c r="CL132" i="13"/>
  <c r="CL113" i="13"/>
  <c r="CL155" i="13"/>
  <c r="CL230" i="13"/>
  <c r="CL239" i="13"/>
  <c r="CL258" i="13"/>
  <c r="CL263" i="13"/>
  <c r="CL27" i="13"/>
  <c r="CL103" i="13"/>
  <c r="CL3" i="13"/>
  <c r="CL21" i="13"/>
  <c r="CL30" i="13"/>
  <c r="CL42" i="13"/>
  <c r="CL54" i="13"/>
  <c r="CL56" i="13"/>
  <c r="CL63" i="13"/>
  <c r="CL68" i="13"/>
  <c r="CL70" i="13"/>
  <c r="CL75" i="13"/>
  <c r="CL78" i="13"/>
  <c r="CL90" i="13"/>
  <c r="CL98" i="13"/>
  <c r="CL102" i="13"/>
  <c r="CL111" i="13"/>
  <c r="CL112" i="13"/>
  <c r="CL122" i="13"/>
  <c r="CL232" i="13"/>
  <c r="CL23" i="13"/>
  <c r="CL4" i="13"/>
  <c r="CL8" i="13"/>
  <c r="CL32" i="13"/>
  <c r="CL87" i="13"/>
  <c r="CL99" i="13"/>
  <c r="CL146" i="13"/>
  <c r="CL158" i="13"/>
  <c r="CL174" i="13"/>
  <c r="CL178" i="13"/>
  <c r="CL182" i="13"/>
  <c r="CL11" i="13"/>
  <c r="CL280" i="13"/>
  <c r="CL60" i="13"/>
  <c r="CL64" i="13"/>
  <c r="CL72" i="13"/>
  <c r="CL95" i="13"/>
  <c r="CL147" i="13"/>
  <c r="CL163" i="13"/>
  <c r="CL167" i="13"/>
  <c r="CL171" i="13"/>
  <c r="CL222" i="13"/>
  <c r="CL234" i="13"/>
  <c r="CL238" i="13"/>
  <c r="CL242" i="13"/>
  <c r="CL246" i="13"/>
  <c r="CL25" i="13"/>
  <c r="CL92" i="13"/>
  <c r="CL96" i="13"/>
  <c r="CL119" i="13"/>
  <c r="CL210" i="13"/>
  <c r="CL218" i="13"/>
  <c r="CL282" i="13"/>
  <c r="CL138" i="13"/>
  <c r="CL200" i="13"/>
  <c r="CL35" i="13"/>
  <c r="CL86" i="13"/>
  <c r="CL2" i="13"/>
  <c r="CL6" i="13"/>
  <c r="CL10" i="13"/>
  <c r="CL14" i="13"/>
  <c r="CL57" i="13"/>
  <c r="CL61" i="13"/>
  <c r="CL156" i="13"/>
  <c r="CL207" i="13"/>
  <c r="CL219" i="13"/>
  <c r="CL223" i="13"/>
  <c r="CL231" i="13"/>
  <c r="CL247" i="13"/>
  <c r="CL255" i="13"/>
  <c r="CL279" i="13"/>
  <c r="CL34" i="13"/>
  <c r="CL38" i="13"/>
  <c r="CL81" i="13"/>
  <c r="CL85" i="13"/>
  <c r="CL89" i="13"/>
  <c r="CL97" i="13"/>
  <c r="CL148" i="13"/>
  <c r="CL176" i="13"/>
  <c r="CL184" i="13"/>
  <c r="CL26" i="13"/>
  <c r="CL41" i="13"/>
  <c r="CL114" i="13"/>
  <c r="CL215" i="13"/>
  <c r="CL53" i="13"/>
  <c r="CL83" i="13"/>
  <c r="CL204" i="13"/>
  <c r="CL208" i="13"/>
  <c r="CL177" i="13"/>
  <c r="CL16" i="13"/>
  <c r="CL77" i="13"/>
  <c r="CL191" i="13"/>
  <c r="CL20" i="13"/>
  <c r="CL58" i="13"/>
  <c r="CL62" i="13"/>
  <c r="CL131" i="13"/>
  <c r="CL290" i="13"/>
  <c r="CL9" i="13"/>
  <c r="CL13" i="13"/>
  <c r="CL66" i="13"/>
  <c r="CL17" i="13"/>
  <c r="CL28" i="13"/>
  <c r="CL43" i="13"/>
  <c r="CL51" i="13"/>
  <c r="CL124" i="13"/>
  <c r="CL214" i="13"/>
  <c r="CL256" i="13"/>
  <c r="CL221" i="13"/>
  <c r="CL12" i="13"/>
  <c r="CL19" i="13"/>
  <c r="CL33" i="13"/>
  <c r="CL45" i="13"/>
  <c r="CL49" i="13"/>
  <c r="CL71" i="13"/>
  <c r="CL79" i="13"/>
  <c r="CL94" i="13"/>
  <c r="CL101" i="13"/>
  <c r="CL116" i="13"/>
  <c r="CL120" i="13"/>
  <c r="CL154" i="13"/>
  <c r="CL165" i="13"/>
  <c r="CL172" i="13"/>
  <c r="CL179" i="13"/>
  <c r="CL187" i="13"/>
  <c r="CL195" i="13"/>
  <c r="CL225" i="13"/>
  <c r="CL229" i="13"/>
  <c r="CL236" i="13"/>
  <c r="CL262" i="13"/>
  <c r="CL266" i="13"/>
  <c r="CL277" i="13"/>
  <c r="CL281" i="13"/>
  <c r="CL292" i="13"/>
  <c r="CL46" i="13"/>
  <c r="CL50" i="13"/>
  <c r="CL65" i="13"/>
  <c r="CL76" i="13"/>
  <c r="CL80" i="13"/>
  <c r="CL84" i="13"/>
  <c r="CL91" i="13"/>
  <c r="CL105" i="13"/>
  <c r="CL117" i="13"/>
  <c r="CL121" i="13"/>
  <c r="CL143" i="13"/>
  <c r="CL151" i="13"/>
  <c r="CL166" i="13"/>
  <c r="CL173" i="13"/>
  <c r="CL188" i="13"/>
  <c r="CL192" i="13"/>
  <c r="CL226" i="13"/>
  <c r="CL237" i="13"/>
  <c r="CL244" i="13"/>
  <c r="CL251" i="13"/>
  <c r="CL259" i="13"/>
  <c r="CL267" i="13"/>
  <c r="CL274" i="13"/>
  <c r="CL278" i="13"/>
  <c r="CL289" i="13"/>
  <c r="CL293" i="13"/>
  <c r="CL24" i="13"/>
  <c r="CL31" i="13"/>
  <c r="CL39" i="13"/>
  <c r="CL69" i="13"/>
  <c r="CL73" i="13"/>
  <c r="CL106" i="13"/>
  <c r="CL110" i="13"/>
  <c r="CL125" i="13"/>
  <c r="CL140" i="13"/>
  <c r="CL144" i="13"/>
  <c r="CL159" i="13"/>
  <c r="CL181" i="13"/>
  <c r="CL196" i="13"/>
  <c r="CL203" i="13"/>
  <c r="CL248" i="13"/>
  <c r="CL297" i="13"/>
  <c r="CL268" i="13"/>
  <c r="CL74" i="13"/>
  <c r="CL227" i="13"/>
  <c r="CL275" i="13"/>
  <c r="CL7" i="13"/>
  <c r="CL22" i="13"/>
  <c r="CL29" i="13"/>
  <c r="CL44" i="13"/>
  <c r="CL48" i="13"/>
  <c r="CL82" i="13"/>
  <c r="CL93" i="13"/>
  <c r="CL100" i="13"/>
  <c r="CL107" i="13"/>
  <c r="CL115" i="13"/>
  <c r="CL123" i="13"/>
  <c r="CL153" i="13"/>
  <c r="CL157" i="13"/>
  <c r="CL190" i="13"/>
  <c r="CL194" i="13"/>
  <c r="CL209" i="13"/>
  <c r="CL220" i="13"/>
  <c r="CL228" i="13"/>
  <c r="CL235" i="13"/>
  <c r="CL249" i="13"/>
  <c r="CL261" i="13"/>
  <c r="CL276" i="13"/>
  <c r="CL291" i="13"/>
  <c r="CL152" i="13"/>
  <c r="CL40" i="13"/>
  <c r="CL47" i="13"/>
  <c r="CL160" i="13"/>
  <c r="CL15" i="13"/>
  <c r="CL37" i="13"/>
  <c r="CL52" i="13"/>
  <c r="CL59" i="13"/>
  <c r="CL104" i="13"/>
  <c r="CL142" i="13"/>
  <c r="CL164" i="13"/>
  <c r="CL175" i="13"/>
  <c r="CL183" i="13"/>
  <c r="CL213" i="13"/>
  <c r="CL217" i="13"/>
  <c r="CL224" i="13"/>
  <c r="CL250" i="13"/>
  <c r="CL254" i="13"/>
  <c r="CL265" i="13"/>
  <c r="CL269" i="13"/>
  <c r="CL287" i="13"/>
  <c r="CL202" i="13"/>
  <c r="CL206" i="13"/>
  <c r="CL243" i="13"/>
  <c r="CL273" i="13"/>
  <c r="CL284" i="13"/>
  <c r="CL288" i="13"/>
  <c r="CL295" i="13"/>
  <c r="CL67" i="13"/>
  <c r="CL139" i="13"/>
  <c r="CL211" i="13"/>
  <c r="CL283" i="13"/>
  <c r="CL168" i="13"/>
  <c r="CL5" i="13"/>
  <c r="CL36" i="13"/>
  <c r="CL108" i="13"/>
  <c r="CL180" i="13"/>
  <c r="CL252" i="13"/>
  <c r="CL55" i="13"/>
  <c r="CL127" i="13"/>
  <c r="CL199" i="13"/>
  <c r="CL271" i="13"/>
</calcChain>
</file>

<file path=xl/sharedStrings.xml><?xml version="1.0" encoding="utf-8"?>
<sst xmlns="http://schemas.openxmlformats.org/spreadsheetml/2006/main" count="3838" uniqueCount="142">
  <si>
    <t>HH</t>
  </si>
  <si>
    <t>Lowland</t>
  </si>
  <si>
    <t>SB</t>
  </si>
  <si>
    <t>BC</t>
  </si>
  <si>
    <t>Pin</t>
  </si>
  <si>
    <t>Red</t>
  </si>
  <si>
    <t>C</t>
  </si>
  <si>
    <t>F</t>
  </si>
  <si>
    <t>Park</t>
  </si>
  <si>
    <t>Habitat</t>
  </si>
  <si>
    <t>Species</t>
  </si>
  <si>
    <t>Bag#</t>
  </si>
  <si>
    <t>Mesh</t>
  </si>
  <si>
    <t>Wet(g)</t>
  </si>
  <si>
    <t>Upland</t>
  </si>
  <si>
    <t>Rep</t>
  </si>
  <si>
    <t>?</t>
  </si>
  <si>
    <t>FinalDry(g)</t>
  </si>
  <si>
    <t>InitialDry(g)</t>
  </si>
  <si>
    <t>MoisturePerc</t>
  </si>
  <si>
    <t>PercMassLoss</t>
  </si>
  <si>
    <t>k</t>
  </si>
  <si>
    <t>NA</t>
  </si>
  <si>
    <t>initial</t>
  </si>
  <si>
    <t>Month</t>
  </si>
  <si>
    <t>Initial</t>
  </si>
  <si>
    <t>PercCarb</t>
  </si>
  <si>
    <t>PercNit</t>
  </si>
  <si>
    <t>PercProtein</t>
  </si>
  <si>
    <t>HFLR5</t>
  </si>
  <si>
    <t>HCLP3</t>
  </si>
  <si>
    <t>SCUR4</t>
  </si>
  <si>
    <t>BCUR2</t>
  </si>
  <si>
    <t>BCUR4</t>
  </si>
  <si>
    <t>BCLP2</t>
  </si>
  <si>
    <t>BCLP5</t>
  </si>
  <si>
    <t>HFLR4</t>
  </si>
  <si>
    <t>BCUP1</t>
  </si>
  <si>
    <t>HCLP4</t>
  </si>
  <si>
    <t>BCLR4</t>
  </si>
  <si>
    <t>Nematode</t>
  </si>
  <si>
    <t>Tardigrade</t>
  </si>
  <si>
    <t>Pseudoscorpion</t>
  </si>
  <si>
    <t>Oribatid.Winged</t>
  </si>
  <si>
    <t>Mesostigmatid</t>
  </si>
  <si>
    <t>Prostigmatid</t>
  </si>
  <si>
    <t>Oribatid.CloseGenitals_RidgedBack</t>
  </si>
  <si>
    <t>Oribatid.HardBodied_RobustRound</t>
  </si>
  <si>
    <t>Oribatid.Juvenile_Small.White</t>
  </si>
  <si>
    <t>Oribatid.CloseGenitals_Hard</t>
  </si>
  <si>
    <t>Oribatid.HardBodied_Flat</t>
  </si>
  <si>
    <t>Oribatid.CloseGenitals_Hard.Robust.Rostrum</t>
  </si>
  <si>
    <t>Oribatid.CloseGenitals_Beaded.Hairy</t>
  </si>
  <si>
    <t>Oribatid.HardBodied_BigRostrum</t>
  </si>
  <si>
    <t>Peculiar.Predator</t>
  </si>
  <si>
    <t>Oribatid.Box</t>
  </si>
  <si>
    <t>Oribatid.Juvenile_Spiney</t>
  </si>
  <si>
    <t>HCLP2</t>
  </si>
  <si>
    <t>HCLR2</t>
  </si>
  <si>
    <t>HCLR3</t>
  </si>
  <si>
    <t>BCLR2</t>
  </si>
  <si>
    <t>BCUP4</t>
  </si>
  <si>
    <t>BCUPR2</t>
  </si>
  <si>
    <t>HCUR4</t>
  </si>
  <si>
    <t>Snail.Round</t>
  </si>
  <si>
    <t>Snail.Spire</t>
  </si>
  <si>
    <t>Lepidoptera.Larvae</t>
  </si>
  <si>
    <t>Psocoptera</t>
  </si>
  <si>
    <t>Amphipod</t>
  </si>
  <si>
    <t>Plecoptera</t>
  </si>
  <si>
    <t>Hemiptera_Nymph</t>
  </si>
  <si>
    <t>HFLR2</t>
  </si>
  <si>
    <t>HFLP3</t>
  </si>
  <si>
    <t>HFLP4</t>
  </si>
  <si>
    <t>SFLP5</t>
  </si>
  <si>
    <t>HFUR4</t>
  </si>
  <si>
    <t>Thysanoptera</t>
  </si>
  <si>
    <t>Zoraptera</t>
  </si>
  <si>
    <t>Diptera.Cecidomyiidae</t>
  </si>
  <si>
    <t>PB</t>
  </si>
  <si>
    <t>AB</t>
  </si>
  <si>
    <t>HFUP3</t>
  </si>
  <si>
    <t>Diptera.Tipulidae</t>
  </si>
  <si>
    <t>Diptera.Chironomid</t>
  </si>
  <si>
    <t>Collembola.Tomoceridae</t>
  </si>
  <si>
    <t>Collembola.Hypogasturidae</t>
  </si>
  <si>
    <t>Collembola.Isotomidae</t>
  </si>
  <si>
    <t>Collembola.Entomobryidae</t>
  </si>
  <si>
    <t>Collembola.Dicyrtomidae</t>
  </si>
  <si>
    <t>Collembola.Unknown</t>
  </si>
  <si>
    <t>Isopoda.Porcellio.laevis</t>
  </si>
  <si>
    <t>Isopoda.Trichoniscus.pusillus</t>
  </si>
  <si>
    <t>Isopoda.Ligidium.elrodii</t>
  </si>
  <si>
    <t>Isopoda.Unknown</t>
  </si>
  <si>
    <t>MicroHymenoptera</t>
  </si>
  <si>
    <t>Formicidae.Myrmicinae</t>
  </si>
  <si>
    <t>Formicidae.Dolichoderinae</t>
  </si>
  <si>
    <t>Diplopoda.Polydesmidae</t>
  </si>
  <si>
    <t>Diplopoda.Julidae</t>
  </si>
  <si>
    <t>Diplopoda.Unknown</t>
  </si>
  <si>
    <t>Coleoptera.Staphylinidae</t>
  </si>
  <si>
    <t>Coleoptera.Carabidae</t>
  </si>
  <si>
    <t>Coleoptera.Unknown</t>
  </si>
  <si>
    <t>Coleoptera.Elateridae</t>
  </si>
  <si>
    <t>Coleoptera.Circulionidae</t>
  </si>
  <si>
    <t>Coleoptera.Circulionidae.Larvae</t>
  </si>
  <si>
    <t>Coleoptera.Staphylinidae.larvae</t>
  </si>
  <si>
    <t>Myriapoda.Hencopidae</t>
  </si>
  <si>
    <t>Myriapoda.Lithobiidae</t>
  </si>
  <si>
    <t>Myriapoda.Geophilidae</t>
  </si>
  <si>
    <t>Araneae.Araneidae</t>
  </si>
  <si>
    <t>Araneae.Anyphaenidae</t>
  </si>
  <si>
    <t>Araneae.Clubionidae</t>
  </si>
  <si>
    <t>Araneae.Dictynidae</t>
  </si>
  <si>
    <t>Araneae.Liocranidae</t>
  </si>
  <si>
    <t>Araneae.Lycosidae</t>
  </si>
  <si>
    <t>Araneae.Pisauridae</t>
  </si>
  <si>
    <t>Araneae.Salticidae</t>
  </si>
  <si>
    <t>Araneae.Tetragnathidae</t>
  </si>
  <si>
    <t>Araneae.Thomisidae</t>
  </si>
  <si>
    <t>Araneae.Unknown</t>
  </si>
  <si>
    <t>Abundance</t>
  </si>
  <si>
    <t>Richness</t>
  </si>
  <si>
    <t>Microfauna</t>
  </si>
  <si>
    <t>Mesofauna</t>
  </si>
  <si>
    <t>Macrofauna</t>
  </si>
  <si>
    <t>Body.Richness</t>
  </si>
  <si>
    <t>Bioturbators</t>
  </si>
  <si>
    <t>Functional.Richness</t>
  </si>
  <si>
    <t>Herbivore</t>
  </si>
  <si>
    <t>Predators</t>
  </si>
  <si>
    <t>Detritivores</t>
  </si>
  <si>
    <t>Row Labels</t>
  </si>
  <si>
    <t>(blank)</t>
  </si>
  <si>
    <t>Avg percent moisture</t>
  </si>
  <si>
    <t>Count of PercMassLoss</t>
  </si>
  <si>
    <t>Replicate</t>
  </si>
  <si>
    <t>MONTH 6</t>
  </si>
  <si>
    <t>MONTH 12</t>
  </si>
  <si>
    <t>MONTH 18</t>
  </si>
  <si>
    <t>Grand Total</t>
  </si>
  <si>
    <t>Sum of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</si>
</sst>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DE6"/>
        <bgColor indexed="64"/>
      </patternFill>
    </fill>
    <fill>
      <patternFill patternType="solid">
        <fgColor rgb="FFDCC5ED"/>
        <bgColor indexed="64"/>
      </patternFill>
    </fill>
    <fill>
      <patternFill patternType="solid">
        <fgColor rgb="FFC59FE1"/>
        <bgColor indexed="64"/>
      </patternFill>
    </fill>
    <fill>
      <patternFill patternType="solid">
        <fgColor rgb="FFFF79B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3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applyAlignment="1">
      <alignment horizontal="left"/>
    </xf>
    <xf numFmtId="0" fontId="2" fillId="15" borderId="0" xfId="0" applyFont="1" applyFill="1"/>
    <xf numFmtId="0" fontId="2" fillId="15" borderId="1" xfId="0" applyFont="1" applyFill="1" applyBorder="1"/>
    <xf numFmtId="0" fontId="2" fillId="15" borderId="2" xfId="0" applyFont="1" applyFill="1" applyBorder="1"/>
    <xf numFmtId="0" fontId="2" fillId="15" borderId="3" xfId="0" applyFont="1" applyFill="1" applyBorder="1"/>
    <xf numFmtId="0" fontId="2" fillId="15" borderId="4" xfId="0" applyFont="1" applyFill="1" applyBorder="1"/>
    <xf numFmtId="0" fontId="2" fillId="15" borderId="5" xfId="0" applyFont="1" applyFill="1" applyBorder="1"/>
    <xf numFmtId="0" fontId="2" fillId="15" borderId="6" xfId="0" applyFont="1" applyFill="1" applyBorder="1"/>
    <xf numFmtId="0" fontId="2" fillId="15" borderId="7" xfId="0" applyFont="1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16" borderId="0" xfId="0" applyFill="1"/>
    <xf numFmtId="0" fontId="0" fillId="17" borderId="0" xfId="0" applyFill="1"/>
    <xf numFmtId="0" fontId="0" fillId="17" borderId="1" xfId="0" applyFill="1" applyBorder="1"/>
    <xf numFmtId="0" fontId="0" fillId="17" borderId="2" xfId="0" applyFill="1" applyBorder="1"/>
    <xf numFmtId="0" fontId="0" fillId="17" borderId="3" xfId="0" applyFill="1" applyBorder="1"/>
    <xf numFmtId="0" fontId="0" fillId="17" borderId="4" xfId="0" applyFill="1" applyBorder="1"/>
    <xf numFmtId="0" fontId="0" fillId="17" borderId="5" xfId="0" applyFill="1" applyBorder="1"/>
    <xf numFmtId="0" fontId="0" fillId="17" borderId="6" xfId="0" applyFill="1" applyBorder="1"/>
    <xf numFmtId="0" fontId="0" fillId="17" borderId="7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16" borderId="7" xfId="0" applyFill="1" applyBorder="1"/>
    <xf numFmtId="0" fontId="2" fillId="15" borderId="8" xfId="0" applyFont="1" applyFill="1" applyBorder="1"/>
    <xf numFmtId="0" fontId="0" fillId="16" borderId="8" xfId="0" applyFill="1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3" fillId="0" borderId="0" xfId="0" applyFont="1"/>
    <xf numFmtId="0" fontId="4" fillId="2" borderId="0" xfId="0" applyFont="1" applyFill="1"/>
    <xf numFmtId="0" fontId="0" fillId="0" borderId="0" xfId="0" applyAlignment="1">
      <alignment horizontal="left" indent="4"/>
    </xf>
    <xf numFmtId="0" fontId="4" fillId="0" borderId="0" xfId="0" applyFont="1" applyAlignment="1">
      <alignment horizontal="left" indent="1"/>
    </xf>
    <xf numFmtId="0" fontId="4" fillId="0" borderId="0" xfId="0" applyFont="1"/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4"/>
    </xf>
    <xf numFmtId="0" fontId="3" fillId="0" borderId="0" xfId="0" applyFont="1" applyAlignment="1">
      <alignment horizontal="left" indent="5"/>
    </xf>
    <xf numFmtId="0" fontId="3" fillId="10" borderId="0" xfId="0" applyFont="1" applyFill="1"/>
    <xf numFmtId="0" fontId="5" fillId="5" borderId="0" xfId="0" applyFont="1" applyFill="1"/>
    <xf numFmtId="0" fontId="0" fillId="0" borderId="0" xfId="0" applyNumberFormat="1"/>
  </cellXfs>
  <cellStyles count="2">
    <cellStyle name="Normal" xfId="0" builtinId="0"/>
    <cellStyle name="Normal 2" xfId="1" xr:uid="{029D4185-DD11-4AE7-9C17-57B6CE050724}"/>
  </cellStyles>
  <dxfs count="0"/>
  <tableStyles count="0" defaultTableStyle="TableStyleMedium2" defaultPivotStyle="PivotStyleLight16"/>
  <colors>
    <mruColors>
      <color rgb="FFDCC5ED"/>
      <color rgb="FFFFCDE6"/>
      <color rgb="FFCC0000"/>
      <color rgb="FFFF79BC"/>
      <color rgb="FFC59FE1"/>
      <color rgb="FFFFC305"/>
      <color rgb="FFFF99CC"/>
      <color rgb="FFFFCCCC"/>
      <color rgb="FFD7A7CA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129540</xdr:rowOff>
    </xdr:from>
    <xdr:to>
      <xdr:col>17</xdr:col>
      <xdr:colOff>586740</xdr:colOff>
      <xdr:row>19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6D5EC63-6799-0E3A-F5E4-158108DB3EDE}"/>
            </a:ext>
          </a:extLst>
        </xdr:cNvPr>
        <xdr:cNvSpPr txBox="1"/>
      </xdr:nvSpPr>
      <xdr:spPr>
        <a:xfrm>
          <a:off x="365760" y="129540"/>
          <a:ext cx="10584180" cy="3375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for the 2022-2024 leaf litter decomposition</a:t>
          </a:r>
          <a:r>
            <a:rPr lang="en-US" sz="1100" baseline="0"/>
            <a:t> project in the Geauga Park District studying impacts of moisture gradients/habitat on </a:t>
          </a:r>
          <a:r>
            <a:rPr lang="en-US" sz="1100" i="1" baseline="0"/>
            <a:t>Quercus </a:t>
          </a:r>
          <a:r>
            <a:rPr lang="en-US" sz="1100" i="0" baseline="0"/>
            <a:t>leaf litter decomposition. </a:t>
          </a:r>
        </a:p>
        <a:p>
          <a:r>
            <a:rPr lang="en-US" sz="1100" b="1" i="0" baseline="0"/>
            <a:t>Species: </a:t>
          </a:r>
          <a:r>
            <a:rPr lang="en-US" sz="1100" b="0" i="1" baseline="0"/>
            <a:t>Quercus rubra </a:t>
          </a:r>
          <a:r>
            <a:rPr lang="en-US" sz="1100" b="0" i="0" baseline="0"/>
            <a:t>&amp; </a:t>
          </a:r>
          <a:r>
            <a:rPr lang="en-US" sz="1100" b="0" i="1" baseline="0"/>
            <a:t>Quercus palustris </a:t>
          </a:r>
          <a:endParaRPr lang="en-US" sz="1100" b="1" i="0" baseline="0"/>
        </a:p>
        <a:p>
          <a:r>
            <a:rPr lang="en-US" sz="1100" b="1" i="0" baseline="0"/>
            <a:t>Parks: </a:t>
          </a:r>
          <a:r>
            <a:rPr lang="en-US" sz="1100" i="0" baseline="0"/>
            <a:t>Big Creek Park, Holbrook Hollows, and Sunnybrook Preserve </a:t>
          </a:r>
        </a:p>
        <a:p>
          <a:r>
            <a:rPr lang="en-US" sz="1100" b="1" i="0" baseline="0"/>
            <a:t>Habitats: </a:t>
          </a:r>
          <a:r>
            <a:rPr lang="en-US" sz="1100" i="0" baseline="0"/>
            <a:t>Upland and Lowland</a:t>
          </a:r>
        </a:p>
        <a:p>
          <a:r>
            <a:rPr lang="en-US" sz="1100" b="1" i="0" baseline="0"/>
            <a:t>Treatments: </a:t>
          </a:r>
          <a:r>
            <a:rPr lang="en-US" sz="1100" b="0" i="0" baseline="0"/>
            <a:t>Fine and coarse mesh</a:t>
          </a:r>
        </a:p>
        <a:p>
          <a:r>
            <a:rPr lang="en-US" sz="1100" b="1" i="0" baseline="0"/>
            <a:t>Collections: </a:t>
          </a:r>
          <a:r>
            <a:rPr lang="en-US" sz="1100" b="0" i="0" baseline="0"/>
            <a:t>01/2023, 02/2023, 03/2023, 06/2023, 12/2023, and 06/2024</a:t>
          </a:r>
          <a:endParaRPr lang="en-US" sz="1100" b="1" i="0" baseline="0"/>
        </a:p>
        <a:p>
          <a:r>
            <a:rPr lang="en-US" sz="1100" b="1" i="0" baseline="0"/>
            <a:t>Deployed: </a:t>
          </a:r>
          <a:r>
            <a:rPr lang="en-US" sz="1100" b="0" i="0" baseline="0"/>
            <a:t>December 2022</a:t>
          </a:r>
        </a:p>
        <a:p>
          <a:r>
            <a:rPr lang="en-US" sz="1100" b="1" i="0" baseline="0"/>
            <a:t>Blocks: </a:t>
          </a:r>
          <a:r>
            <a:rPr lang="en-US" sz="1100" b="0" i="0" baseline="0"/>
            <a:t>5 replicates</a:t>
          </a:r>
        </a:p>
        <a:p>
          <a:r>
            <a:rPr lang="en-US" sz="1100" b="1" i="0" baseline="0"/>
            <a:t>Weights/calculations: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Initial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Dry Weight (g),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Wet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weight (g), F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inal Dry Weight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(g),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Moisture %, and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 Mass Lost</a:t>
          </a:r>
          <a:r>
            <a:rPr lang="en-US" b="0"/>
            <a:t> </a:t>
          </a:r>
          <a:endParaRPr lang="en-US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lee Rush" refreshedDate="46079.542679398146" createdVersion="8" refreshedVersion="8" minRefreshableVersion="3" recordCount="597" xr:uid="{970318FA-0C89-4C14-904A-B14239412E17}">
  <cacheSource type="worksheet">
    <worksheetSource ref="A1:CQ1048576" sheet="all!!"/>
  </cacheSource>
  <cacheFields count="95">
    <cacheField name="Bag#" numFmtId="0">
      <sharedItems containsBlank="1" containsMixedTypes="1" containsNumber="1" containsInteger="1" minValue="2" maxValue="720"/>
    </cacheField>
    <cacheField name="Park" numFmtId="0">
      <sharedItems containsBlank="1" count="4">
        <s v="HH"/>
        <s v="SB"/>
        <s v="BC"/>
        <m/>
      </sharedItems>
    </cacheField>
    <cacheField name="Habitat" numFmtId="0">
      <sharedItems containsBlank="1" count="3">
        <s v="Upland"/>
        <s v="Lowland"/>
        <m/>
      </sharedItems>
    </cacheField>
    <cacheField name="Species" numFmtId="0">
      <sharedItems containsBlank="1" count="3">
        <s v="Pin"/>
        <s v="Red"/>
        <m/>
      </sharedItems>
    </cacheField>
    <cacheField name="Rep" numFmtId="0">
      <sharedItems containsBlank="1" containsMixedTypes="1" containsNumber="1" containsInteger="1" minValue="1" maxValue="5" count="8">
        <n v="3"/>
        <n v="4"/>
        <n v="1"/>
        <n v="2"/>
        <n v="5"/>
        <m/>
        <s v="?"/>
        <s v="NA"/>
      </sharedItems>
    </cacheField>
    <cacheField name="Mesh" numFmtId="0">
      <sharedItems containsBlank="1" count="4">
        <s v="C"/>
        <s v="F"/>
        <s v="Initial"/>
        <m/>
      </sharedItems>
    </cacheField>
    <cacheField name="InitialDry(g)" numFmtId="0">
      <sharedItems containsBlank="1" containsMixedTypes="1" containsNumber="1" minValue="6.06" maxValue="7.5099999999999989"/>
    </cacheField>
    <cacheField name="Month" numFmtId="0">
      <sharedItems containsString="0" containsBlank="1" containsNumber="1" containsInteger="1" minValue="0" maxValue="18" count="7">
        <n v="1"/>
        <n v="2"/>
        <n v="6"/>
        <n v="12"/>
        <n v="18"/>
        <n v="0"/>
        <m/>
      </sharedItems>
    </cacheField>
    <cacheField name="Wet(g)" numFmtId="0">
      <sharedItems containsBlank="1" containsMixedTypes="1" containsNumber="1" minValue="0.79100000000000004" maxValue="83847"/>
    </cacheField>
    <cacheField name="FinalDry(g)" numFmtId="0">
      <sharedItems containsBlank="1" containsMixedTypes="1" containsNumber="1" minValue="0.60399999999999998" maxValue="6.5389999999999997"/>
    </cacheField>
    <cacheField name="MoisturePerc" numFmtId="0">
      <sharedItems containsBlank="1" containsMixedTypes="1" containsNumber="1" minValue="9.7187552005325433" maxValue="99.993526423127847"/>
    </cacheField>
    <cacheField name="PercMassLoss" numFmtId="0">
      <sharedItems containsBlank="1" containsMixedTypes="1" containsNumber="1" minValue="1.306930693069295" maxValue="91.383737517831662"/>
    </cacheField>
    <cacheField name="k" numFmtId="0">
      <sharedItems containsBlank="1" containsMixedTypes="1" containsNumber="1" minValue="1.3155461802116337E-2" maxValue="5.3418905399899854"/>
    </cacheField>
    <cacheField name="PercCarb" numFmtId="0">
      <sharedItems containsString="0" containsBlank="1" containsNumber="1" minValue="27.36" maxValue="49.9"/>
    </cacheField>
    <cacheField name="PercNit" numFmtId="0">
      <sharedItems containsString="0" containsBlank="1" containsNumber="1" minValue="0.54900000000000004" maxValue="3.5539999999999998"/>
    </cacheField>
    <cacheField name="PercProtein" numFmtId="0">
      <sharedItems containsString="0" containsBlank="1" containsNumber="1" minValue="3.4289999999999998" maxValue="22.213999999999999"/>
    </cacheField>
    <cacheField name="PB" numFmtId="0">
      <sharedItems containsString="0" containsBlank="1" containsNumber="1" minValue="0.128" maxValue="3.843"/>
    </cacheField>
    <cacheField name="AB" numFmtId="0">
      <sharedItems containsString="0" containsBlank="1" containsNumber="1" minValue="1.8700000000000001E-3" maxValue="3.0379999999999998"/>
    </cacheField>
    <cacheField name="Oribatid.HardBodied_RobustRound" numFmtId="0">
      <sharedItems containsString="0" containsBlank="1" containsNumber="1" containsInteger="1" minValue="0" maxValue="19"/>
    </cacheField>
    <cacheField name="Oribatid.HardBodied_Flat" numFmtId="0">
      <sharedItems containsString="0" containsBlank="1" containsNumber="1" containsInteger="1" minValue="0" maxValue="6"/>
    </cacheField>
    <cacheField name="Oribatid.HardBodied_BigRostrum" numFmtId="0">
      <sharedItems containsString="0" containsBlank="1" containsNumber="1" containsInteger="1" minValue="0" maxValue="1"/>
    </cacheField>
    <cacheField name="Oribatid.Winged" numFmtId="0">
      <sharedItems containsString="0" containsBlank="1" containsNumber="1" containsInteger="1" minValue="0" maxValue="7"/>
    </cacheField>
    <cacheField name="Oribatid.CloseGenitals_RidgedBack" numFmtId="0">
      <sharedItems containsString="0" containsBlank="1" containsNumber="1" containsInteger="1" minValue="0" maxValue="26"/>
    </cacheField>
    <cacheField name="Oribatid.CloseGenitals_Hard" numFmtId="0">
      <sharedItems containsString="0" containsBlank="1" containsNumber="1" containsInteger="1" minValue="0" maxValue="4"/>
    </cacheField>
    <cacheField name="Oribatid.CloseGenitals_Hard.Robust.Rostrum" numFmtId="0">
      <sharedItems containsString="0" containsBlank="1" containsNumber="1" containsInteger="1" minValue="0" maxValue="1"/>
    </cacheField>
    <cacheField name="Oribatid.CloseGenitals_Beaded.Hairy" numFmtId="0">
      <sharedItems containsString="0" containsBlank="1" containsNumber="1" containsInteger="1" minValue="0" maxValue="1"/>
    </cacheField>
    <cacheField name="Oribatid.Box" numFmtId="0">
      <sharedItems containsString="0" containsBlank="1" containsNumber="1" containsInteger="1" minValue="0" maxValue="7"/>
    </cacheField>
    <cacheField name="Oribatid.Juvenile_Small.White" numFmtId="0">
      <sharedItems containsString="0" containsBlank="1" containsNumber="1" containsInteger="1" minValue="0" maxValue="31"/>
    </cacheField>
    <cacheField name="Oribatid.Juvenile_Spiney" numFmtId="0">
      <sharedItems containsString="0" containsBlank="1" containsNumber="1" containsInteger="1" minValue="0" maxValue="1"/>
    </cacheField>
    <cacheField name="Mesostigmatid" numFmtId="0">
      <sharedItems containsString="0" containsBlank="1" containsNumber="1" containsInteger="1" minValue="0" maxValue="3"/>
    </cacheField>
    <cacheField name="Prostigmatid" numFmtId="0">
      <sharedItems containsString="0" containsBlank="1" containsNumber="1" containsInteger="1" minValue="0" maxValue="2"/>
    </cacheField>
    <cacheField name="Peculiar.Predator" numFmtId="0">
      <sharedItems containsString="0" containsBlank="1" containsNumber="1" containsInteger="1" minValue="0" maxValue="1"/>
    </cacheField>
    <cacheField name="Nematode" numFmtId="0">
      <sharedItems containsString="0" containsBlank="1" containsNumber="1" containsInteger="1" minValue="0" maxValue="53"/>
    </cacheField>
    <cacheField name="Diptera.Cecidomyiidae" numFmtId="0">
      <sharedItems containsString="0" containsBlank="1" containsNumber="1" containsInteger="1" minValue="0" maxValue="22"/>
    </cacheField>
    <cacheField name="Diptera.Tipulidae" numFmtId="0">
      <sharedItems containsString="0" containsBlank="1" containsNumber="1" containsInteger="1" minValue="0" maxValue="1"/>
    </cacheField>
    <cacheField name="Diptera.Chironomid" numFmtId="0">
      <sharedItems containsString="0" containsBlank="1" containsNumber="1" containsInteger="1" minValue="0" maxValue="13"/>
    </cacheField>
    <cacheField name="Collembola.Tomoceridae" numFmtId="0">
      <sharedItems containsString="0" containsBlank="1" containsNumber="1" containsInteger="1" minValue="0" maxValue="9"/>
    </cacheField>
    <cacheField name="Collembola.Hypogasturidae" numFmtId="0">
      <sharedItems containsString="0" containsBlank="1" containsNumber="1" containsInteger="1" minValue="0" maxValue="4"/>
    </cacheField>
    <cacheField name="Collembola.Isotomidae" numFmtId="0">
      <sharedItems containsString="0" containsBlank="1" containsNumber="1" containsInteger="1" minValue="0" maxValue="1"/>
    </cacheField>
    <cacheField name="Collembola.Entomobryidae" numFmtId="0">
      <sharedItems containsString="0" containsBlank="1" containsNumber="1" containsInteger="1" minValue="0" maxValue="1"/>
    </cacheField>
    <cacheField name="Collembola.Dicyrtomidae" numFmtId="0">
      <sharedItems containsString="0" containsBlank="1" containsNumber="1" containsInteger="1" minValue="0" maxValue="1"/>
    </cacheField>
    <cacheField name="Collembola.Unknown" numFmtId="0">
      <sharedItems containsString="0" containsBlank="1" containsNumber="1" containsInteger="1" minValue="0" maxValue="15"/>
    </cacheField>
    <cacheField name="Snail.Round" numFmtId="0">
      <sharedItems containsString="0" containsBlank="1" containsNumber="1" containsInteger="1" minValue="0" maxValue="11"/>
    </cacheField>
    <cacheField name="Snail.Spire" numFmtId="0">
      <sharedItems containsString="0" containsBlank="1" containsNumber="1" containsInteger="1" minValue="0" maxValue="3"/>
    </cacheField>
    <cacheField name="Tardigrade" numFmtId="0">
      <sharedItems containsString="0" containsBlank="1" containsNumber="1" containsInteger="1" minValue="0" maxValue="73"/>
    </cacheField>
    <cacheField name="Isopoda.Porcellio.laevis" numFmtId="0">
      <sharedItems containsString="0" containsBlank="1" containsNumber="1" containsInteger="1" minValue="0" maxValue="1"/>
    </cacheField>
    <cacheField name="Isopoda.Trichoniscus.pusillus" numFmtId="0">
      <sharedItems containsString="0" containsBlank="1" containsNumber="1" containsInteger="1" minValue="0" maxValue="1"/>
    </cacheField>
    <cacheField name="Isopoda.Ligidium.elrodii" numFmtId="0">
      <sharedItems containsString="0" containsBlank="1" containsNumber="1" containsInteger="1" minValue="0" maxValue="1"/>
    </cacheField>
    <cacheField name="Isopoda.Unknown" numFmtId="0">
      <sharedItems containsString="0" containsBlank="1" containsNumber="1" containsInteger="1" minValue="0" maxValue="5"/>
    </cacheField>
    <cacheField name="MicroHymenoptera" numFmtId="0">
      <sharedItems containsString="0" containsBlank="1" containsNumber="1" containsInteger="1" minValue="0" maxValue="1"/>
    </cacheField>
    <cacheField name="Formicidae.Myrmicinae" numFmtId="0">
      <sharedItems containsString="0" containsBlank="1" containsNumber="1" containsInteger="1" minValue="0" maxValue="11"/>
    </cacheField>
    <cacheField name="Formicidae.Dolichoderinae" numFmtId="0">
      <sharedItems containsString="0" containsBlank="1" containsNumber="1" containsInteger="1" minValue="0" maxValue="161"/>
    </cacheField>
    <cacheField name="Diplopoda.Polydesmidae" numFmtId="0">
      <sharedItems containsString="0" containsBlank="1" containsNumber="1" containsInteger="1" minValue="0" maxValue="1"/>
    </cacheField>
    <cacheField name="Diplopoda.Julidae" numFmtId="0">
      <sharedItems containsString="0" containsBlank="1" containsNumber="1" containsInteger="1" minValue="0" maxValue="3"/>
    </cacheField>
    <cacheField name="Diplopoda.Unknown" numFmtId="0">
      <sharedItems containsString="0" containsBlank="1" containsNumber="1" containsInteger="1" minValue="0" maxValue="2"/>
    </cacheField>
    <cacheField name="Coleoptera.Staphylinidae" numFmtId="0">
      <sharedItems containsString="0" containsBlank="1" containsNumber="1" containsInteger="1" minValue="0" maxValue="1"/>
    </cacheField>
    <cacheField name="Coleoptera.Carabidae" numFmtId="0">
      <sharedItems containsString="0" containsBlank="1" containsNumber="1" containsInteger="1" minValue="0" maxValue="1"/>
    </cacheField>
    <cacheField name="Coleoptera.Unknown" numFmtId="0">
      <sharedItems containsString="0" containsBlank="1" containsNumber="1" containsInteger="1" minValue="0" maxValue="1"/>
    </cacheField>
    <cacheField name="Coleoptera.Elateridae" numFmtId="0">
      <sharedItems containsString="0" containsBlank="1" containsNumber="1" containsInteger="1" minValue="0" maxValue="1"/>
    </cacheField>
    <cacheField name="Coleoptera.Circulionidae" numFmtId="0">
      <sharedItems containsString="0" containsBlank="1" containsNumber="1" containsInteger="1" minValue="0" maxValue="2"/>
    </cacheField>
    <cacheField name="Coleoptera.Circulionidae.Larvae" numFmtId="0">
      <sharedItems containsString="0" containsBlank="1" containsNumber="1" containsInteger="1" minValue="0" maxValue="1"/>
    </cacheField>
    <cacheField name="Coleoptera.Staphylinidae.larvae" numFmtId="0">
      <sharedItems containsString="0" containsBlank="1" containsNumber="1" containsInteger="1" minValue="0" maxValue="1"/>
    </cacheField>
    <cacheField name="Lepidoptera.Larvae" numFmtId="0">
      <sharedItems containsString="0" containsBlank="1" containsNumber="1" containsInteger="1" minValue="0" maxValue="1"/>
    </cacheField>
    <cacheField name="Psocoptera" numFmtId="0">
      <sharedItems containsString="0" containsBlank="1" containsNumber="1" containsInteger="1" minValue="0" maxValue="1"/>
    </cacheField>
    <cacheField name="Amphipod" numFmtId="0">
      <sharedItems containsString="0" containsBlank="1" containsNumber="1" containsInteger="1" minValue="0" maxValue="0"/>
    </cacheField>
    <cacheField name="Plecoptera" numFmtId="0">
      <sharedItems containsString="0" containsBlank="1" containsNumber="1" containsInteger="1" minValue="0" maxValue="0"/>
    </cacheField>
    <cacheField name="Hemiptera_Nymph" numFmtId="0">
      <sharedItems containsString="0" containsBlank="1" containsNumber="1" containsInteger="1" minValue="0" maxValue="1"/>
    </cacheField>
    <cacheField name="Myriapoda.Hencopidae" numFmtId="0">
      <sharedItems containsString="0" containsBlank="1" containsNumber="1" containsInteger="1" minValue="0" maxValue="1"/>
    </cacheField>
    <cacheField name="Myriapoda.Lithobiidae" numFmtId="0">
      <sharedItems containsString="0" containsBlank="1" containsNumber="1" containsInteger="1" minValue="0" maxValue="1"/>
    </cacheField>
    <cacheField name="Myriapoda.Geophilidae" numFmtId="0">
      <sharedItems containsString="0" containsBlank="1" containsNumber="1" containsInteger="1" minValue="0" maxValue="1"/>
    </cacheField>
    <cacheField name="Thysanoptera" numFmtId="0">
      <sharedItems containsString="0" containsBlank="1" containsNumber="1" containsInteger="1" minValue="0" maxValue="1"/>
    </cacheField>
    <cacheField name="Pseudoscorpion" numFmtId="0">
      <sharedItems containsString="0" containsBlank="1" containsNumber="1" containsInteger="1" minValue="0" maxValue="3"/>
    </cacheField>
    <cacheField name="Zoraptera" numFmtId="0">
      <sharedItems containsString="0" containsBlank="1" containsNumber="1" containsInteger="1" minValue="0" maxValue="2"/>
    </cacheField>
    <cacheField name="Araneae.Araneidae" numFmtId="0">
      <sharedItems containsString="0" containsBlank="1" containsNumber="1" containsInteger="1" minValue="0" maxValue="1"/>
    </cacheField>
    <cacheField name="Araneae.Anyphaenidae" numFmtId="0">
      <sharedItems containsString="0" containsBlank="1" containsNumber="1" containsInteger="1" minValue="0" maxValue="2"/>
    </cacheField>
    <cacheField name="Araneae.Clubionidae" numFmtId="0">
      <sharedItems containsString="0" containsBlank="1" containsNumber="1" containsInteger="1" minValue="0" maxValue="1"/>
    </cacheField>
    <cacheField name="Araneae.Dictynidae" numFmtId="0">
      <sharedItems containsString="0" containsBlank="1" containsNumber="1" containsInteger="1" minValue="0" maxValue="1"/>
    </cacheField>
    <cacheField name="Araneae.Liocranidae" numFmtId="0">
      <sharedItems containsString="0" containsBlank="1" containsNumber="1" containsInteger="1" minValue="0" maxValue="1"/>
    </cacheField>
    <cacheField name="Araneae.Lycosidae" numFmtId="0">
      <sharedItems containsString="0" containsBlank="1" containsNumber="1" containsInteger="1" minValue="0" maxValue="2"/>
    </cacheField>
    <cacheField name="Araneae.Pisauridae" numFmtId="0">
      <sharedItems containsString="0" containsBlank="1" containsNumber="1" containsInteger="1" minValue="0" maxValue="1"/>
    </cacheField>
    <cacheField name="Araneae.Salticidae" numFmtId="0">
      <sharedItems containsString="0" containsBlank="1" containsNumber="1" containsInteger="1" minValue="0" maxValue="1"/>
    </cacheField>
    <cacheField name="Araneae.Tetragnathidae" numFmtId="0">
      <sharedItems containsString="0" containsBlank="1" containsNumber="1" containsInteger="1" minValue="0" maxValue="2"/>
    </cacheField>
    <cacheField name="Araneae.Thomisidae" numFmtId="0">
      <sharedItems containsString="0" containsBlank="1" containsNumber="1" containsInteger="1" minValue="0" maxValue="2"/>
    </cacheField>
    <cacheField name="Araneae.Unknown" numFmtId="0">
      <sharedItems containsString="0" containsBlank="1" containsNumber="1" containsInteger="1" minValue="0" maxValue="1"/>
    </cacheField>
    <cacheField name="Abundance" numFmtId="0">
      <sharedItems containsString="0" containsBlank="1" containsNumber="1" containsInteger="1" minValue="0" maxValue="163"/>
    </cacheField>
    <cacheField name="Richness" numFmtId="0">
      <sharedItems containsString="0" containsBlank="1" containsNumber="1" containsInteger="1" minValue="0" maxValue="12"/>
    </cacheField>
    <cacheField name="Microfauna" numFmtId="0">
      <sharedItems containsString="0" containsBlank="1" containsNumber="1" containsInteger="1" minValue="0" maxValue="73"/>
    </cacheField>
    <cacheField name="Mesofauna" numFmtId="0">
      <sharedItems containsString="0" containsBlank="1" containsNumber="1" containsInteger="1" minValue="0" maxValue="90"/>
    </cacheField>
    <cacheField name="Macrofauna" numFmtId="0">
      <sharedItems containsString="0" containsBlank="1" containsNumber="1" containsInteger="1" minValue="0" maxValue="162"/>
    </cacheField>
    <cacheField name="Body.Richness" numFmtId="0">
      <sharedItems containsString="0" containsBlank="1" containsNumber="1" containsInteger="1" minValue="0" maxValue="3"/>
    </cacheField>
    <cacheField name="Detritivores" numFmtId="0">
      <sharedItems containsString="0" containsBlank="1" containsNumber="1" containsInteger="1" minValue="0" maxValue="89"/>
    </cacheField>
    <cacheField name="Bioturbators" numFmtId="0">
      <sharedItems containsString="0" containsBlank="1" containsNumber="1" containsInteger="1" minValue="0" maxValue="11"/>
    </cacheField>
    <cacheField name="Herbivore" numFmtId="0">
      <sharedItems containsString="0" containsBlank="1" containsNumber="1" containsInteger="1" minValue="0" maxValue="1"/>
    </cacheField>
    <cacheField name="Predators" numFmtId="0">
      <sharedItems containsString="0" containsBlank="1" containsNumber="1" containsInteger="1" minValue="0" maxValue="5"/>
    </cacheField>
    <cacheField name="Functional.Richness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lee Rush" refreshedDate="46084.909291898148" createdVersion="8" refreshedVersion="8" minRefreshableVersion="3" recordCount="596" xr:uid="{3EDA6E7E-B436-43B3-9B55-0B1D0C4087AB}">
  <cacheSource type="worksheet">
    <worksheetSource ref="A1:CQ597" sheet="all!!"/>
  </cacheSource>
  <cacheFields count="95">
    <cacheField name="Bag#" numFmtId="0">
      <sharedItems containsMixedTypes="1" containsNumber="1" containsInteger="1" minValue="2" maxValue="720"/>
    </cacheField>
    <cacheField name="Park" numFmtId="0">
      <sharedItems/>
    </cacheField>
    <cacheField name="Habitat" numFmtId="0">
      <sharedItems count="2">
        <s v="Upland"/>
        <s v="Lowland"/>
      </sharedItems>
    </cacheField>
    <cacheField name="Species" numFmtId="0">
      <sharedItems count="2">
        <s v="Pin"/>
        <s v="Red"/>
      </sharedItems>
    </cacheField>
    <cacheField name="Rep" numFmtId="0">
      <sharedItems containsBlank="1" containsMixedTypes="1" containsNumber="1" containsInteger="1" minValue="1" maxValue="5"/>
    </cacheField>
    <cacheField name="Mesh" numFmtId="0">
      <sharedItems count="3">
        <s v="C"/>
        <s v="F"/>
        <s v="Initial"/>
      </sharedItems>
    </cacheField>
    <cacheField name="InitialDry(g)" numFmtId="0">
      <sharedItems containsMixedTypes="1" containsNumber="1" minValue="6.06" maxValue="7.5099999999999989"/>
    </cacheField>
    <cacheField name="Month" numFmtId="0">
      <sharedItems containsSemiMixedTypes="0" containsString="0" containsNumber="1" containsInteger="1" minValue="0" maxValue="18" count="6">
        <n v="1"/>
        <n v="2"/>
        <n v="6"/>
        <n v="12"/>
        <n v="18"/>
        <n v="0"/>
      </sharedItems>
    </cacheField>
    <cacheField name="Wet(g)" numFmtId="0">
      <sharedItems containsMixedTypes="1" containsNumber="1" minValue="0.79100000000000004" maxValue="83847"/>
    </cacheField>
    <cacheField name="FinalDry(g)" numFmtId="0">
      <sharedItems containsMixedTypes="1" containsNumber="1" minValue="0.60399999999999998" maxValue="6.5389999999999997"/>
    </cacheField>
    <cacheField name="MoisturePerc" numFmtId="0">
      <sharedItems containsMixedTypes="1" containsNumber="1" minValue="9.7187552005325433" maxValue="99.993526423127847"/>
    </cacheField>
    <cacheField name="PercMassLoss" numFmtId="0">
      <sharedItems containsMixedTypes="1" containsNumber="1" minValue="1.306930693069295" maxValue="91.383737517831662"/>
    </cacheField>
    <cacheField name="k" numFmtId="0">
      <sharedItems containsMixedTypes="1" containsNumber="1" minValue="1.3155461802116337E-2" maxValue="5.3418905399899854"/>
    </cacheField>
    <cacheField name="PercCarb" numFmtId="0">
      <sharedItems containsSemiMixedTypes="0" containsString="0" containsNumber="1" minValue="27.36" maxValue="49.9"/>
    </cacheField>
    <cacheField name="PercNit" numFmtId="0">
      <sharedItems containsSemiMixedTypes="0" containsString="0" containsNumber="1" minValue="0.54900000000000004" maxValue="3.5539999999999998"/>
    </cacheField>
    <cacheField name="PercProtein" numFmtId="0">
      <sharedItems containsSemiMixedTypes="0" containsString="0" containsNumber="1" minValue="3.4289999999999998" maxValue="22.213999999999999"/>
    </cacheField>
    <cacheField name="PB" numFmtId="0">
      <sharedItems containsSemiMixedTypes="0" containsString="0" containsNumber="1" minValue="0.128" maxValue="3.843"/>
    </cacheField>
    <cacheField name="AB" numFmtId="0">
      <sharedItems containsSemiMixedTypes="0" containsString="0" containsNumber="1" minValue="1.8700000000000001E-3" maxValue="3.0379999999999998"/>
    </cacheField>
    <cacheField name="Oribatid.HardBodied_RobustRound" numFmtId="0">
      <sharedItems containsString="0" containsBlank="1" containsNumber="1" containsInteger="1" minValue="0" maxValue="19"/>
    </cacheField>
    <cacheField name="Oribatid.HardBodied_Flat" numFmtId="0">
      <sharedItems containsString="0" containsBlank="1" containsNumber="1" containsInteger="1" minValue="0" maxValue="6"/>
    </cacheField>
    <cacheField name="Oribatid.HardBodied_BigRostrum" numFmtId="0">
      <sharedItems containsString="0" containsBlank="1" containsNumber="1" containsInteger="1" minValue="0" maxValue="1"/>
    </cacheField>
    <cacheField name="Oribatid.Winged" numFmtId="0">
      <sharedItems containsString="0" containsBlank="1" containsNumber="1" containsInteger="1" minValue="0" maxValue="7"/>
    </cacheField>
    <cacheField name="Oribatid.CloseGenitals_RidgedBack" numFmtId="0">
      <sharedItems containsString="0" containsBlank="1" containsNumber="1" containsInteger="1" minValue="0" maxValue="26"/>
    </cacheField>
    <cacheField name="Oribatid.CloseGenitals_Hard" numFmtId="0">
      <sharedItems containsString="0" containsBlank="1" containsNumber="1" containsInteger="1" minValue="0" maxValue="4"/>
    </cacheField>
    <cacheField name="Oribatid.CloseGenitals_Hard.Robust.Rostrum" numFmtId="0">
      <sharedItems containsString="0" containsBlank="1" containsNumber="1" containsInteger="1" minValue="0" maxValue="1"/>
    </cacheField>
    <cacheField name="Oribatid.CloseGenitals_Beaded.Hairy" numFmtId="0">
      <sharedItems containsString="0" containsBlank="1" containsNumber="1" containsInteger="1" minValue="0" maxValue="1"/>
    </cacheField>
    <cacheField name="Oribatid.Box" numFmtId="0">
      <sharedItems containsString="0" containsBlank="1" containsNumber="1" containsInteger="1" minValue="0" maxValue="7"/>
    </cacheField>
    <cacheField name="Oribatid.Juvenile_Small.White" numFmtId="0">
      <sharedItems containsString="0" containsBlank="1" containsNumber="1" containsInteger="1" minValue="0" maxValue="31"/>
    </cacheField>
    <cacheField name="Oribatid.Juvenile_Spiney" numFmtId="0">
      <sharedItems containsString="0" containsBlank="1" containsNumber="1" containsInteger="1" minValue="0" maxValue="1"/>
    </cacheField>
    <cacheField name="Mesostigmatid" numFmtId="0">
      <sharedItems containsString="0" containsBlank="1" containsNumber="1" containsInteger="1" minValue="0" maxValue="3"/>
    </cacheField>
    <cacheField name="Prostigmatid" numFmtId="0">
      <sharedItems containsString="0" containsBlank="1" containsNumber="1" containsInteger="1" minValue="0" maxValue="2"/>
    </cacheField>
    <cacheField name="Peculiar.Predator" numFmtId="0">
      <sharedItems containsString="0" containsBlank="1" containsNumber="1" containsInteger="1" minValue="0" maxValue="1"/>
    </cacheField>
    <cacheField name="Nematode" numFmtId="0">
      <sharedItems containsString="0" containsBlank="1" containsNumber="1" containsInteger="1" minValue="0" maxValue="53"/>
    </cacheField>
    <cacheField name="Diptera.Cecidomyiidae" numFmtId="0">
      <sharedItems containsString="0" containsBlank="1" containsNumber="1" containsInteger="1" minValue="0" maxValue="22"/>
    </cacheField>
    <cacheField name="Diptera.Tipulidae" numFmtId="0">
      <sharedItems containsString="0" containsBlank="1" containsNumber="1" containsInteger="1" minValue="0" maxValue="1"/>
    </cacheField>
    <cacheField name="Diptera.Chironomid" numFmtId="0">
      <sharedItems containsString="0" containsBlank="1" containsNumber="1" containsInteger="1" minValue="0" maxValue="13"/>
    </cacheField>
    <cacheField name="Collembola.Tomoceridae" numFmtId="0">
      <sharedItems containsString="0" containsBlank="1" containsNumber="1" containsInteger="1" minValue="0" maxValue="9"/>
    </cacheField>
    <cacheField name="Collembola.Hypogasturidae" numFmtId="0">
      <sharedItems containsString="0" containsBlank="1" containsNumber="1" containsInteger="1" minValue="0" maxValue="4"/>
    </cacheField>
    <cacheField name="Collembola.Isotomidae" numFmtId="0">
      <sharedItems containsString="0" containsBlank="1" containsNumber="1" containsInteger="1" minValue="0" maxValue="1"/>
    </cacheField>
    <cacheField name="Collembola.Entomobryidae" numFmtId="0">
      <sharedItems containsString="0" containsBlank="1" containsNumber="1" containsInteger="1" minValue="0" maxValue="1"/>
    </cacheField>
    <cacheField name="Collembola.Dicyrtomidae" numFmtId="0">
      <sharedItems containsString="0" containsBlank="1" containsNumber="1" containsInteger="1" minValue="0" maxValue="1"/>
    </cacheField>
    <cacheField name="Collembola.Unknown" numFmtId="0">
      <sharedItems containsString="0" containsBlank="1" containsNumber="1" containsInteger="1" minValue="0" maxValue="15"/>
    </cacheField>
    <cacheField name="Snail.Round" numFmtId="0">
      <sharedItems containsString="0" containsBlank="1" containsNumber="1" containsInteger="1" minValue="0" maxValue="11"/>
    </cacheField>
    <cacheField name="Snail.Spire" numFmtId="0">
      <sharedItems containsString="0" containsBlank="1" containsNumber="1" containsInteger="1" minValue="0" maxValue="3"/>
    </cacheField>
    <cacheField name="Tardigrade" numFmtId="0">
      <sharedItems containsString="0" containsBlank="1" containsNumber="1" containsInteger="1" minValue="0" maxValue="73"/>
    </cacheField>
    <cacheField name="Isopoda.Porcellio.laevis" numFmtId="0">
      <sharedItems containsString="0" containsBlank="1" containsNumber="1" containsInteger="1" minValue="0" maxValue="1"/>
    </cacheField>
    <cacheField name="Isopoda.Trichoniscus.pusillus" numFmtId="0">
      <sharedItems containsString="0" containsBlank="1" containsNumber="1" containsInteger="1" minValue="0" maxValue="1"/>
    </cacheField>
    <cacheField name="Isopoda.Ligidium.elrodii" numFmtId="0">
      <sharedItems containsString="0" containsBlank="1" containsNumber="1" containsInteger="1" minValue="0" maxValue="1"/>
    </cacheField>
    <cacheField name="Isopoda.Unknown" numFmtId="0">
      <sharedItems containsString="0" containsBlank="1" containsNumber="1" containsInteger="1" minValue="0" maxValue="5"/>
    </cacheField>
    <cacheField name="MicroHymenoptera" numFmtId="0">
      <sharedItems containsString="0" containsBlank="1" containsNumber="1" containsInteger="1" minValue="0" maxValue="1"/>
    </cacheField>
    <cacheField name="Formicidae.Myrmicinae" numFmtId="0">
      <sharedItems containsString="0" containsBlank="1" containsNumber="1" containsInteger="1" minValue="0" maxValue="11"/>
    </cacheField>
    <cacheField name="Formicidae.Dolichoderinae" numFmtId="0">
      <sharedItems containsString="0" containsBlank="1" containsNumber="1" containsInteger="1" minValue="0" maxValue="161"/>
    </cacheField>
    <cacheField name="Diplopoda.Polydesmidae" numFmtId="0">
      <sharedItems containsString="0" containsBlank="1" containsNumber="1" containsInteger="1" minValue="0" maxValue="1"/>
    </cacheField>
    <cacheField name="Diplopoda.Julidae" numFmtId="0">
      <sharedItems containsString="0" containsBlank="1" containsNumber="1" containsInteger="1" minValue="0" maxValue="3"/>
    </cacheField>
    <cacheField name="Diplopoda.Unknown" numFmtId="0">
      <sharedItems containsString="0" containsBlank="1" containsNumber="1" containsInteger="1" minValue="0" maxValue="2"/>
    </cacheField>
    <cacheField name="Coleoptera.Staphylinidae" numFmtId="0">
      <sharedItems containsString="0" containsBlank="1" containsNumber="1" containsInteger="1" minValue="0" maxValue="1"/>
    </cacheField>
    <cacheField name="Coleoptera.Carabidae" numFmtId="0">
      <sharedItems containsString="0" containsBlank="1" containsNumber="1" containsInteger="1" minValue="0" maxValue="1"/>
    </cacheField>
    <cacheField name="Coleoptera.Unknown" numFmtId="0">
      <sharedItems containsString="0" containsBlank="1" containsNumber="1" containsInteger="1" minValue="0" maxValue="1"/>
    </cacheField>
    <cacheField name="Coleoptera.Elateridae" numFmtId="0">
      <sharedItems containsString="0" containsBlank="1" containsNumber="1" containsInteger="1" minValue="0" maxValue="1"/>
    </cacheField>
    <cacheField name="Coleoptera.Circulionidae" numFmtId="0">
      <sharedItems containsString="0" containsBlank="1" containsNumber="1" containsInteger="1" minValue="0" maxValue="2"/>
    </cacheField>
    <cacheField name="Coleoptera.Circulionidae.Larvae" numFmtId="0">
      <sharedItems containsString="0" containsBlank="1" containsNumber="1" containsInteger="1" minValue="0" maxValue="1"/>
    </cacheField>
    <cacheField name="Coleoptera.Staphylinidae.larvae" numFmtId="0">
      <sharedItems containsString="0" containsBlank="1" containsNumber="1" containsInteger="1" minValue="0" maxValue="1"/>
    </cacheField>
    <cacheField name="Lepidoptera.Larvae" numFmtId="0">
      <sharedItems containsString="0" containsBlank="1" containsNumber="1" containsInteger="1" minValue="0" maxValue="1"/>
    </cacheField>
    <cacheField name="Psocoptera" numFmtId="0">
      <sharedItems containsString="0" containsBlank="1" containsNumber="1" containsInteger="1" minValue="0" maxValue="1"/>
    </cacheField>
    <cacheField name="Amphipod" numFmtId="0">
      <sharedItems containsString="0" containsBlank="1" containsNumber="1" containsInteger="1" minValue="0" maxValue="0"/>
    </cacheField>
    <cacheField name="Plecoptera" numFmtId="0">
      <sharedItems containsString="0" containsBlank="1" containsNumber="1" containsInteger="1" minValue="0" maxValue="0"/>
    </cacheField>
    <cacheField name="Hemiptera_Nymph" numFmtId="0">
      <sharedItems containsString="0" containsBlank="1" containsNumber="1" containsInteger="1" minValue="0" maxValue="1"/>
    </cacheField>
    <cacheField name="Myriapoda.Hencopidae" numFmtId="0">
      <sharedItems containsString="0" containsBlank="1" containsNumber="1" containsInteger="1" minValue="0" maxValue="1"/>
    </cacheField>
    <cacheField name="Myriapoda.Lithobiidae" numFmtId="0">
      <sharedItems containsString="0" containsBlank="1" containsNumber="1" containsInteger="1" minValue="0" maxValue="1"/>
    </cacheField>
    <cacheField name="Myriapoda.Geophilidae" numFmtId="0">
      <sharedItems containsString="0" containsBlank="1" containsNumber="1" containsInteger="1" minValue="0" maxValue="1"/>
    </cacheField>
    <cacheField name="Thysanoptera" numFmtId="0">
      <sharedItems containsString="0" containsBlank="1" containsNumber="1" containsInteger="1" minValue="0" maxValue="1"/>
    </cacheField>
    <cacheField name="Pseudoscorpion" numFmtId="0">
      <sharedItems containsString="0" containsBlank="1" containsNumber="1" containsInteger="1" minValue="0" maxValue="3"/>
    </cacheField>
    <cacheField name="Zoraptera" numFmtId="0">
      <sharedItems containsString="0" containsBlank="1" containsNumber="1" containsInteger="1" minValue="0" maxValue="2"/>
    </cacheField>
    <cacheField name="Araneae.Araneidae" numFmtId="0">
      <sharedItems containsString="0" containsBlank="1" containsNumber="1" containsInteger="1" minValue="0" maxValue="1"/>
    </cacheField>
    <cacheField name="Araneae.Anyphaenidae" numFmtId="0">
      <sharedItems containsString="0" containsBlank="1" containsNumber="1" containsInteger="1" minValue="0" maxValue="2"/>
    </cacheField>
    <cacheField name="Araneae.Clubionidae" numFmtId="0">
      <sharedItems containsString="0" containsBlank="1" containsNumber="1" containsInteger="1" minValue="0" maxValue="1"/>
    </cacheField>
    <cacheField name="Araneae.Dictynidae" numFmtId="0">
      <sharedItems containsString="0" containsBlank="1" containsNumber="1" containsInteger="1" minValue="0" maxValue="1"/>
    </cacheField>
    <cacheField name="Araneae.Liocranidae" numFmtId="0">
      <sharedItems containsString="0" containsBlank="1" containsNumber="1" containsInteger="1" minValue="0" maxValue="1"/>
    </cacheField>
    <cacheField name="Araneae.Lycosidae" numFmtId="0">
      <sharedItems containsString="0" containsBlank="1" containsNumber="1" containsInteger="1" minValue="0" maxValue="2"/>
    </cacheField>
    <cacheField name="Araneae.Pisauridae" numFmtId="0">
      <sharedItems containsString="0" containsBlank="1" containsNumber="1" containsInteger="1" minValue="0" maxValue="1"/>
    </cacheField>
    <cacheField name="Araneae.Salticidae" numFmtId="0">
      <sharedItems containsString="0" containsBlank="1" containsNumber="1" containsInteger="1" minValue="0" maxValue="1"/>
    </cacheField>
    <cacheField name="Araneae.Tetragnathidae" numFmtId="0">
      <sharedItems containsString="0" containsBlank="1" containsNumber="1" containsInteger="1" minValue="0" maxValue="2"/>
    </cacheField>
    <cacheField name="Araneae.Thomisidae" numFmtId="0">
      <sharedItems containsString="0" containsBlank="1" containsNumber="1" containsInteger="1" minValue="0" maxValue="2"/>
    </cacheField>
    <cacheField name="Araneae.Unknown" numFmtId="0">
      <sharedItems containsString="0" containsBlank="1" containsNumber="1" containsInteger="1" minValue="0" maxValue="1"/>
    </cacheField>
    <cacheField name="Abundance" numFmtId="0">
      <sharedItems containsString="0" containsBlank="1" containsNumber="1" containsInteger="1" minValue="0" maxValue="163"/>
    </cacheField>
    <cacheField name="Richness" numFmtId="0">
      <sharedItems containsString="0" containsBlank="1" containsNumber="1" containsInteger="1" minValue="0" maxValue="12"/>
    </cacheField>
    <cacheField name="Microfauna" numFmtId="0">
      <sharedItems containsString="0" containsBlank="1" containsNumber="1" containsInteger="1" minValue="0" maxValue="73"/>
    </cacheField>
    <cacheField name="Mesofauna" numFmtId="0">
      <sharedItems containsString="0" containsBlank="1" containsNumber="1" containsInteger="1" minValue="0" maxValue="90"/>
    </cacheField>
    <cacheField name="Macrofauna" numFmtId="0">
      <sharedItems containsString="0" containsBlank="1" containsNumber="1" containsInteger="1" minValue="0" maxValue="162"/>
    </cacheField>
    <cacheField name="Body.Richness" numFmtId="0">
      <sharedItems containsString="0" containsBlank="1" containsNumber="1" containsInteger="1" minValue="0" maxValue="3"/>
    </cacheField>
    <cacheField name="Detritivores" numFmtId="0">
      <sharedItems containsString="0" containsBlank="1" containsNumber="1" containsInteger="1" minValue="0" maxValue="89"/>
    </cacheField>
    <cacheField name="Bioturbators" numFmtId="0">
      <sharedItems containsString="0" containsBlank="1" containsNumber="1" containsInteger="1" minValue="0" maxValue="11"/>
    </cacheField>
    <cacheField name="Herbivore" numFmtId="0">
      <sharedItems containsString="0" containsBlank="1" containsNumber="1" containsInteger="1" minValue="0" maxValue="1"/>
    </cacheField>
    <cacheField name="Predators" numFmtId="0">
      <sharedItems containsString="0" containsBlank="1" containsNumber="1" containsInteger="1" minValue="0" maxValue="5"/>
    </cacheField>
    <cacheField name="Functional.Richness" numFmtId="0">
      <sharedItems containsString="0" containsBlank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n v="2"/>
    <x v="0"/>
    <x v="0"/>
    <x v="0"/>
    <x v="0"/>
    <x v="0"/>
    <n v="6.99"/>
    <x v="0"/>
    <n v="22.623000000000001"/>
    <n v="5.9889999999999999"/>
    <n v="73.526941608097957"/>
    <n v="14.320457796852651"/>
    <n v="0.15455610296339356"/>
    <n v="48.46"/>
    <n v="0.90400000000000003"/>
    <n v="5.6509999999999998"/>
    <n v="3.55"/>
    <n v="1.77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x v="0"/>
    <x v="1"/>
    <x v="0"/>
    <x v="1"/>
    <x v="0"/>
    <n v="7.02"/>
    <x v="0"/>
    <n v="21.009"/>
    <n v="6.1109999999999998"/>
    <n v="70.91246608596316"/>
    <n v="12.948717948717947"/>
    <n v="0.13867279212494127"/>
    <n v="48.08"/>
    <n v="0.92100000000000004"/>
    <n v="5.7569999999999997"/>
    <n v="2.6619999999999999"/>
    <n v="1.607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0"/>
    <n v="7"/>
    <n v="0"/>
    <n v="1"/>
    <n v="7"/>
    <n v="0"/>
    <n v="0"/>
    <n v="0"/>
    <n v="1"/>
  </r>
  <r>
    <n v="10"/>
    <x v="0"/>
    <x v="1"/>
    <x v="0"/>
    <x v="0"/>
    <x v="0"/>
    <n v="6.95"/>
    <x v="0"/>
    <n v="22.902999999999999"/>
    <n v="6.1740000000000004"/>
    <n v="73.042832816661573"/>
    <n v="11.165467625899279"/>
    <n v="0.11839473349673311"/>
    <n v="48.4"/>
    <n v="0.94099999999999995"/>
    <n v="5.8819999999999997"/>
    <n v="2.3039999999999998"/>
    <n v="1.787000000000000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</r>
  <r>
    <n v="17"/>
    <x v="0"/>
    <x v="1"/>
    <x v="0"/>
    <x v="2"/>
    <x v="0"/>
    <n v="7.02"/>
    <x v="0"/>
    <n v="22.751000000000001"/>
    <n v="6.1760000000000002"/>
    <n v="72.853940486132487"/>
    <n v="12.022792022792016"/>
    <n v="0.12809240531524463"/>
    <n v="47.83"/>
    <n v="0.88900000000000001"/>
    <n v="5.556"/>
    <n v="1.585"/>
    <n v="1.7528888888888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x v="0"/>
    <x v="0"/>
    <x v="0"/>
    <x v="2"/>
    <x v="0"/>
    <n v="7.08"/>
    <x v="0"/>
    <n v="23.952000000000002"/>
    <n v="6.2489999999999997"/>
    <n v="73.910320641282567"/>
    <n v="11.737288135593225"/>
    <n v="0.12485245675868384"/>
    <n v="48.01"/>
    <n v="0.83899999999999997"/>
    <n v="5.242"/>
    <n v="2.6989999999999998"/>
    <n v="2.14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x v="0"/>
    <x v="1"/>
    <x v="0"/>
    <x v="3"/>
    <x v="0"/>
    <n v="6.9799999999999995"/>
    <x v="0"/>
    <n v="23.552"/>
    <n v="6.109"/>
    <n v="74.061650815217376"/>
    <n v="12.47851002865329"/>
    <n v="0.13328582310665113"/>
    <n v="48.69"/>
    <n v="1.02"/>
    <n v="6.375"/>
    <n v="2.4129999999999998"/>
    <n v="1.73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x v="0"/>
    <x v="0"/>
    <x v="0"/>
    <x v="1"/>
    <x v="0"/>
    <n v="7"/>
    <x v="0"/>
    <n v="20.486999999999998"/>
    <n v="5.7670000000000003"/>
    <n v="71.850441743544692"/>
    <n v="17.61428571428571"/>
    <n v="0.19375813442203763"/>
    <n v="48.08"/>
    <n v="0.92200000000000004"/>
    <n v="5.7619999999999996"/>
    <n v="3.036"/>
    <n v="2.29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"/>
    <x v="0"/>
    <x v="0"/>
    <x v="0"/>
    <x v="3"/>
    <x v="0"/>
    <n v="7.03"/>
    <x v="0"/>
    <n v="21.471"/>
    <n v="6.0810000000000004"/>
    <n v="71.678077406734658"/>
    <n v="13.499288762446653"/>
    <n v="0.1450175496846009"/>
    <n v="48.01"/>
    <n v="0.88600000000000001"/>
    <n v="5.5389999999999997"/>
    <n v="2.73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"/>
    <x v="0"/>
    <x v="1"/>
    <x v="0"/>
    <x v="4"/>
    <x v="0"/>
    <n v="7.0600000000000005"/>
    <x v="0"/>
    <n v="25.106999999999999"/>
    <n v="5.8559999999999999"/>
    <n v="76.675827458477713"/>
    <n v="17.053824362606239"/>
    <n v="0.18697827484614038"/>
    <n v="48.09"/>
    <n v="0.90700000000000003"/>
    <n v="5.67"/>
    <n v="1.93"/>
    <n v="1.48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"/>
    <x v="0"/>
    <x v="0"/>
    <x v="0"/>
    <x v="4"/>
    <x v="0"/>
    <n v="7"/>
    <x v="0"/>
    <n v="23.167000000000002"/>
    <n v="6.07"/>
    <n v="73.798938144774894"/>
    <n v="13.285714285714281"/>
    <n v="0.14255154398390632"/>
    <n v="48.48"/>
    <n v="0.877"/>
    <n v="5.4809999999999999"/>
    <n v="2.8340000000000001"/>
    <n v="2.406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5"/>
    <x v="0"/>
    <x v="1"/>
    <x v="1"/>
    <x v="0"/>
    <x v="0"/>
    <n v="7.01"/>
    <x v="0"/>
    <n v="25.106999999999999"/>
    <n v="5.9390000000000001"/>
    <n v="76.345242362687699"/>
    <n v="15.278174037089867"/>
    <n v="0.16579693201277548"/>
    <n v="47.26"/>
    <n v="0.73199999999999998"/>
    <n v="4.577"/>
    <n v="1.25"/>
    <n v="1.536"/>
    <n v="0"/>
    <n v="0"/>
    <n v="0"/>
    <n v="0"/>
    <n v="0"/>
    <n v="0"/>
    <n v="0"/>
    <n v="0"/>
    <n v="0"/>
    <n v="4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0"/>
    <n v="6"/>
    <n v="0"/>
    <n v="1"/>
    <n v="6"/>
    <n v="0"/>
    <n v="0"/>
    <n v="0"/>
    <n v="1"/>
  </r>
  <r>
    <n v="127"/>
    <x v="0"/>
    <x v="1"/>
    <x v="1"/>
    <x v="2"/>
    <x v="0"/>
    <n v="7.03"/>
    <x v="0"/>
    <n v="17.065999999999999"/>
    <n v="6.2430000000000003"/>
    <n v="63.418492909879291"/>
    <n v="11.194879089615931"/>
    <n v="0.11872586974296642"/>
    <n v="47.83"/>
    <n v="0.54900000000000004"/>
    <n v="3.4289999999999998"/>
    <n v="1.869"/>
    <n v="1.3952222222222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2"/>
    <n v="0"/>
    <n v="1"/>
    <n v="1"/>
    <n v="2"/>
    <n v="1"/>
    <n v="0"/>
    <n v="0"/>
    <n v="1"/>
    <n v="1"/>
  </r>
  <r>
    <n v="132"/>
    <x v="0"/>
    <x v="0"/>
    <x v="1"/>
    <x v="1"/>
    <x v="0"/>
    <n v="7.05"/>
    <x v="0"/>
    <n v="25.042999999999999"/>
    <n v="6.1660000000000004"/>
    <n v="75.378349239308378"/>
    <n v="12.539007092198574"/>
    <n v="0.13397728736021858"/>
    <n v="48.54"/>
    <n v="0.69299999999999995"/>
    <n v="4.3310000000000004"/>
    <n v="0.86"/>
    <n v="0.806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8"/>
    <x v="0"/>
    <x v="1"/>
    <x v="1"/>
    <x v="1"/>
    <x v="0"/>
    <n v="6.99"/>
    <x v="0"/>
    <n v="22.42"/>
    <n v="6.1420000000000003"/>
    <n v="72.604817127564687"/>
    <n v="12.131616595135906"/>
    <n v="0.12933013422708825"/>
    <n v="48.17"/>
    <n v="0.71699999999999997"/>
    <n v="4.4800000000000004"/>
    <n v="1.4650000000000001"/>
    <n v="1.5370000000000001"/>
    <n v="0"/>
    <n v="0"/>
    <n v="0"/>
    <n v="0"/>
    <n v="0"/>
    <n v="0"/>
    <n v="0"/>
    <n v="0"/>
    <n v="0"/>
    <n v="0"/>
    <n v="0"/>
    <n v="0"/>
    <n v="0"/>
    <n v="0"/>
    <n v="4"/>
    <n v="1"/>
    <n v="0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4"/>
    <n v="0"/>
    <n v="15"/>
    <n v="1"/>
    <n v="2"/>
    <n v="16"/>
    <n v="0"/>
    <n v="0"/>
    <n v="0"/>
    <n v="1"/>
  </r>
  <r>
    <n v="151"/>
    <x v="0"/>
    <x v="0"/>
    <x v="1"/>
    <x v="2"/>
    <x v="0"/>
    <n v="6.98"/>
    <x v="0"/>
    <n v="22.975000000000001"/>
    <n v="6.1710000000000003"/>
    <n v="73.140369967355824"/>
    <n v="11.590257879656161"/>
    <n v="0.12318801743535132"/>
    <n v="48.21"/>
    <n v="0.67100000000000004"/>
    <n v="4.1950000000000003"/>
    <n v="1.6859999999999999"/>
    <n v="0.971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156"/>
    <x v="0"/>
    <x v="0"/>
    <x v="1"/>
    <x v="4"/>
    <x v="0"/>
    <n v="6.99"/>
    <x v="0"/>
    <n v="22.917000000000002"/>
    <n v="5.9790000000000001"/>
    <n v="73.910197669852082"/>
    <n v="14.463519313304724"/>
    <n v="0.15622722634695149"/>
    <n v="47.6"/>
    <n v="0.83"/>
    <n v="5.1849999999999996"/>
    <n v="1.0229999999999999"/>
    <n v="1.213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4"/>
    <x v="0"/>
    <x v="0"/>
    <x v="1"/>
    <x v="3"/>
    <x v="0"/>
    <n v="7.09"/>
    <x v="0"/>
    <n v="20.623999999999999"/>
    <n v="6.2439999999999998"/>
    <n v="69.724592707525218"/>
    <n v="11.932299012693937"/>
    <n v="0.1270643378908505"/>
    <n v="47.87"/>
    <n v="0.80900000000000005"/>
    <n v="5.0570000000000004"/>
    <n v="1.0269999999999999"/>
    <n v="1.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1"/>
    <n v="0"/>
    <n v="0"/>
    <n v="0"/>
    <n v="1"/>
    <n v="0"/>
  </r>
  <r>
    <n v="165"/>
    <x v="0"/>
    <x v="0"/>
    <x v="1"/>
    <x v="0"/>
    <x v="0"/>
    <n v="6.97"/>
    <x v="0"/>
    <n v="19.972999999999999"/>
    <n v="5.9189999999999996"/>
    <n v="70.364992740199256"/>
    <n v="15.078909612625541"/>
    <n v="0.16344770906384462"/>
    <n v="47.91"/>
    <n v="0.73199999999999998"/>
    <n v="4.5780000000000003"/>
    <n v="0.85799999999999998"/>
    <n v="1.106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0"/>
    <x v="0"/>
    <x v="1"/>
    <x v="1"/>
    <x v="2"/>
    <x v="0"/>
    <n v="7.05"/>
    <x v="0"/>
    <n v="22.440999999999999"/>
    <n v="6.1580000000000004"/>
    <n v="72.55915511786462"/>
    <n v="12.65248226950354"/>
    <n v="0.13527556732186857"/>
    <n v="48.2"/>
    <n v="0.72899999999999998"/>
    <n v="4.5549999999999997"/>
    <n v="2.16"/>
    <n v="2.0859999999999999"/>
    <n v="0"/>
    <n v="0"/>
    <n v="0"/>
    <n v="0"/>
    <n v="0"/>
    <n v="0"/>
    <n v="0"/>
    <n v="0"/>
    <n v="0"/>
    <n v="0"/>
    <n v="0"/>
    <n v="0"/>
    <n v="0"/>
    <n v="0"/>
    <n v="3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3"/>
    <n v="0"/>
    <n v="42"/>
    <n v="0"/>
    <n v="1"/>
    <n v="42"/>
    <n v="0"/>
    <n v="0"/>
    <n v="0"/>
    <n v="1"/>
  </r>
  <r>
    <n v="172"/>
    <x v="0"/>
    <x v="1"/>
    <x v="1"/>
    <x v="3"/>
    <x v="0"/>
    <n v="7"/>
    <x v="0"/>
    <n v="21.731000000000002"/>
    <n v="6.0979999999999999"/>
    <n v="71.938705075698323"/>
    <n v="12.885714285714286"/>
    <n v="0.1379493004892503"/>
    <n v="48.59"/>
    <n v="0.66400000000000003"/>
    <n v="4.1479999999999997"/>
    <n v="0.86799999999999999"/>
    <n v="1.224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4"/>
    <n v="1"/>
    <n v="2"/>
    <n v="5"/>
    <n v="0"/>
    <n v="0"/>
    <n v="0"/>
    <n v="1"/>
  </r>
  <r>
    <n v="251"/>
    <x v="1"/>
    <x v="0"/>
    <x v="0"/>
    <x v="4"/>
    <x v="0"/>
    <n v="6.9600000000000009"/>
    <x v="0"/>
    <n v="36.487299999999998"/>
    <n v="5.8516000000000004"/>
    <n v="83.962639055232913"/>
    <n v="15.925287356321844"/>
    <n v="0.17346434622453441"/>
    <n v="47.89"/>
    <n v="1.1859999999999999"/>
    <n v="7.4119999999999999"/>
    <n v="1.274"/>
    <n v="1.173999999999999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2"/>
    <n v="0"/>
    <n v="0"/>
    <n v="1"/>
    <n v="1"/>
  </r>
  <r>
    <n v="263"/>
    <x v="1"/>
    <x v="0"/>
    <x v="0"/>
    <x v="1"/>
    <x v="0"/>
    <n v="7.07"/>
    <x v="0"/>
    <n v="36.5548"/>
    <n v="6.1051000000000002"/>
    <n v="83.298773348506899"/>
    <n v="13.647807637906647"/>
    <n v="0.1467359924635844"/>
    <n v="48.39"/>
    <n v="1.32"/>
    <n v="8.2509999999999994"/>
    <n v="2.14"/>
    <n v="1.9729999999999999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0"/>
    <n v="3"/>
    <n v="3"/>
    <n v="2"/>
    <n v="5"/>
    <n v="0"/>
    <n v="0"/>
    <n v="1"/>
    <n v="1"/>
  </r>
  <r>
    <n v="264"/>
    <x v="1"/>
    <x v="0"/>
    <x v="0"/>
    <x v="0"/>
    <x v="0"/>
    <n v="6.9499999999999993"/>
    <x v="0"/>
    <n v="33.957999999999998"/>
    <n v="5.8372000000000002"/>
    <n v="82.810530655515635"/>
    <n v="16.011510791366895"/>
    <n v="0.17449042976524706"/>
    <n v="48.52"/>
    <n v="1.0449999999999999"/>
    <n v="6.5289999999999999"/>
    <n v="1.333"/>
    <n v="1.16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6"/>
    <n v="0"/>
    <n v="1"/>
    <n v="6"/>
    <n v="0"/>
    <n v="0"/>
    <n v="0"/>
    <n v="1"/>
  </r>
  <r>
    <n v="267"/>
    <x v="1"/>
    <x v="1"/>
    <x v="0"/>
    <x v="0"/>
    <x v="0"/>
    <n v="7.08"/>
    <x v="0"/>
    <n v="35.299799999999998"/>
    <n v="6.056"/>
    <n v="82.844095433968462"/>
    <n v="14.463276836158192"/>
    <n v="0.15622439157048071"/>
    <n v="48.66"/>
    <n v="1.3120000000000001"/>
    <n v="8.1999999999999993"/>
    <n v="2.6829999999999998"/>
    <n v="2.234999999999999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71"/>
    <x v="1"/>
    <x v="1"/>
    <x v="0"/>
    <x v="4"/>
    <x v="0"/>
    <n v="6.99"/>
    <x v="0"/>
    <n v="32.6357"/>
    <n v="5.9353999999999996"/>
    <n v="81.813167788648627"/>
    <n v="15.087267525035774"/>
    <n v="0.16354613365649776"/>
    <n v="48.39"/>
    <n v="1.111"/>
    <n v="6.9420000000000002"/>
    <n v="1.3959999999999999"/>
    <n v="1.637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3"/>
    <n v="0"/>
    <n v="0"/>
    <n v="0"/>
    <n v="1"/>
  </r>
  <r>
    <n v="277"/>
    <x v="1"/>
    <x v="1"/>
    <x v="0"/>
    <x v="3"/>
    <x v="0"/>
    <n v="6.96"/>
    <x v="0"/>
    <n v="32.385199999999998"/>
    <n v="5.8314000000000004"/>
    <n v="81.993626718377527"/>
    <n v="16.215517241379303"/>
    <n v="0.17692236559098537"/>
    <n v="47.68"/>
    <n v="1.054"/>
    <n v="6.5869999999999997"/>
    <n v="1.3089999999999999"/>
    <n v="1.282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54"/>
    <n v="5"/>
    <n v="48"/>
    <n v="3"/>
    <n v="3"/>
    <n v="3"/>
    <n v="52"/>
    <n v="0"/>
    <n v="0"/>
    <n v="2"/>
    <n v="1"/>
  </r>
  <r>
    <n v="283"/>
    <x v="1"/>
    <x v="0"/>
    <x v="0"/>
    <x v="3"/>
    <x v="0"/>
    <n v="7.02"/>
    <x v="0"/>
    <n v="37.941099999999999"/>
    <n v="5.8851000000000004"/>
    <n v="84.488852458152238"/>
    <n v="16.166666666666654"/>
    <n v="0.17633948511640699"/>
    <n v="48.1"/>
    <n v="1.1639999999999999"/>
    <n v="7.2759999999999998"/>
    <n v="1.27"/>
    <n v="1.401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0"/>
    <n v="0"/>
    <n v="0"/>
    <n v="1"/>
    <n v="0"/>
  </r>
  <r>
    <n v="288"/>
    <x v="1"/>
    <x v="1"/>
    <x v="0"/>
    <x v="1"/>
    <x v="0"/>
    <n v="7"/>
    <x v="0"/>
    <n v="35.551200000000001"/>
    <n v="5.7542"/>
    <n v="83.814329755395036"/>
    <n v="17.797142857142859"/>
    <n v="0.1959801261010983"/>
    <n v="48.96"/>
    <n v="1.2589999999999999"/>
    <n v="7.8710000000000004"/>
    <n v="1.421"/>
    <n v="0.59899999999999998"/>
    <n v="0"/>
    <n v="0"/>
    <n v="0"/>
    <n v="0"/>
    <n v="1"/>
    <n v="1"/>
    <n v="0"/>
    <n v="0"/>
    <n v="0"/>
    <n v="0"/>
    <n v="0"/>
    <n v="1"/>
    <n v="0"/>
    <n v="0"/>
    <n v="0"/>
    <n v="0"/>
    <n v="0"/>
    <n v="2"/>
    <n v="3"/>
    <n v="0"/>
    <n v="0"/>
    <n v="0"/>
    <n v="0"/>
    <n v="0"/>
    <n v="2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2"/>
    <n v="8"/>
    <n v="11"/>
    <n v="7"/>
    <n v="4"/>
    <n v="3"/>
    <n v="20"/>
    <n v="0"/>
    <n v="0"/>
    <n v="2"/>
    <n v="1"/>
  </r>
  <r>
    <n v="296"/>
    <x v="1"/>
    <x v="0"/>
    <x v="0"/>
    <x v="2"/>
    <x v="0"/>
    <n v="6.8999999999999995"/>
    <x v="0"/>
    <n v="32.920999999999999"/>
    <n v="5.7897999999999996"/>
    <n v="82.413049421341995"/>
    <n v="16.08985507246377"/>
    <n v="0.17542366292924433"/>
    <n v="48.15"/>
    <n v="1.081"/>
    <n v="6.7539999999999996"/>
    <n v="1.427"/>
    <n v="1.48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4"/>
    <n v="6"/>
    <n v="2"/>
    <n v="3"/>
    <n v="12"/>
    <n v="0"/>
    <n v="0"/>
    <n v="0"/>
    <n v="1"/>
  </r>
  <r>
    <n v="297"/>
    <x v="1"/>
    <x v="0"/>
    <x v="0"/>
    <x v="2"/>
    <x v="0"/>
    <n v="6.92"/>
    <x v="0"/>
    <n v="37.179400000000001"/>
    <n v="5.8532000000000002"/>
    <n v="84.256873429910101"/>
    <n v="15.416184971098263"/>
    <n v="0.16742724939344383"/>
    <n v="48.09"/>
    <n v="1.1160000000000001"/>
    <n v="6.9740000000000002"/>
    <n v="1.401"/>
    <n v="1.27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1"/>
    <x v="1"/>
    <x v="0"/>
    <x v="1"/>
    <x v="4"/>
    <x v="0"/>
    <n v="7.08"/>
    <x v="0"/>
    <n v="30.854700000000001"/>
    <n v="6.0297999999999998"/>
    <n v="80.457434361701772"/>
    <n v="14.833333333333337"/>
    <n v="0.16056006501244191"/>
    <n v="47.37"/>
    <n v="0.71299999999999997"/>
    <n v="4.4539999999999997"/>
    <n v="1.474"/>
    <n v="1.726"/>
    <n v="0"/>
    <n v="0"/>
    <n v="0"/>
    <n v="0"/>
    <n v="1"/>
    <n v="0"/>
    <n v="0"/>
    <n v="0"/>
    <n v="0"/>
    <n v="0"/>
    <n v="0"/>
    <n v="0"/>
    <n v="0"/>
    <n v="0"/>
    <n v="0"/>
    <n v="1"/>
    <n v="0"/>
    <n v="1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5"/>
    <n v="0"/>
    <n v="17"/>
    <n v="1"/>
    <n v="2"/>
    <n v="18"/>
    <n v="0"/>
    <n v="0"/>
    <n v="0"/>
    <n v="1"/>
  </r>
  <r>
    <n v="368"/>
    <x v="1"/>
    <x v="1"/>
    <x v="1"/>
    <x v="4"/>
    <x v="0"/>
    <n v="6.94"/>
    <x v="0"/>
    <n v="24.490500000000001"/>
    <n v="5.7718999999999996"/>
    <n v="76.432085910863407"/>
    <n v="16.831412103746406"/>
    <n v="0.18430045877449375"/>
    <n v="48.9"/>
    <n v="0.68"/>
    <n v="4.2489999999999997"/>
    <n v="0.69899999999999995"/>
    <n v="1.742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3"/>
    <x v="1"/>
    <x v="0"/>
    <x v="1"/>
    <x v="3"/>
    <x v="0"/>
    <n v="6.98"/>
    <x v="0"/>
    <n v="22.206099999999999"/>
    <n v="5.7480000000000002"/>
    <n v="74.11522059253987"/>
    <n v="17.650429799426938"/>
    <n v="0.19419694855750264"/>
    <n v="48.34"/>
    <n v="0.80200000000000005"/>
    <n v="5.0119999999999996"/>
    <n v="1.1839999999999999"/>
    <n v="2.0049999999999999"/>
    <n v="1"/>
    <n v="0"/>
    <n v="0"/>
    <n v="0"/>
    <n v="0"/>
    <n v="0"/>
    <n v="0"/>
    <n v="0"/>
    <n v="0"/>
    <n v="0"/>
    <n v="0"/>
    <n v="0"/>
    <n v="0"/>
    <n v="0"/>
    <n v="1"/>
    <n v="6"/>
    <n v="0"/>
    <n v="0"/>
    <n v="0"/>
    <n v="0"/>
    <n v="0"/>
    <n v="0"/>
    <n v="0"/>
    <n v="0"/>
    <n v="0"/>
    <n v="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4"/>
    <n v="70"/>
    <n v="8"/>
    <n v="0"/>
    <n v="2"/>
    <n v="78"/>
    <n v="0"/>
    <n v="0"/>
    <n v="0"/>
    <n v="1"/>
  </r>
  <r>
    <n v="375"/>
    <x v="1"/>
    <x v="1"/>
    <x v="1"/>
    <x v="1"/>
    <x v="0"/>
    <n v="6.99"/>
    <x v="0"/>
    <n v="28.273700000000002"/>
    <n v="5.9707999999999997"/>
    <n v="21.117858646020856"/>
    <n v="14.580829756795429"/>
    <n v="0.15759963446877145"/>
    <n v="48.43"/>
    <n v="0.872"/>
    <n v="5.4509999999999996"/>
    <n v="1.0329999999999999"/>
    <n v="1.6460000000000001"/>
    <n v="0"/>
    <n v="0"/>
    <n v="0"/>
    <n v="0"/>
    <n v="0"/>
    <n v="0"/>
    <n v="0"/>
    <n v="0"/>
    <n v="0"/>
    <n v="0"/>
    <n v="0"/>
    <n v="0"/>
    <n v="0"/>
    <n v="0"/>
    <n v="12"/>
    <n v="1"/>
    <n v="0"/>
    <n v="0"/>
    <n v="0"/>
    <n v="0"/>
    <n v="0"/>
    <n v="0"/>
    <n v="0"/>
    <n v="0"/>
    <n v="1"/>
    <n v="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4"/>
    <n v="73"/>
    <n v="14"/>
    <n v="0"/>
    <n v="2"/>
    <n v="87"/>
    <n v="0"/>
    <n v="0"/>
    <n v="0"/>
    <n v="1"/>
  </r>
  <r>
    <n v="378"/>
    <x v="1"/>
    <x v="0"/>
    <x v="1"/>
    <x v="0"/>
    <x v="0"/>
    <n v="6.06"/>
    <x v="0"/>
    <n v="24.304500000000001"/>
    <n v="5.9808000000000003"/>
    <n v="75.392211318891569"/>
    <n v="1.306930693069295"/>
    <n v="1.3155461802116337E-2"/>
    <n v="48.61"/>
    <n v="0.67300000000000004"/>
    <n v="4.2039999999999997"/>
    <n v="1.1950000000000001"/>
    <n v="1.4419999999999999"/>
    <n v="1"/>
    <n v="0"/>
    <n v="0"/>
    <n v="0"/>
    <n v="0"/>
    <n v="0"/>
    <n v="0"/>
    <n v="0"/>
    <n v="0"/>
    <n v="1"/>
    <n v="0"/>
    <n v="0"/>
    <n v="0"/>
    <n v="0"/>
    <n v="15"/>
    <n v="0"/>
    <n v="0"/>
    <n v="0"/>
    <n v="1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7"/>
    <n v="15"/>
    <n v="17"/>
    <n v="3"/>
    <n v="3"/>
    <n v="33"/>
    <n v="0"/>
    <n v="0"/>
    <n v="2"/>
    <n v="1"/>
  </r>
  <r>
    <n v="384"/>
    <x v="1"/>
    <x v="1"/>
    <x v="1"/>
    <x v="0"/>
    <x v="0"/>
    <n v="6.97"/>
    <x v="0"/>
    <n v="22.343"/>
    <n v="5.9115000000000002"/>
    <n v="73.5420489638813"/>
    <n v="15.186513629842175"/>
    <n v="0.16471561845140148"/>
    <n v="47.48"/>
    <n v="0.84"/>
    <n v="5.2519999999999998"/>
    <n v="1.129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5"/>
    <x v="1"/>
    <x v="1"/>
    <x v="1"/>
    <x v="3"/>
    <x v="0"/>
    <n v="7.02"/>
    <x v="0"/>
    <n v="25.083500000000001"/>
    <n v="5.9382999999999999"/>
    <n v="76.325871588893108"/>
    <n v="15.408831908831905"/>
    <n v="0.16734032091104797"/>
    <n v="47.57"/>
    <n v="0.747"/>
    <n v="4.6719999999999997"/>
    <n v="1.383"/>
    <n v="1.95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403"/>
    <x v="1"/>
    <x v="0"/>
    <x v="1"/>
    <x v="2"/>
    <x v="0"/>
    <n v="6.96"/>
    <x v="0"/>
    <n v="27.4483"/>
    <n v="5.7461000000000002"/>
    <n v="79.06573448993197"/>
    <n v="17.441091954022987"/>
    <n v="0.19165811052959941"/>
    <n v="47.04"/>
    <n v="0.85299999999999998"/>
    <n v="5.3289999999999997"/>
    <n v="0.72599999999999998"/>
    <n v="1.21"/>
    <n v="0"/>
    <n v="0"/>
    <n v="0"/>
    <n v="0"/>
    <n v="16"/>
    <n v="0"/>
    <n v="0"/>
    <n v="0"/>
    <n v="0"/>
    <n v="22"/>
    <n v="0"/>
    <n v="0"/>
    <n v="0"/>
    <n v="0"/>
    <n v="0"/>
    <n v="2"/>
    <n v="0"/>
    <n v="0"/>
    <n v="0"/>
    <n v="0"/>
    <n v="1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5"/>
    <n v="19"/>
    <n v="41"/>
    <n v="0"/>
    <n v="2"/>
    <n v="60"/>
    <n v="0"/>
    <n v="0"/>
    <n v="0"/>
    <n v="1"/>
  </r>
  <r>
    <n v="408"/>
    <x v="1"/>
    <x v="0"/>
    <x v="1"/>
    <x v="1"/>
    <x v="0"/>
    <n v="6.93"/>
    <x v="0"/>
    <n v="21.4681"/>
    <n v="5.9249999999999998"/>
    <n v="72.400911119288608"/>
    <n v="14.502164502164502"/>
    <n v="0.15667912618061702"/>
    <n v="47.99"/>
    <n v="0.79700000000000004"/>
    <n v="4.9829999999999997"/>
    <n v="0.78200000000000003"/>
    <n v="1.4689999999999999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3"/>
    <n v="2"/>
    <n v="3"/>
    <n v="5"/>
    <n v="0"/>
    <n v="0"/>
    <n v="1"/>
    <n v="1"/>
  </r>
  <r>
    <n v="415"/>
    <x v="1"/>
    <x v="0"/>
    <x v="1"/>
    <x v="2"/>
    <x v="0"/>
    <n v="7.05"/>
    <x v="0"/>
    <n v="24.71"/>
    <n v="6.0137"/>
    <n v="75.662889518413607"/>
    <n v="14.69929078014184"/>
    <n v="0.15898741710699013"/>
    <n v="47.89"/>
    <n v="0.56999999999999995"/>
    <n v="3.56"/>
    <n v="1.2450000000000001"/>
    <n v="1.6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9"/>
    <x v="2"/>
    <x v="0"/>
    <x v="0"/>
    <x v="1"/>
    <x v="0"/>
    <n v="6.91"/>
    <x v="0"/>
    <n v="31.959"/>
    <n v="5.9139999999999997"/>
    <n v="18.504959479332893"/>
    <n v="14.413892908827791"/>
    <n v="0.15564721634929318"/>
    <n v="48.34"/>
    <n v="0.75800000000000001"/>
    <n v="4.74"/>
    <n v="3.2690000000000001"/>
    <n v="2.373000000000000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5"/>
    <n v="0"/>
    <n v="1"/>
    <n v="5"/>
    <n v="0"/>
    <n v="0"/>
    <n v="0"/>
    <n v="1"/>
  </r>
  <r>
    <n v="497"/>
    <x v="2"/>
    <x v="1"/>
    <x v="0"/>
    <x v="1"/>
    <x v="0"/>
    <n v="7.03"/>
    <x v="0"/>
    <n v="28.12"/>
    <n v="5.9249999999999998"/>
    <n v="21.070412517780937"/>
    <n v="15.718349928876249"/>
    <n v="0.17100601880137875"/>
    <n v="49.01"/>
    <n v="0.77400000000000002"/>
    <n v="4.835"/>
    <n v="3.3820000000000001"/>
    <n v="2.318000000000000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498"/>
    <x v="2"/>
    <x v="1"/>
    <x v="0"/>
    <x v="3"/>
    <x v="0"/>
    <n v="6.9"/>
    <x v="0"/>
    <n v="24.141999999999999"/>
    <n v="5.6130000000000004"/>
    <n v="23.249937867616605"/>
    <n v="18.652173913043477"/>
    <n v="0.20643607564315145"/>
    <n v="48.64"/>
    <n v="0.72299999999999998"/>
    <n v="4.5170000000000003"/>
    <n v="2.9129999999999998"/>
    <n v="1.97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7"/>
    <x v="2"/>
    <x v="0"/>
    <x v="0"/>
    <x v="2"/>
    <x v="0"/>
    <n v="7.01"/>
    <x v="0"/>
    <n v="23.687000000000001"/>
    <n v="5.9139999999999997"/>
    <n v="24.967281631274535"/>
    <n v="15.634807417974326"/>
    <n v="0.17001527961621332"/>
    <n v="48.37"/>
    <n v="0.752"/>
    <n v="4.702"/>
    <n v="2.8919999999999999"/>
    <n v="1.998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508"/>
    <x v="2"/>
    <x v="1"/>
    <x v="0"/>
    <x v="2"/>
    <x v="0"/>
    <n v="7.08"/>
    <x v="0"/>
    <n v="21.074000000000002"/>
    <n v="5.8540000000000001"/>
    <n v="27.778305020404286"/>
    <n v="17.316384180790962"/>
    <n v="0.19014871943593423"/>
    <n v="47.75"/>
    <n v="0.90300000000000002"/>
    <n v="5.6429999999999998"/>
    <n v="2.7069999999999999"/>
    <n v="1.95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0"/>
    <n v="1"/>
    <n v="3"/>
    <n v="0"/>
    <n v="0"/>
    <n v="0"/>
    <n v="1"/>
  </r>
  <r>
    <n v="514"/>
    <x v="2"/>
    <x v="1"/>
    <x v="0"/>
    <x v="0"/>
    <x v="0"/>
    <n v="6.92"/>
    <x v="0"/>
    <n v="36.938000000000002"/>
    <n v="5.6680000000000001"/>
    <n v="15.344631544750662"/>
    <n v="18.092485549132945"/>
    <n v="0.19957944780114412"/>
    <n v="49.1"/>
    <n v="0.60399999999999998"/>
    <n v="3.7730000000000001"/>
    <n v="2.9489999999999998"/>
    <n v="2.1760000000000002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3"/>
    <n v="1"/>
    <n v="2"/>
    <n v="5"/>
    <n v="0"/>
    <n v="0"/>
    <n v="0"/>
    <n v="1"/>
  </r>
  <r>
    <n v="517"/>
    <x v="2"/>
    <x v="0"/>
    <x v="0"/>
    <x v="3"/>
    <x v="0"/>
    <n v="7.02"/>
    <x v="0"/>
    <n v="27.510999999999999"/>
    <n v="5.89"/>
    <n v="21.40961797099342"/>
    <n v="16.096866096866098"/>
    <n v="0.17550722037422434"/>
    <n v="48.54"/>
    <n v="0.8"/>
    <n v="4.9989999999999997"/>
    <n v="2.782"/>
    <n v="2.0893333333333333"/>
    <n v="0"/>
    <n v="0"/>
    <n v="0"/>
    <n v="0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4"/>
    <n v="0"/>
    <n v="0"/>
    <n v="1"/>
    <n v="1"/>
  </r>
  <r>
    <n v="528"/>
    <x v="2"/>
    <x v="0"/>
    <x v="0"/>
    <x v="4"/>
    <x v="0"/>
    <n v="7.06"/>
    <x v="0"/>
    <n v="28.091000000000001"/>
    <n v="6.2720000000000002"/>
    <n v="22.327435833540992"/>
    <n v="11.161473087818688"/>
    <n v="0.11834976845704386"/>
    <n v="48.47"/>
    <n v="0.94299999999999995"/>
    <n v="5.8959999999999999"/>
    <n v="3.605"/>
    <n v="2.12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531"/>
    <x v="2"/>
    <x v="0"/>
    <x v="0"/>
    <x v="0"/>
    <x v="0"/>
    <n v="7.01"/>
    <x v="0"/>
    <n v="19.359000000000002"/>
    <n v="6.0720000000000001"/>
    <n v="31.365256469858977"/>
    <n v="13.380884450784588"/>
    <n v="0.14364966095316989"/>
    <n v="48.01"/>
    <n v="0.85599999999999998"/>
    <n v="5.3470000000000004"/>
    <n v="3.819"/>
    <n v="2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2"/>
    <n v="1"/>
    <n v="1"/>
    <n v="0"/>
    <n v="0"/>
    <n v="1"/>
    <n v="1"/>
  </r>
  <r>
    <n v="532"/>
    <x v="2"/>
    <x v="1"/>
    <x v="0"/>
    <x v="4"/>
    <x v="0"/>
    <n v="7"/>
    <x v="0"/>
    <n v="29.29"/>
    <n v="6.0540000000000003"/>
    <n v="20.669170365312397"/>
    <n v="13.514285714285709"/>
    <n v="0.14519093845578637"/>
    <n v="47.45"/>
    <n v="0.872"/>
    <n v="5.45"/>
    <n v="2.7330000000000001"/>
    <n v="2.625"/>
    <n v="8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0"/>
    <n v="11"/>
    <n v="0"/>
    <n v="1"/>
    <n v="11"/>
    <n v="0"/>
    <n v="0"/>
    <n v="0"/>
    <n v="1"/>
  </r>
  <r>
    <n v="601"/>
    <x v="2"/>
    <x v="1"/>
    <x v="1"/>
    <x v="1"/>
    <x v="0"/>
    <n v="6.99"/>
    <x v="0"/>
    <n v="18.712"/>
    <n v="4.992"/>
    <n v="26.678067550235145"/>
    <n v="28.583690987124466"/>
    <n v="0.33664392517859237"/>
    <n v="47"/>
    <n v="2.266"/>
    <n v="14.164999999999999"/>
    <n v="1.0620000000000001"/>
    <n v="2.135000000000000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603"/>
    <x v="2"/>
    <x v="0"/>
    <x v="1"/>
    <x v="3"/>
    <x v="0"/>
    <n v="7.05"/>
    <x v="0"/>
    <n v="31.292000000000002"/>
    <n v="5.2409999999999997"/>
    <n v="16.748689760961266"/>
    <n v="25.659574468085111"/>
    <n v="0.29651529700414814"/>
    <n v="48.81"/>
    <n v="2.3559999999999999"/>
    <n v="14.727"/>
    <n v="0.88300000000000001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7"/>
    <x v="2"/>
    <x v="1"/>
    <x v="1"/>
    <x v="3"/>
    <x v="0"/>
    <n v="6.92"/>
    <x v="0"/>
    <n v="23.422000000000001"/>
    <n v="5.1669999999999998"/>
    <n v="22.060455981555801"/>
    <n v="25.332369942196532"/>
    <n v="0.29212352032453065"/>
    <n v="47.94"/>
    <n v="2.1869999999999998"/>
    <n v="13.672000000000001"/>
    <n v="0.93899999999999995"/>
    <n v="1.44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0"/>
    <x v="2"/>
    <x v="1"/>
    <x v="1"/>
    <x v="2"/>
    <x v="0"/>
    <n v="7.07"/>
    <x v="0"/>
    <n v="27.097999999999999"/>
    <n v="5.8579999999999997"/>
    <n v="21.617831574285926"/>
    <n v="17.142857142857153"/>
    <n v="0.18805223150293973"/>
    <n v="48.09"/>
    <n v="0.80400000000000005"/>
    <n v="5.0259999999999998"/>
    <n v="1.081"/>
    <n v="1.4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622"/>
    <x v="2"/>
    <x v="1"/>
    <x v="1"/>
    <x v="0"/>
    <x v="0"/>
    <n v="6.98"/>
    <x v="0"/>
    <n v="35.853999999999999"/>
    <n v="5.8319999999999999"/>
    <n v="16.265967535003067"/>
    <n v="16.44699140401147"/>
    <n v="0.17968892206792417"/>
    <n v="47.69"/>
    <n v="0.80600000000000005"/>
    <n v="5.0350000000000001"/>
    <n v="1.726"/>
    <n v="2.47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4"/>
    <n v="0"/>
    <n v="1"/>
    <n v="4"/>
    <n v="0"/>
    <n v="0"/>
    <n v="0"/>
    <n v="1"/>
  </r>
  <r>
    <n v="624"/>
    <x v="2"/>
    <x v="0"/>
    <x v="1"/>
    <x v="2"/>
    <x v="0"/>
    <n v="7"/>
    <x v="0"/>
    <n v="23.481999999999999"/>
    <n v="5.8689999999999998"/>
    <n v="24.993612128438805"/>
    <n v="16.157142857142862"/>
    <n v="0.17622588747911588"/>
    <n v="48.32"/>
    <n v="0.86699999999999999"/>
    <n v="5.4210000000000003"/>
    <n v="1.4610000000000001"/>
    <n v="1.39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629"/>
    <x v="2"/>
    <x v="1"/>
    <x v="1"/>
    <x v="4"/>
    <x v="0"/>
    <n v="6.93"/>
    <x v="0"/>
    <n v="21.82"/>
    <n v="5.915"/>
    <n v="27.108157653528874"/>
    <n v="14.646464646464644"/>
    <n v="0.15836831577146171"/>
    <n v="48.59"/>
    <n v="0.66800000000000004"/>
    <n v="4.173"/>
    <n v="1.5129999999999999"/>
    <n v="1.179"/>
    <n v="2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0"/>
    <n v="7"/>
    <n v="0"/>
    <n v="1"/>
    <n v="7"/>
    <n v="0"/>
    <n v="0"/>
    <n v="0"/>
    <n v="1"/>
  </r>
  <r>
    <n v="637"/>
    <x v="2"/>
    <x v="0"/>
    <x v="1"/>
    <x v="1"/>
    <x v="0"/>
    <n v="6.99"/>
    <x v="0"/>
    <n v="27.923999999999999"/>
    <n v="5.1820000000000004"/>
    <n v="18.557513250250683"/>
    <n v="25.865522174535048"/>
    <n v="0.29928947410580065"/>
    <n v="49.08"/>
    <n v="1.589"/>
    <n v="9.93"/>
    <n v="1.427"/>
    <n v="2.11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643"/>
    <x v="2"/>
    <x v="0"/>
    <x v="1"/>
    <x v="4"/>
    <x v="0"/>
    <n v="6.91"/>
    <x v="0"/>
    <n v="18.286000000000001"/>
    <n v="6.048"/>
    <n v="33.074483211199826"/>
    <n v="12.474674384949349"/>
    <n v="0.13324199890234664"/>
    <n v="48.81"/>
    <n v="1.097"/>
    <n v="6.8579999999999997"/>
    <n v="1.752"/>
    <n v="2.8959999999999999"/>
    <n v="0"/>
    <n v="0"/>
    <n v="0"/>
    <n v="0"/>
    <n v="0"/>
    <n v="0"/>
    <n v="0"/>
    <n v="0"/>
    <n v="0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n v="647"/>
    <x v="2"/>
    <x v="0"/>
    <x v="1"/>
    <x v="0"/>
    <x v="0"/>
    <n v="6.96"/>
    <x v="0"/>
    <n v="23.213999999999999"/>
    <n v="5.5780000000000003"/>
    <n v="24.02860342896528"/>
    <n v="19.856321839080454"/>
    <n v="0.22134918514103108"/>
    <n v="48.17"/>
    <n v="1.796"/>
    <n v="11.225"/>
    <n v="1.4359999999999999"/>
    <n v="3.0379999999999998"/>
    <n v="0"/>
    <n v="0"/>
    <n v="0"/>
    <n v="0"/>
    <n v="0"/>
    <n v="0"/>
    <n v="0"/>
    <n v="0"/>
    <n v="0"/>
    <n v="0"/>
    <n v="0"/>
    <n v="0"/>
    <n v="0"/>
    <n v="0"/>
    <n v="5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0"/>
    <n v="6"/>
    <n v="4"/>
    <n v="2"/>
    <n v="10"/>
    <n v="0"/>
    <n v="0"/>
    <n v="0"/>
    <n v="1"/>
  </r>
  <r>
    <n v="4"/>
    <x v="0"/>
    <x v="1"/>
    <x v="0"/>
    <x v="1"/>
    <x v="0"/>
    <n v="7.03"/>
    <x v="1"/>
    <n v="7.9046000000000003"/>
    <n v="5.5782999999999996"/>
    <n v="29.429699162512975"/>
    <n v="20.650071123755342"/>
    <n v="0.92444981590564024"/>
    <n v="47.93"/>
    <n v="0.91700000000000004"/>
    <n v="5.7309999999999999"/>
    <n v="1.8740000000000001"/>
    <n v="1.496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2"/>
    <n v="3"/>
    <n v="0"/>
    <n v="0"/>
    <n v="1"/>
    <n v="1"/>
  </r>
  <r>
    <n v="8"/>
    <x v="0"/>
    <x v="0"/>
    <x v="0"/>
    <x v="0"/>
    <x v="0"/>
    <n v="6.93"/>
    <x v="1"/>
    <n v="6.7068000000000003"/>
    <n v="5.6029"/>
    <n v="16.459414325758935"/>
    <n v="19.150072150072148"/>
    <n v="0.90572267291953235"/>
    <n v="47.54"/>
    <n v="0.85799999999999998"/>
    <n v="5.3650000000000002"/>
    <n v="2.5609999999999999"/>
    <n v="4.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4"/>
    <n v="1"/>
    <n v="4"/>
    <n v="0"/>
    <n v="0"/>
    <n v="0"/>
    <n v="1"/>
  </r>
  <r>
    <n v="13"/>
    <x v="0"/>
    <x v="1"/>
    <x v="0"/>
    <x v="3"/>
    <x v="0"/>
    <n v="6.99"/>
    <x v="1"/>
    <n v="7.4600999999999997"/>
    <n v="5.7262000000000004"/>
    <n v="23.242315786651645"/>
    <n v="18.080114449213159"/>
    <n v="0.89257560234293654"/>
    <n v="47.8"/>
    <n v="0.746"/>
    <n v="4.6630000000000003"/>
    <n v="3.0630000000000002"/>
    <n v="1.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x v="0"/>
    <x v="0"/>
    <x v="0"/>
    <x v="3"/>
    <x v="0"/>
    <n v="7.03"/>
    <x v="1"/>
    <n v="6.9678000000000004"/>
    <n v="5.6416000000000004"/>
    <n v="19.033267315364963"/>
    <n v="19.749644381223323"/>
    <n v="0.91316617316110482"/>
    <n v="47.5"/>
    <n v="0.93700000000000006"/>
    <n v="5.8540000000000001"/>
    <n v="1.998"/>
    <n v="1.6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0"/>
    <n v="0"/>
    <n v="4"/>
    <n v="1"/>
    <n v="3"/>
    <n v="0"/>
    <n v="0"/>
    <n v="1"/>
    <n v="1"/>
  </r>
  <r>
    <n v="30"/>
    <x v="0"/>
    <x v="1"/>
    <x v="0"/>
    <x v="2"/>
    <x v="0"/>
    <n v="7"/>
    <x v="1"/>
    <n v="6.8299000000000003"/>
    <n v="5.4911000000000003"/>
    <n v="19.602043953791416"/>
    <n v="21.555714285714281"/>
    <n v="0.93592872986533959"/>
    <n v="47.87"/>
    <n v="0.89500000000000002"/>
    <n v="5.5940000000000003"/>
    <n v="2.4089999999999998"/>
    <n v="0.66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x v="0"/>
    <x v="0"/>
    <x v="0"/>
    <x v="1"/>
    <x v="0"/>
    <n v="6.9699999999999989"/>
    <x v="1"/>
    <n v="7.5350000000000001"/>
    <n v="5.6852"/>
    <n v="24.549435965494361"/>
    <n v="18.433285509325668"/>
    <n v="0.89689609844965801"/>
    <n v="47.7"/>
    <n v="0.96099999999999997"/>
    <n v="6.008"/>
    <n v="2.1019999999999999"/>
    <n v="1.506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0"/>
    <n v="5"/>
    <n v="1"/>
    <n v="5"/>
    <n v="0"/>
    <n v="0"/>
    <n v="0"/>
    <n v="1"/>
  </r>
  <r>
    <n v="33"/>
    <x v="0"/>
    <x v="0"/>
    <x v="0"/>
    <x v="2"/>
    <x v="0"/>
    <n v="6.9499999999999993"/>
    <x v="1"/>
    <n v="6.8251999999999997"/>
    <n v="5.7850000000000001"/>
    <n v="15.24057903065111"/>
    <n v="16.762589928057544"/>
    <n v="0.87662047949100608"/>
    <n v="47.6"/>
    <n v="1.01"/>
    <n v="6.3120000000000003"/>
    <n v="2.738"/>
    <n v="1.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"/>
    <x v="0"/>
    <x v="1"/>
    <x v="0"/>
    <x v="0"/>
    <x v="0"/>
    <n v="6.9200000000000008"/>
    <x v="1"/>
    <n v="6.8631000000000002"/>
    <n v="5.5964"/>
    <n v="18.456674097710948"/>
    <n v="19.127167630057812"/>
    <n v="0.90543941631252989"/>
    <n v="46.22"/>
    <n v="0.90500000000000003"/>
    <n v="5.657"/>
    <n v="2.165"/>
    <n v="1.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3"/>
    <n v="0"/>
    <n v="1"/>
    <n v="2"/>
    <n v="2"/>
    <n v="2"/>
    <n v="0"/>
    <n v="0"/>
    <n v="1"/>
    <n v="1"/>
  </r>
  <r>
    <n v="55"/>
    <x v="0"/>
    <x v="0"/>
    <x v="0"/>
    <x v="4"/>
    <x v="0"/>
    <n v="7.0600000000000005"/>
    <x v="1"/>
    <n v="6.9166999999999996"/>
    <n v="5.6868999999999996"/>
    <n v="17.780155276360116"/>
    <n v="19.449008498583581"/>
    <n v="0.90942694785845857"/>
    <n v="48.69"/>
    <n v="0.96799999999999997"/>
    <n v="6.05"/>
    <n v="1.456"/>
    <n v="1.467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3"/>
    <n v="0"/>
    <n v="0"/>
    <n v="2"/>
    <n v="1"/>
    <n v="3"/>
    <n v="0"/>
    <n v="0"/>
    <n v="1"/>
    <n v="1"/>
  </r>
  <r>
    <n v="56"/>
    <x v="0"/>
    <x v="1"/>
    <x v="0"/>
    <x v="4"/>
    <x v="0"/>
    <n v="6.94"/>
    <x v="1"/>
    <n v="83847"/>
    <n v="5.4279000000000002"/>
    <n v="99.993526423127847"/>
    <n v="21.788184438040346"/>
    <n v="0.93889663626763509"/>
    <n v="46.89"/>
    <n v="0.90600000000000003"/>
    <n v="5.6619999999999999"/>
    <n v="1.7949999999999999"/>
    <n v="1.272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1"/>
  </r>
  <r>
    <n v="131"/>
    <x v="0"/>
    <x v="0"/>
    <x v="1"/>
    <x v="4"/>
    <x v="0"/>
    <n v="7.01"/>
    <x v="1"/>
    <n v="6.9288999999999996"/>
    <n v="5.7317"/>
    <n v="17.278355871783397"/>
    <n v="18.235378031383735"/>
    <n v="0.89447271076315238"/>
    <n v="49.29"/>
    <n v="0.77800000000000002"/>
    <n v="4.8600000000000003"/>
    <n v="1.2370000000000001"/>
    <n v="1.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134"/>
    <x v="0"/>
    <x v="1"/>
    <x v="1"/>
    <x v="0"/>
    <x v="0"/>
    <n v="7.01"/>
    <x v="1"/>
    <n v="7.0986000000000002"/>
    <n v="5.8638000000000003"/>
    <n v="17.394979291691318"/>
    <n v="16.350927246790292"/>
    <n v="0.87168702401573595"/>
    <n v="47.77"/>
    <n v="0.71"/>
    <n v="4.4370000000000003"/>
    <n v="1.6679999999999999"/>
    <n v="1.6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136"/>
    <x v="0"/>
    <x v="1"/>
    <x v="1"/>
    <x v="4"/>
    <x v="0"/>
    <n v="7.04"/>
    <x v="1"/>
    <n v="8.2467000000000006"/>
    <n v="5.7625999999999999"/>
    <n v="30.122351971091472"/>
    <n v="18.144886363636363"/>
    <n v="0.89336658897852539"/>
    <n v="47.39"/>
    <n v="0.8"/>
    <n v="4.9969999999999999"/>
    <n v="3.3780000000000001"/>
    <n v="1.6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1"/>
    <x v="0"/>
    <x v="1"/>
    <x v="1"/>
    <x v="1"/>
    <x v="0"/>
    <n v="7.01"/>
    <x v="1"/>
    <n v="6.6052"/>
    <n v="5.4640000000000004"/>
    <n v="17.27729667534669"/>
    <n v="22.054208273894428"/>
    <n v="0.94230375933795496"/>
    <n v="46.92"/>
    <n v="0.71299999999999997"/>
    <n v="4.4569999999999999"/>
    <n v="1.2709999999999999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1"/>
    <n v="1"/>
    <n v="0"/>
    <n v="0"/>
    <n v="0"/>
    <n v="1"/>
    <n v="0"/>
  </r>
  <r>
    <n v="145"/>
    <x v="0"/>
    <x v="0"/>
    <x v="1"/>
    <x v="1"/>
    <x v="0"/>
    <n v="7.07"/>
    <x v="1"/>
    <n v="8.1168999999999993"/>
    <n v="5.8346"/>
    <n v="28.117877514814765"/>
    <n v="17.473833097595477"/>
    <n v="0.8852019489220232"/>
    <n v="47.3"/>
    <n v="0.68"/>
    <n v="4.2510000000000003"/>
    <n v="1.2330000000000001"/>
    <n v="1.60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146"/>
    <x v="0"/>
    <x v="0"/>
    <x v="1"/>
    <x v="0"/>
    <x v="0"/>
    <n v="7.06"/>
    <x v="1"/>
    <n v="6.8513000000000002"/>
    <n v="5.7987000000000002"/>
    <n v="15.36350765548144"/>
    <n v="17.865439093484412"/>
    <n v="0.88995847756641688"/>
    <n v="47.74"/>
    <n v="0.71799999999999997"/>
    <n v="4.4850000000000003"/>
    <n v="1.46"/>
    <n v="1.0940000000000001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"/>
    <n v="0"/>
    <n v="16"/>
    <n v="0"/>
    <n v="1"/>
    <n v="16"/>
    <n v="0"/>
    <n v="0"/>
    <n v="0"/>
    <n v="1"/>
  </r>
  <r>
    <n v="160"/>
    <x v="0"/>
    <x v="0"/>
    <x v="1"/>
    <x v="3"/>
    <x v="0"/>
    <n v="7.02"/>
    <x v="1"/>
    <n v="7.8555000000000001"/>
    <n v="5.7233999999999998"/>
    <n v="27.141493221309915"/>
    <n v="18.470085470085468"/>
    <n v="0.89734736420058459"/>
    <n v="47.34"/>
    <n v="0.69899999999999995"/>
    <n v="4.3689999999999998"/>
    <n v="0.96"/>
    <n v="1.223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9"/>
    <x v="0"/>
    <x v="1"/>
    <x v="1"/>
    <x v="2"/>
    <x v="0"/>
    <n v="6.99"/>
    <x v="1"/>
    <n v="8.1526999999999994"/>
    <n v="5.8483999999999998"/>
    <n v="28.264256013345268"/>
    <n v="16.331902718168816"/>
    <n v="0.87145961724451848"/>
    <n v="47.87"/>
    <n v="0.73499999999999999"/>
    <n v="4.5960000000000001"/>
    <n v="1.0609999999999999"/>
    <n v="0.357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1"/>
    <x v="0"/>
    <x v="0"/>
    <x v="1"/>
    <x v="2"/>
    <x v="0"/>
    <n v="6.96"/>
    <x v="1"/>
    <n v="7.1483999999999996"/>
    <n v="5.8657000000000004"/>
    <n v="17.943875552571196"/>
    <n v="15.72270114942528"/>
    <n v="0.86420482783406705"/>
    <n v="47.7"/>
    <n v="0.76400000000000001"/>
    <n v="4.7759999999999998"/>
    <n v="1.9890000000000001"/>
    <n v="2.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9"/>
    <x v="0"/>
    <x v="1"/>
    <x v="1"/>
    <x v="3"/>
    <x v="0"/>
    <n v="6.97"/>
    <x v="1"/>
    <n v="7.8971999999999998"/>
    <n v="5.5762999999999998"/>
    <n v="29.388897330699486"/>
    <n v="19.995695839311335"/>
    <n v="0.91623693131282291"/>
    <n v="47.2"/>
    <n v="0.748"/>
    <n v="4.6769999999999996"/>
    <n v="0.85099999999999998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2"/>
    <x v="1"/>
    <x v="0"/>
    <x v="0"/>
    <x v="4"/>
    <x v="0"/>
    <n v="6.95"/>
    <x v="1"/>
    <n v="11.480499999999999"/>
    <n v="5.7907999999999999"/>
    <n v="49.559688166891682"/>
    <n v="16.679136690647482"/>
    <n v="0.87561838883889476"/>
    <n v="47.72"/>
    <n v="1.0620000000000001"/>
    <n v="6.6349999999999998"/>
    <n v="1.2130000000000001"/>
    <n v="1.6930000000000001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3"/>
    <n v="0"/>
    <n v="25"/>
    <n v="2"/>
    <n v="2"/>
    <n v="27"/>
    <n v="0"/>
    <n v="0"/>
    <n v="0"/>
    <n v="1"/>
  </r>
  <r>
    <n v="249"/>
    <x v="1"/>
    <x v="1"/>
    <x v="0"/>
    <x v="4"/>
    <x v="0"/>
    <n v="7.12"/>
    <x v="1"/>
    <n v="14.1335"/>
    <n v="5.8495999999999997"/>
    <n v="58.611808823009156"/>
    <n v="17.842696629213489"/>
    <n v="0.88968162314619059"/>
    <n v="47.15"/>
    <n v="1.2030000000000001"/>
    <n v="7.52"/>
    <n v="1.343"/>
    <n v="1.17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0"/>
    <n v="2"/>
    <n v="2"/>
    <n v="2"/>
    <n v="4"/>
    <n v="0"/>
    <n v="0"/>
    <n v="0"/>
    <n v="1"/>
  </r>
  <r>
    <n v="254"/>
    <x v="1"/>
    <x v="1"/>
    <x v="0"/>
    <x v="0"/>
    <x v="0"/>
    <n v="6.95"/>
    <x v="1"/>
    <n v="6.8921000000000001"/>
    <n v="5.81"/>
    <n v="15.700584727441571"/>
    <n v="16.402877697841735"/>
    <n v="0.87230826927282634"/>
    <n v="47.9"/>
    <n v="1.175"/>
    <n v="7.343"/>
    <n v="1.863"/>
    <n v="1.92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5"/>
    <x v="1"/>
    <x v="1"/>
    <x v="0"/>
    <x v="1"/>
    <x v="0"/>
    <n v="7.0399999999999991"/>
    <x v="1"/>
    <n v="9.1104000000000003"/>
    <n v="5.8442999999999996"/>
    <n v="35.850237091675453"/>
    <n v="16.984374999999996"/>
    <n v="0.87928852345676523"/>
    <n v="47.97"/>
    <n v="1.1559999999999999"/>
    <n v="7.2240000000000002"/>
    <n v="1.6870000000000001"/>
    <n v="1.859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1"/>
    <n v="5"/>
    <n v="0"/>
    <n v="5"/>
    <n v="6"/>
    <n v="2"/>
    <n v="9"/>
    <n v="0"/>
    <n v="0"/>
    <n v="2"/>
    <n v="1"/>
  </r>
  <r>
    <n v="272"/>
    <x v="1"/>
    <x v="0"/>
    <x v="0"/>
    <x v="0"/>
    <x v="0"/>
    <n v="7.0699999999999994"/>
    <x v="1"/>
    <n v="8.3759999999999994"/>
    <n v="5.7588999999999997"/>
    <n v="31.245224450811843"/>
    <n v="18.544554455445542"/>
    <n v="0.89826117622036572"/>
    <n v="47.49"/>
    <n v="1.202"/>
    <n v="7.5140000000000002"/>
    <n v="1.4630000000000001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0"/>
    <x v="1"/>
    <x v="1"/>
    <x v="0"/>
    <x v="3"/>
    <x v="0"/>
    <n v="7"/>
    <x v="1"/>
    <n v="8.4754000000000005"/>
    <n v="5.6139999999999999"/>
    <n v="33.761238407626784"/>
    <n v="19.8"/>
    <n v="0.91379385167556793"/>
    <n v="47.59"/>
    <n v="1.0529999999999999"/>
    <n v="6.5839999999999996"/>
    <n v="1.9850000000000001"/>
    <n v="1.421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8"/>
    <n v="4"/>
    <n v="3"/>
    <n v="4"/>
    <n v="1"/>
    <n v="3"/>
    <n v="6"/>
    <n v="0"/>
    <n v="0"/>
    <n v="2"/>
    <n v="1"/>
  </r>
  <r>
    <n v="285"/>
    <x v="1"/>
    <x v="0"/>
    <x v="0"/>
    <x v="3"/>
    <x v="0"/>
    <n v="7.04"/>
    <x v="1"/>
    <n v="6.9785000000000004"/>
    <n v="5.8155000000000001"/>
    <n v="16.665472522748445"/>
    <n v="17.393465909090907"/>
    <n v="0.8842285839329399"/>
    <n v="48.32"/>
    <n v="1.143"/>
    <n v="7.1440000000000001"/>
    <n v="1.6519999999999999"/>
    <n v="1.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92"/>
    <x v="1"/>
    <x v="0"/>
    <x v="0"/>
    <x v="2"/>
    <x v="0"/>
    <n v="6.96"/>
    <x v="1"/>
    <n v="8.6277000000000008"/>
    <n v="5.4526000000000003"/>
    <n v="36.801233237131562"/>
    <n v="21.65804597701149"/>
    <n v="0.93723409576989358"/>
    <n v="48.61"/>
    <n v="1.161"/>
    <n v="7.2549999999999999"/>
    <n v="1.0649999999999999"/>
    <n v="1.0069999999999999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3"/>
    <n v="0"/>
    <n v="0"/>
    <n v="0"/>
    <n v="1"/>
  </r>
  <r>
    <n v="295"/>
    <x v="1"/>
    <x v="1"/>
    <x v="0"/>
    <x v="2"/>
    <x v="0"/>
    <n v="6.93"/>
    <x v="1"/>
    <n v="10.9261"/>
    <n v="5.7152000000000003"/>
    <n v="47.692223208647185"/>
    <n v="17.529581529581524"/>
    <n v="0.88587770150176881"/>
    <n v="48.08"/>
    <n v="1.2490000000000001"/>
    <n v="7.8040000000000003"/>
    <n v="1.226"/>
    <n v="1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5"/>
    <x v="1"/>
    <x v="0"/>
    <x v="1"/>
    <x v="2"/>
    <x v="0"/>
    <n v="7.01"/>
    <x v="1"/>
    <n v="7.8771000000000004"/>
    <n v="5.8121"/>
    <n v="26.215231493823872"/>
    <n v="17.08844507845934"/>
    <n v="0.88054293026528274"/>
    <n v="47.64"/>
    <n v="0.69899999999999995"/>
    <n v="4.3719999999999999"/>
    <n v="1.196"/>
    <n v="1.33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370"/>
    <x v="1"/>
    <x v="0"/>
    <x v="1"/>
    <x v="4"/>
    <x v="0"/>
    <n v="7.02"/>
    <x v="1"/>
    <n v="11.051500000000001"/>
    <n v="5.9127999999999998"/>
    <n v="46.49776048500204"/>
    <n v="15.772079772079769"/>
    <n v="0.86479090610912512"/>
    <n v="46.82"/>
    <n v="0.72699999999999998"/>
    <n v="4.5460000000000003"/>
    <n v="0.77900000000000003"/>
    <n v="1.58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381"/>
    <x v="1"/>
    <x v="1"/>
    <x v="1"/>
    <x v="1"/>
    <x v="0"/>
    <n v="7.06"/>
    <x v="1"/>
    <n v="9.1570999999999998"/>
    <n v="5.8738999999999999"/>
    <n v="35.854145963241635"/>
    <n v="16.800283286118976"/>
    <n v="0.87707342360790808"/>
    <n v="47.22"/>
    <n v="0.73399999999999999"/>
    <n v="4.5869999999999997"/>
    <n v="1.0109999999999999"/>
    <n v="1.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3"/>
    <n v="3"/>
    <n v="0"/>
    <n v="0"/>
    <n v="3"/>
    <n v="1"/>
    <n v="1"/>
    <n v="0"/>
    <n v="0"/>
    <n v="2"/>
    <n v="1"/>
  </r>
  <r>
    <n v="387"/>
    <x v="1"/>
    <x v="1"/>
    <x v="1"/>
    <x v="0"/>
    <x v="0"/>
    <n v="7"/>
    <x v="1"/>
    <n v="7.7935999999999996"/>
    <n v="5.7827999999999999"/>
    <n v="25.800656949291721"/>
    <n v="17.388571428571428"/>
    <n v="0.88416933516310836"/>
    <n v="47.33"/>
    <n v="0.96399999999999997"/>
    <n v="6.0259999999999998"/>
    <n v="1.288"/>
    <n v="1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0"/>
    <n v="1"/>
    <n v="0"/>
  </r>
  <r>
    <n v="391"/>
    <x v="1"/>
    <x v="1"/>
    <x v="1"/>
    <x v="3"/>
    <x v="0"/>
    <n v="7.04"/>
    <x v="1"/>
    <n v="8.9225999999999992"/>
    <n v="5.7130999999999998"/>
    <n v="35.970457041669462"/>
    <n v="18.848011363636367"/>
    <n v="0.90199356720237689"/>
    <n v="47.59"/>
    <n v="0.83499999999999996"/>
    <n v="5.2160000000000002"/>
    <n v="2.5190000000000001"/>
    <n v="1.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392"/>
    <x v="1"/>
    <x v="0"/>
    <x v="1"/>
    <x v="1"/>
    <x v="0"/>
    <n v="7.03"/>
    <x v="1"/>
    <n v="11.7834"/>
    <n v="5.9680999999999997"/>
    <n v="49.351630259517634"/>
    <n v="15.105263157894743"/>
    <n v="0.85690526758926833"/>
    <n v="47.83"/>
    <n v="0.72199999999999998"/>
    <n v="4.5140000000000002"/>
    <n v="0.65700000000000003"/>
    <n v="1.385999999999999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2"/>
    <n v="0"/>
    <n v="4"/>
    <n v="9"/>
    <n v="2"/>
    <n v="13"/>
    <n v="0"/>
    <n v="0"/>
    <n v="0"/>
    <n v="1"/>
  </r>
  <r>
    <n v="393"/>
    <x v="1"/>
    <x v="1"/>
    <x v="1"/>
    <x v="4"/>
    <x v="0"/>
    <n v="7"/>
    <x v="1"/>
    <n v="11.9572"/>
    <n v="5.9653"/>
    <n v="50.111230053858769"/>
    <n v="14.78142857142857"/>
    <n v="0.85309798195201014"/>
    <n v="46.84"/>
    <n v="0.71599999999999997"/>
    <n v="4.4740000000000002"/>
    <n v="0.91200000000000003"/>
    <n v="1.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7"/>
    <x v="1"/>
    <x v="0"/>
    <x v="1"/>
    <x v="1"/>
    <x v="0"/>
    <n v="6.91"/>
    <x v="1"/>
    <n v="12.7012"/>
    <n v="5.7309999999999999"/>
    <n v="54.878279217711714"/>
    <n v="17.062228654124461"/>
    <n v="0.88022678276992339"/>
    <n v="48"/>
    <n v="0.76"/>
    <n v="4.7510000000000003"/>
    <n v="1.05"/>
    <n v="1.64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12"/>
    <x v="1"/>
    <x v="0"/>
    <x v="1"/>
    <x v="3"/>
    <x v="0"/>
    <n v="7.06"/>
    <x v="1"/>
    <n v="7.0172999999999996"/>
    <n v="5.7858000000000001"/>
    <n v="17.549484844598346"/>
    <n v="18.048158640226625"/>
    <n v="0.89218559230283923"/>
    <n v="48.38"/>
    <n v="0.69299999999999995"/>
    <n v="4.3330000000000002"/>
    <n v="0.90100000000000002"/>
    <n v="1.08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419"/>
    <x v="1"/>
    <x v="0"/>
    <x v="1"/>
    <x v="0"/>
    <x v="0"/>
    <n v="6.94"/>
    <x v="1"/>
    <n v="9.1515000000000004"/>
    <n v="5.6719999999999997"/>
    <n v="38.021089438889803"/>
    <n v="18.270893371757936"/>
    <n v="0.89490716584883223"/>
    <n v="47.37"/>
    <n v="0.80100000000000005"/>
    <n v="5.0049999999999999"/>
    <n v="1.2170000000000001"/>
    <n v="1.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420"/>
    <x v="1"/>
    <x v="1"/>
    <x v="1"/>
    <x v="2"/>
    <x v="0"/>
    <n v="6.96"/>
    <x v="1"/>
    <n v="11.142899999999999"/>
    <n v="5.7328000000000001"/>
    <n v="48.551992748745832"/>
    <n v="17.632183908045977"/>
    <n v="0.8871225873377212"/>
    <n v="46.84"/>
    <n v="0.86299999999999999"/>
    <n v="5.3920000000000003"/>
    <n v="0.97199999999999998"/>
    <n v="1.67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491"/>
    <x v="2"/>
    <x v="0"/>
    <x v="0"/>
    <x v="3"/>
    <x v="0"/>
    <n v="6.97"/>
    <x v="1"/>
    <n v="12.6061"/>
    <n v="5.7727000000000004"/>
    <n v="45.792909781772323"/>
    <n v="17.17790530846484"/>
    <n v="0.88162249665271109"/>
    <n v="46.91"/>
    <n v="0.81699999999999995"/>
    <n v="5.1079999999999997"/>
    <n v="2.94"/>
    <n v="2.266999999999999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492"/>
    <x v="2"/>
    <x v="1"/>
    <x v="0"/>
    <x v="3"/>
    <x v="0"/>
    <n v="7.08"/>
    <x v="1"/>
    <n v="13.604699999999999"/>
    <n v="5.5481999999999996"/>
    <n v="40.781494630532094"/>
    <n v="21.63559322033899"/>
    <n v="0.93694753743606285"/>
    <n v="48.37"/>
    <n v="0.93700000000000006"/>
    <n v="5.8570000000000002"/>
    <n v="2.1589999999999998"/>
    <n v="1.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96"/>
    <x v="2"/>
    <x v="1"/>
    <x v="0"/>
    <x v="1"/>
    <x v="0"/>
    <n v="7.03"/>
    <x v="1"/>
    <n v="10.9597"/>
    <n v="5.4912000000000001"/>
    <n v="50.103561228865757"/>
    <n v="21.889046941678522"/>
    <n v="0.9401870755110675"/>
    <n v="48.33"/>
    <n v="0.76700000000000002"/>
    <n v="4.7910000000000004"/>
    <n v="2.415"/>
    <n v="2.28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3"/>
    <x v="2"/>
    <x v="0"/>
    <x v="0"/>
    <x v="2"/>
    <x v="0"/>
    <n v="7.06"/>
    <x v="1"/>
    <n v="9.3439999999999994"/>
    <n v="5.7649999999999997"/>
    <n v="61.697345890410958"/>
    <n v="18.342776203966004"/>
    <n v="0.89578707834407367"/>
    <n v="49.01"/>
    <n v="0.85599999999999998"/>
    <n v="5.3529999999999998"/>
    <n v="3.0179999999999998"/>
    <n v="2.1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1"/>
    <n v="0"/>
    <n v="0"/>
    <n v="0"/>
    <n v="1"/>
    <n v="0"/>
  </r>
  <r>
    <n v="511"/>
    <x v="2"/>
    <x v="0"/>
    <x v="0"/>
    <x v="1"/>
    <x v="0"/>
    <n v="7.07"/>
    <x v="1"/>
    <n v="11.8621"/>
    <n v="5.5041000000000002"/>
    <n v="46.400721626019006"/>
    <n v="22.14851485148515"/>
    <n v="0.94351439139778004"/>
    <n v="48.39"/>
    <n v="0.89800000000000002"/>
    <n v="5.61"/>
    <n v="2.6339999999999999"/>
    <n v="2.145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"/>
    <n v="0"/>
    <n v="15"/>
    <n v="0"/>
    <n v="1"/>
    <n v="15"/>
    <n v="0"/>
    <n v="0"/>
    <n v="0"/>
    <n v="1"/>
  </r>
  <r>
    <n v="516"/>
    <x v="2"/>
    <x v="1"/>
    <x v="0"/>
    <x v="0"/>
    <x v="0"/>
    <n v="6.95"/>
    <x v="1"/>
    <n v="12.857100000000001"/>
    <n v="5.4420999999999999"/>
    <n v="42.327585536396228"/>
    <n v="21.696402877697846"/>
    <n v="0.9377238243472138"/>
    <n v="47.73"/>
    <n v="0.94499999999999995"/>
    <n v="5.9059999999999997"/>
    <n v="2.286"/>
    <n v="1.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2"/>
    <n v="0"/>
    <n v="0"/>
    <n v="0"/>
    <n v="1"/>
  </r>
  <r>
    <n v="522"/>
    <x v="2"/>
    <x v="0"/>
    <x v="0"/>
    <x v="0"/>
    <x v="0"/>
    <n v="7.07"/>
    <x v="1"/>
    <n v="8.6791"/>
    <n v="5.8181000000000003"/>
    <n v="67.03575255498842"/>
    <n v="17.707213578500706"/>
    <n v="0.88803391250600316"/>
    <n v="48.4"/>
    <n v="0.98499999999999999"/>
    <n v="6.1550000000000002"/>
    <n v="3.161"/>
    <n v="1.788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534"/>
    <x v="2"/>
    <x v="0"/>
    <x v="0"/>
    <x v="4"/>
    <x v="0"/>
    <n v="7.04"/>
    <x v="1"/>
    <n v="13.4589"/>
    <n v="5.6740000000000004"/>
    <n v="42.15797724925514"/>
    <n v="19.403409090909086"/>
    <n v="0.90886101434323663"/>
    <n v="48.68"/>
    <n v="1.0289999999999999"/>
    <n v="6.4329999999999998"/>
    <n v="2.0110000000000001"/>
    <n v="2.1680000000000001"/>
    <n v="13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5"/>
    <n v="0"/>
    <n v="14"/>
    <n v="2"/>
    <n v="2"/>
    <n v="30"/>
    <n v="0"/>
    <n v="1"/>
    <n v="0"/>
    <n v="1"/>
  </r>
  <r>
    <n v="535"/>
    <x v="2"/>
    <x v="1"/>
    <x v="0"/>
    <x v="4"/>
    <x v="0"/>
    <n v="7.02"/>
    <x v="1"/>
    <n v="11.8911"/>
    <n v="5.7130999999999998"/>
    <n v="48.045176644717479"/>
    <n v="18.616809116809112"/>
    <n v="0.89914861507014565"/>
    <n v="47.78"/>
    <n v="0.84799999999999998"/>
    <n v="5.3"/>
    <n v="2.5419999999999998"/>
    <n v="1.798"/>
    <n v="8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0"/>
    <n v="3"/>
    <n v="0"/>
    <n v="9"/>
    <n v="1"/>
    <n v="2"/>
    <n v="9"/>
    <n v="0"/>
    <n v="0"/>
    <n v="1"/>
    <n v="1"/>
  </r>
  <r>
    <n v="605"/>
    <x v="2"/>
    <x v="1"/>
    <x v="1"/>
    <x v="2"/>
    <x v="0"/>
    <n v="7.01"/>
    <x v="1"/>
    <n v="9.8770000000000007"/>
    <n v="4.8959999999999999"/>
    <n v="49.569707401032694"/>
    <n v="30.156918687589158"/>
    <n v="1.0520663363964191"/>
    <n v="47.34"/>
    <n v="2.2909999999999999"/>
    <n v="14.321999999999999"/>
    <n v="0.77600000000000002"/>
    <n v="0.914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6"/>
    <x v="2"/>
    <x v="1"/>
    <x v="1"/>
    <x v="1"/>
    <x v="0"/>
    <n v="6.98"/>
    <x v="1"/>
    <n v="8.3082999999999991"/>
    <n v="5.0007000000000001"/>
    <n v="60.189208381979476"/>
    <n v="28.356733524355306"/>
    <n v="1.0266181946992115"/>
    <n v="49.3"/>
    <n v="1.056"/>
    <n v="5.8949999999999996"/>
    <n v="0.68700000000000006"/>
    <n v="1.0149999999999999"/>
    <n v="14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4"/>
    <n v="0"/>
    <n v="18"/>
    <n v="2"/>
    <n v="2"/>
    <n v="20"/>
    <n v="0"/>
    <n v="0"/>
    <n v="0"/>
    <n v="1"/>
  </r>
  <r>
    <n v="616"/>
    <x v="2"/>
    <x v="1"/>
    <x v="1"/>
    <x v="0"/>
    <x v="0"/>
    <n v="6.98"/>
    <x v="1"/>
    <n v="13.4589"/>
    <n v="5.5312999999999999"/>
    <n v="41.097712294466859"/>
    <n v="20.755014326647572"/>
    <n v="0.9257732280529577"/>
    <n v="47.02"/>
    <n v="1.022"/>
    <n v="6.3849999999999998"/>
    <n v="0.9889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2"/>
    <n v="0"/>
    <n v="0"/>
    <n v="0"/>
    <n v="1"/>
  </r>
  <r>
    <n v="621"/>
    <x v="2"/>
    <x v="0"/>
    <x v="1"/>
    <x v="2"/>
    <x v="0"/>
    <n v="7.06"/>
    <x v="1"/>
    <n v="9.4079999999999995"/>
    <n v="5.7359999999999998"/>
    <n v="60.969387755102048"/>
    <n v="18.753541076487252"/>
    <n v="0.90083012876777668"/>
    <n v="48.43"/>
    <n v="0.84899999999999998"/>
    <n v="5.3040000000000003"/>
    <n v="1.2410000000000001"/>
    <n v="1.82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641"/>
    <x v="2"/>
    <x v="0"/>
    <x v="1"/>
    <x v="1"/>
    <x v="0"/>
    <n v="7.07"/>
    <x v="1"/>
    <n v="9.0215999999999994"/>
    <n v="4.9465000000000003"/>
    <n v="54.829520262481168"/>
    <n v="30.035360678925034"/>
    <n v="1.0503274046872866"/>
    <n v="48.4"/>
    <n v="2.508"/>
    <n v="15.675000000000001"/>
    <n v="0.73699999999999999"/>
    <n v="1.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2"/>
    <x v="2"/>
    <x v="1"/>
    <x v="0"/>
    <x v="2"/>
    <x v="0"/>
    <n v="7.09"/>
    <x v="1"/>
    <n v="11.807"/>
    <n v="5.2169999999999996"/>
    <n v="44.185652578978569"/>
    <n v="26.417489421720735"/>
    <n v="0.99990999706372585"/>
    <n v="48.2"/>
    <n v="2.214"/>
    <n v="13.837"/>
    <n v="0.68799999999999994"/>
    <n v="0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6"/>
    <x v="2"/>
    <x v="0"/>
    <x v="1"/>
    <x v="4"/>
    <x v="0"/>
    <n v="6.94"/>
    <x v="1"/>
    <n v="7.8813000000000004"/>
    <n v="4.9541000000000004"/>
    <n v="62.858919213835286"/>
    <n v="28.615273775216139"/>
    <n v="1.0302334385067009"/>
    <n v="47.89"/>
    <n v="1.3080000000000001"/>
    <n v="8.1769999999999996"/>
    <n v="0.91700000000000004"/>
    <n v="1.6659999999999999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0"/>
    <n v="1"/>
    <n v="2"/>
    <n v="0"/>
    <n v="0"/>
    <n v="0"/>
    <n v="1"/>
  </r>
  <r>
    <n v="648"/>
    <x v="2"/>
    <x v="0"/>
    <x v="1"/>
    <x v="0"/>
    <x v="0"/>
    <n v="7.03"/>
    <x v="1"/>
    <n v="8.2789000000000001"/>
    <n v="5.5218999999999996"/>
    <n v="66.698474435009487"/>
    <n v="21.452347083926039"/>
    <n v="0.93461188241919224"/>
    <n v="47.91"/>
    <n v="2.1850000000000001"/>
    <n v="13.657999999999999"/>
    <n v="0.80600000000000005"/>
    <n v="1.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652"/>
    <x v="2"/>
    <x v="1"/>
    <x v="1"/>
    <x v="4"/>
    <x v="0"/>
    <n v="7.01"/>
    <x v="1"/>
    <n v="10.2684"/>
    <n v="5.8518999999999997"/>
    <n v="56.989404386272447"/>
    <n v="16.520684736091301"/>
    <n v="0.87371848676955355"/>
    <n v="47.72"/>
    <n v="0.92800000000000005"/>
    <n v="5.8"/>
    <n v="0.94499999999999995"/>
    <n v="1.0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657"/>
    <x v="2"/>
    <x v="0"/>
    <x v="1"/>
    <x v="3"/>
    <x v="0"/>
    <n v="6.95"/>
    <x v="1"/>
    <n v="11.879799999999999"/>
    <n v="5.9615999999999998"/>
    <n v="50.182663007794744"/>
    <n v="14.221582733812955"/>
    <n v="0.84654993871151385"/>
    <n v="47.83"/>
    <n v="0.85499999999999998"/>
    <n v="5.3440000000000003"/>
    <n v="1.099"/>
    <n v="0.81200000000000006"/>
    <n v="0"/>
    <n v="0"/>
    <n v="0"/>
    <n v="0"/>
    <n v="0"/>
    <n v="0"/>
    <n v="0"/>
    <n v="0"/>
    <n v="0"/>
    <n v="0"/>
    <n v="0"/>
    <n v="3"/>
    <n v="0"/>
    <n v="0"/>
    <n v="3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5"/>
    <n v="0"/>
    <n v="8"/>
    <n v="3"/>
    <n v="2"/>
    <n v="8"/>
    <n v="0"/>
    <n v="0"/>
    <n v="3"/>
    <n v="1"/>
  </r>
  <r>
    <n v="660"/>
    <x v="2"/>
    <x v="0"/>
    <x v="1"/>
    <x v="3"/>
    <x v="0"/>
    <n v="7.09"/>
    <x v="1"/>
    <n v="11.943199999999999"/>
    <n v="5.7904"/>
    <n v="48.482818675061964"/>
    <n v="18.330042313117065"/>
    <n v="0.8956311472766405"/>
    <n v="47.92"/>
    <n v="0.75700000000000001"/>
    <n v="4.734"/>
    <n v="0.95699999999999996"/>
    <n v="0.916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1"/>
    <n v="1"/>
    <n v="2"/>
    <n v="0"/>
    <n v="0"/>
    <n v="0"/>
    <n v="1"/>
  </r>
  <r>
    <n v="9"/>
    <x v="0"/>
    <x v="0"/>
    <x v="0"/>
    <x v="0"/>
    <x v="0"/>
    <n v="6.93"/>
    <x v="2"/>
    <n v="6.3006000000000002"/>
    <n v="5.4789000000000003"/>
    <n v="13.041615084277685"/>
    <n v="20.939393939393934"/>
    <n v="2.0267149315458979"/>
    <n v="48"/>
    <n v="1.175"/>
    <n v="7.3460000000000001"/>
    <n v="1.6950000000000001"/>
    <n v="1.8740000000000001"/>
    <n v="6"/>
    <n v="1"/>
    <n v="0"/>
    <n v="0"/>
    <n v="0"/>
    <n v="1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4"/>
    <n v="6"/>
    <n v="0"/>
    <n v="21"/>
    <n v="3"/>
    <n v="2"/>
    <n v="22"/>
    <n v="0"/>
    <n v="0"/>
    <n v="2"/>
    <n v="1"/>
  </r>
  <r>
    <n v="12"/>
    <x v="0"/>
    <x v="1"/>
    <x v="0"/>
    <x v="3"/>
    <x v="0"/>
    <n v="6.99"/>
    <x v="2"/>
    <n v="6.5397999999999996"/>
    <n v="5.3394000000000004"/>
    <n v="18.355301385363457"/>
    <n v="23.613733905579394"/>
    <n v="2.0611267383650396"/>
    <n v="47.49"/>
    <n v="0.91"/>
    <n v="5.6870000000000003"/>
    <n v="2.6709999999999998"/>
    <n v="1.795999999999999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1"/>
    <x v="0"/>
    <x v="0"/>
    <x v="0"/>
    <x v="3"/>
    <x v="0"/>
    <n v="6.9499999999999993"/>
    <x v="2"/>
    <n v="5.8028000000000004"/>
    <n v="5.0663999999999998"/>
    <n v="12.690425311918393"/>
    <n v="27.102158273381288"/>
    <n v="2.1078706225846724"/>
    <n v="47.51"/>
    <n v="1.246"/>
    <n v="7.7850000000000001"/>
    <n v="1.4330000000000001"/>
    <n v="1.1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x v="0"/>
    <x v="1"/>
    <x v="0"/>
    <x v="2"/>
    <x v="0"/>
    <n v="7.05"/>
    <x v="2"/>
    <n v="5.8532000000000002"/>
    <n v="5.1673999999999998"/>
    <n v="11.716667805644782"/>
    <n v="26.703546099290783"/>
    <n v="2.102417425383158"/>
    <n v="48.11"/>
    <n v="1.3069999999999999"/>
    <n v="8.1660000000000004"/>
    <n v="1.3380000000000001"/>
    <n v="1.2269999999999999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44"/>
    <x v="0"/>
    <x v="1"/>
    <x v="0"/>
    <x v="4"/>
    <x v="0"/>
    <n v="7.06"/>
    <x v="2"/>
    <n v="6.0739999999999998"/>
    <n v="4.9717000000000002"/>
    <n v="18.14784326638129"/>
    <n v="29.579320113314438"/>
    <n v="2.1424426867973412"/>
    <n v="47.8"/>
    <n v="1.121"/>
    <n v="7.0039999999999996"/>
    <n v="1.262"/>
    <n v="1.157"/>
    <n v="1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0"/>
    <n v="9"/>
    <n v="0"/>
    <n v="1"/>
    <n v="9"/>
    <n v="0"/>
    <n v="0"/>
    <n v="0"/>
    <n v="1"/>
  </r>
  <r>
    <n v="46"/>
    <x v="0"/>
    <x v="1"/>
    <x v="0"/>
    <x v="1"/>
    <x v="0"/>
    <n v="6.98"/>
    <x v="2"/>
    <n v="8.0637000000000008"/>
    <n v="5.2488000000000001"/>
    <n v="34.908292719223191"/>
    <n v="24.802292263610319"/>
    <n v="2.0768089069538056"/>
    <n v="44.99"/>
    <n v="1.1200000000000001"/>
    <n v="7"/>
    <n v="0.6989999999999999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49"/>
    <x v="0"/>
    <x v="0"/>
    <x v="0"/>
    <x v="2"/>
    <x v="0"/>
    <n v="6.9300000000000006"/>
    <x v="2"/>
    <n v="6.0578000000000003"/>
    <n v="5.2534999999999998"/>
    <n v="13.277097296048076"/>
    <n v="24.191919191919201"/>
    <n v="2.0687247612831738"/>
    <n v="48.21"/>
    <n v="1.0609999999999999"/>
    <n v="6.63"/>
    <n v="1.8420000000000001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"/>
    <x v="0"/>
    <x v="0"/>
    <x v="0"/>
    <x v="1"/>
    <x v="0"/>
    <n v="6.9500000000000011"/>
    <x v="2"/>
    <n v="5.8727"/>
    <n v="4.9980000000000002"/>
    <n v="14.894341614589537"/>
    <n v="28.086330935251809"/>
    <n v="2.1214632963919953"/>
    <n v="47.25"/>
    <n v="1.2070000000000001"/>
    <n v="7.5419999999999998"/>
    <n v="1.252"/>
    <n v="0.84599999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58"/>
    <x v="0"/>
    <x v="0"/>
    <x v="0"/>
    <x v="4"/>
    <x v="0"/>
    <n v="7.0200000000000005"/>
    <x v="2"/>
    <n v="6.1505999999999998"/>
    <n v="5.2689000000000004"/>
    <n v="14.335186811042815"/>
    <n v="24.944444444444443"/>
    <n v="2.0787010751521122"/>
    <n v="47.3"/>
    <n v="1.034"/>
    <n v="6.4619999999999997"/>
    <n v="1.1519999999999999"/>
    <n v="0.96899999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122"/>
    <x v="0"/>
    <x v="1"/>
    <x v="1"/>
    <x v="4"/>
    <x v="0"/>
    <n v="7.08"/>
    <x v="2"/>
    <n v="7.1124000000000001"/>
    <n v="5.3857999999999997"/>
    <n v="24.275912490861039"/>
    <n v="23.92937853107345"/>
    <n v="2.0652675165423124"/>
    <n v="48.4"/>
    <n v="1.0169999999999999"/>
    <n v="6.3540000000000001"/>
    <n v="0.56299999999999994"/>
    <n v="1.2150000000000001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0"/>
    <n v="8"/>
    <n v="1"/>
    <n v="2"/>
    <n v="9"/>
    <n v="0"/>
    <n v="0"/>
    <n v="0"/>
    <n v="1"/>
  </r>
  <r>
    <n v="128"/>
    <x v="0"/>
    <x v="1"/>
    <x v="1"/>
    <x v="1"/>
    <x v="0"/>
    <n v="7.06"/>
    <x v="2"/>
    <n v="9.2081"/>
    <n v="5.8403"/>
    <n v="36.574320435268945"/>
    <n v="17.27620396600566"/>
    <n v="1.9814223553494426"/>
    <n v="39.340000000000003"/>
    <n v="1.1910000000000001"/>
    <n v="7.4420000000000002"/>
    <n v="0.51"/>
    <n v="0.51600000000000001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4"/>
    <n v="0"/>
    <n v="1"/>
    <n v="4"/>
    <n v="3"/>
    <n v="0"/>
    <n v="0"/>
    <n v="2"/>
  </r>
  <r>
    <n v="147"/>
    <x v="0"/>
    <x v="0"/>
    <x v="1"/>
    <x v="0"/>
    <x v="0"/>
    <n v="6.99"/>
    <x v="2"/>
    <n v="6.2760999999999996"/>
    <n v="5.3148999999999997"/>
    <n v="15.315243542964579"/>
    <n v="23.964234620886987"/>
    <n v="2.0657258285323077"/>
    <n v="47.06"/>
    <n v="0.97499999999999998"/>
    <n v="6.0949999999999998"/>
    <n v="0.624"/>
    <n v="0.59399999999999997"/>
    <n v="0"/>
    <n v="0"/>
    <n v="0"/>
    <n v="0"/>
    <n v="0"/>
    <n v="0"/>
    <n v="0"/>
    <n v="0"/>
    <n v="0"/>
    <n v="1"/>
    <n v="0"/>
    <n v="1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4"/>
    <n v="5"/>
    <n v="0"/>
    <n v="12"/>
    <n v="2"/>
    <n v="2"/>
    <n v="11"/>
    <n v="0"/>
    <n v="0"/>
    <n v="3"/>
    <n v="1"/>
  </r>
  <r>
    <n v="149"/>
    <x v="0"/>
    <x v="0"/>
    <x v="1"/>
    <x v="4"/>
    <x v="0"/>
    <n v="7.01"/>
    <x v="2"/>
    <n v="6.0053000000000001"/>
    <n v="5.1062000000000003"/>
    <n v="14.971774932143269"/>
    <n v="27.15834522111269"/>
    <n v="2.1086416826179835"/>
    <n v="47.25"/>
    <n v="1.008"/>
    <n v="6.298"/>
    <n v="0.58199999999999996"/>
    <n v="0.45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0"/>
    <x v="0"/>
    <x v="1"/>
    <x v="1"/>
    <x v="0"/>
    <x v="0"/>
    <n v="7.04"/>
    <x v="2"/>
    <n v="6.4962"/>
    <n v="5.4965999999999999"/>
    <n v="15.387457282719128"/>
    <n v="21.923295454545453"/>
    <n v="2.0392379201309252"/>
    <n v="47.23"/>
    <n v="0.84"/>
    <n v="5.2510000000000003"/>
    <n v="0.64200000000000002"/>
    <n v="1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1"/>
  </r>
  <r>
    <n v="152"/>
    <x v="0"/>
    <x v="0"/>
    <x v="1"/>
    <x v="3"/>
    <x v="0"/>
    <n v="7.02"/>
    <x v="2"/>
    <n v="6.1037999999999997"/>
    <n v="5.2537000000000003"/>
    <n v="13.927389495068637"/>
    <n v="25.160968660968653"/>
    <n v="2.0815900969855305"/>
    <n v="47.15"/>
    <n v="1.044"/>
    <n v="6.5220000000000002"/>
    <n v="0.625"/>
    <n v="0.73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4"/>
    <x v="0"/>
    <x v="0"/>
    <x v="1"/>
    <x v="1"/>
    <x v="0"/>
    <n v="7.07"/>
    <x v="2"/>
    <n v="6.4123999999999999"/>
    <n v="5.5590999999999999"/>
    <n v="13.307030129124819"/>
    <n v="21.370579915134375"/>
    <n v="2.0321837244800864"/>
    <n v="48.31"/>
    <n v="0.70499999999999996"/>
    <n v="4.4039999999999999"/>
    <n v="1.2150000000000001"/>
    <n v="1.4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1"/>
    <x v="0"/>
    <x v="1"/>
    <x v="1"/>
    <x v="2"/>
    <x v="0"/>
    <n v="7.07"/>
    <x v="2"/>
    <n v="6.9043999999999999"/>
    <n v="5.5198999999999998"/>
    <n v="20.052430334279592"/>
    <n v="21.925035360678933"/>
    <n v="2.0392602049536572"/>
    <n v="47.27"/>
    <n v="0.68300000000000005"/>
    <n v="4.2670000000000003"/>
    <n v="0.74099999999999999"/>
    <n v="0.7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"/>
    <n v="3"/>
    <n v="0"/>
    <n v="1"/>
    <n v="162"/>
    <n v="2"/>
    <n v="0"/>
    <n v="0"/>
    <n v="0"/>
    <n v="2"/>
    <n v="0"/>
  </r>
  <r>
    <n v="167"/>
    <x v="0"/>
    <x v="0"/>
    <x v="1"/>
    <x v="2"/>
    <x v="0"/>
    <n v="6.99"/>
    <x v="2"/>
    <n v="6.0449000000000002"/>
    <n v="5.3064999999999998"/>
    <n v="12.215255835497699"/>
    <n v="24.084406294706728"/>
    <n v="2.0673075412540336"/>
    <n v="48.23"/>
    <n v="0.89200000000000002"/>
    <n v="5.5720000000000001"/>
    <n v="0.78900000000000003"/>
    <n v="0.742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"/>
  </r>
  <r>
    <n v="180"/>
    <x v="0"/>
    <x v="1"/>
    <x v="1"/>
    <x v="3"/>
    <x v="0"/>
    <n v="7.06"/>
    <x v="2"/>
    <n v="6.9192"/>
    <n v="5.4637000000000002"/>
    <n v="21.035668863452418"/>
    <n v="22.610481586402258"/>
    <n v="2.048078304803667"/>
    <n v="47.38"/>
    <n v="0.94"/>
    <n v="5.8730000000000002"/>
    <n v="0.61699999999999999"/>
    <n v="0.59099999999999997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0"/>
    <n v="9"/>
    <n v="0"/>
    <n v="1"/>
    <n v="9"/>
    <n v="0"/>
    <n v="0"/>
    <n v="0"/>
    <n v="1"/>
  </r>
  <r>
    <n v="245"/>
    <x v="1"/>
    <x v="1"/>
    <x v="0"/>
    <x v="4"/>
    <x v="0"/>
    <n v="6.9699999999999989"/>
    <x v="2"/>
    <n v="6.7293000000000003"/>
    <n v="5.2988"/>
    <n v="21.257783127516984"/>
    <n v="23.977044476327105"/>
    <n v="2.0658943141725179"/>
    <n v="47.2"/>
    <n v="1.4750000000000001"/>
    <n v="9.2189999999999994"/>
    <n v="0.98299999999999998"/>
    <n v="0.98799999999999999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4"/>
    <n v="4"/>
    <n v="0"/>
    <n v="2"/>
    <n v="2"/>
    <n v="2"/>
    <n v="2"/>
    <n v="0"/>
    <n v="0"/>
    <n v="2"/>
    <n v="1"/>
  </r>
  <r>
    <n v="248"/>
    <x v="1"/>
    <x v="0"/>
    <x v="0"/>
    <x v="1"/>
    <x v="0"/>
    <n v="7.0799999999999992"/>
    <x v="2"/>
    <n v="6.7751000000000001"/>
    <n v="5.5092999999999996"/>
    <n v="18.683119068353239"/>
    <n v="22.185028248587564"/>
    <n v="2.0425958035816327"/>
    <n v="48.17"/>
    <n v="1.4770000000000001"/>
    <n v="9.2289999999999992"/>
    <n v="0.77900000000000003"/>
    <n v="0.681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5"/>
    <x v="1"/>
    <x v="0"/>
    <x v="0"/>
    <x v="4"/>
    <x v="0"/>
    <n v="6.9499999999999993"/>
    <x v="2"/>
    <n v="6.7332000000000001"/>
    <n v="5.2293000000000003"/>
    <n v="22.335590803778288"/>
    <n v="24.758273381294952"/>
    <n v="2.0762237028979631"/>
    <n v="46.96"/>
    <n v="1.5629999999999999"/>
    <n v="9.7680000000000007"/>
    <n v="0.68799999999999994"/>
    <n v="0.68500000000000005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0"/>
    <n v="3"/>
    <n v="1"/>
    <n v="2"/>
    <n v="4"/>
    <n v="0"/>
    <n v="0"/>
    <n v="0"/>
    <n v="1"/>
  </r>
  <r>
    <n v="261"/>
    <x v="1"/>
    <x v="0"/>
    <x v="0"/>
    <x v="0"/>
    <x v="0"/>
    <n v="6.97"/>
    <x v="2"/>
    <n v="6.5052000000000003"/>
    <n v="5.1692999999999998"/>
    <n v="20.535878989116409"/>
    <n v="25.835007173601149"/>
    <n v="2.0906374111654609"/>
    <n v="47.28"/>
    <n v="1.5629999999999999"/>
    <n v="9.7680000000000007"/>
    <n v="0.76800000000000002"/>
    <n v="0.82699999999999996"/>
    <n v="5"/>
    <n v="1"/>
    <n v="0"/>
    <n v="0"/>
    <n v="0"/>
    <n v="0"/>
    <n v="0"/>
    <n v="0"/>
    <n v="0"/>
    <n v="2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4"/>
    <n v="0"/>
    <n v="27"/>
    <n v="0"/>
    <n v="1"/>
    <n v="27"/>
    <n v="11"/>
    <n v="0"/>
    <n v="0"/>
    <n v="2"/>
  </r>
  <r>
    <n v="262"/>
    <x v="1"/>
    <x v="1"/>
    <x v="0"/>
    <x v="1"/>
    <x v="0"/>
    <n v="7.0299999999999994"/>
    <x v="2"/>
    <n v="8.5045000000000002"/>
    <n v="5.3700999999999999"/>
    <n v="36.85578223293551"/>
    <n v="23.611664295874817"/>
    <n v="2.0610996447293126"/>
    <n v="48.68"/>
    <n v="1.5309999999999999"/>
    <n v="9.5679999999999996"/>
    <n v="0.80700000000000005"/>
    <n v="0.754"/>
    <n v="3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1"/>
    <n v="5"/>
    <n v="0"/>
    <n v="8"/>
    <n v="3"/>
    <n v="2"/>
    <n v="9"/>
    <n v="0"/>
    <n v="1"/>
    <n v="1"/>
    <n v="1"/>
  </r>
  <r>
    <n v="279"/>
    <x v="1"/>
    <x v="1"/>
    <x v="0"/>
    <x v="0"/>
    <x v="0"/>
    <n v="6.9399999999999995"/>
    <x v="2"/>
    <n v="6.7671999999999999"/>
    <n v="5.2171000000000003"/>
    <n v="22.906076368365049"/>
    <n v="24.825648414985583"/>
    <n v="2.0771195517859433"/>
    <n v="48.64"/>
    <n v="1.36"/>
    <n v="8.5009999999999994"/>
    <n v="1.2629999999999999"/>
    <n v="1.4119999999999999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2"/>
    <n v="1"/>
    <n v="0"/>
    <n v="1"/>
    <n v="2"/>
  </r>
  <r>
    <n v="284"/>
    <x v="1"/>
    <x v="0"/>
    <x v="0"/>
    <x v="3"/>
    <x v="0"/>
    <n v="6.99"/>
    <x v="2"/>
    <n v="6.3775000000000004"/>
    <n v="5.1409000000000002"/>
    <n v="19.390043120344963"/>
    <n v="26.453505007153073"/>
    <n v="2.0990118640581743"/>
    <n v="47.98"/>
    <n v="1.304"/>
    <n v="8.1530000000000005"/>
    <n v="1.1890000000000001"/>
    <n v="1.1419999999999999"/>
    <n v="4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0"/>
    <n v="10"/>
    <n v="1"/>
    <n v="2"/>
    <n v="11"/>
    <n v="0"/>
    <n v="0"/>
    <n v="0"/>
    <n v="1"/>
  </r>
  <r>
    <n v="286"/>
    <x v="1"/>
    <x v="1"/>
    <x v="0"/>
    <x v="3"/>
    <x v="0"/>
    <n v="7.0100000000000007"/>
    <x v="2"/>
    <n v="6.2054"/>
    <n v="5.1162000000000001"/>
    <n v="17.55245431398459"/>
    <n v="27.015691868758925"/>
    <n v="2.1066851942806317"/>
    <n v="47.63"/>
    <n v="1.3859999999999999"/>
    <n v="8.6639999999999997"/>
    <n v="1.165"/>
    <n v="1.03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291"/>
    <x v="1"/>
    <x v="1"/>
    <x v="0"/>
    <x v="2"/>
    <x v="0"/>
    <n v="7.0200000000000005"/>
    <x v="2"/>
    <n v="8.3793000000000006"/>
    <n v="4.2907000000000002"/>
    <n v="48.794052009117713"/>
    <n v="38.878917378917386"/>
    <n v="2.284072797473482"/>
    <n v="44.9"/>
    <n v="1.621"/>
    <n v="10.132999999999999"/>
    <n v="0.77600000000000002"/>
    <n v="0.189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9"/>
    <n v="6"/>
    <n v="0"/>
    <n v="3"/>
    <n v="6"/>
    <n v="2"/>
    <n v="8"/>
    <n v="0"/>
    <n v="0"/>
    <n v="1"/>
    <n v="1"/>
  </r>
  <r>
    <n v="293"/>
    <x v="1"/>
    <x v="0"/>
    <x v="0"/>
    <x v="2"/>
    <x v="0"/>
    <n v="6.96"/>
    <x v="2"/>
    <n v="8.8411000000000008"/>
    <n v="5.1871"/>
    <n v="41.329698793136608"/>
    <n v="25.472701149425287"/>
    <n v="2.0857641694243094"/>
    <n v="47.43"/>
    <n v="1.4710000000000001"/>
    <n v="9.1940000000000008"/>
    <n v="1.3"/>
    <n v="0.92600000000000005"/>
    <n v="5"/>
    <n v="0"/>
    <n v="1"/>
    <n v="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18"/>
    <n v="10"/>
    <n v="0"/>
    <n v="9"/>
    <n v="9"/>
    <n v="2"/>
    <n v="10"/>
    <n v="0"/>
    <n v="0"/>
    <n v="5"/>
    <n v="1"/>
  </r>
  <r>
    <n v="367"/>
    <x v="1"/>
    <x v="1"/>
    <x v="1"/>
    <x v="4"/>
    <x v="0"/>
    <n v="7"/>
    <x v="2"/>
    <n v="6.5681000000000003"/>
    <n v="5.2135999999999996"/>
    <n v="20.622402216775029"/>
    <n v="25.520000000000003"/>
    <n v="2.0863990222473348"/>
    <n v="46.47"/>
    <n v="1.236"/>
    <n v="7.7240000000000002"/>
    <n v="0.48699999999999999"/>
    <n v="0.58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9"/>
    <x v="1"/>
    <x v="0"/>
    <x v="1"/>
    <x v="3"/>
    <x v="0"/>
    <n v="7"/>
    <x v="2"/>
    <n v="6.7603"/>
    <n v="5.3318000000000003"/>
    <n v="21.130719050929688"/>
    <n v="23.831428571428567"/>
    <n v="2.0639807260477445"/>
    <n v="47.26"/>
    <n v="0.83399999999999996"/>
    <n v="5.2119999999999997"/>
    <n v="0.54200000000000004"/>
    <n v="0.75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0"/>
    <n v="1"/>
    <n v="3"/>
    <n v="0"/>
    <n v="0"/>
    <n v="0"/>
    <n v="1"/>
  </r>
  <r>
    <n v="382"/>
    <x v="1"/>
    <x v="0"/>
    <x v="1"/>
    <x v="1"/>
    <x v="0"/>
    <n v="6.93"/>
    <x v="2"/>
    <n v="6.6277999999999997"/>
    <n v="5.1505999999999998"/>
    <n v="22.287938682519083"/>
    <n v="25.676767676767675"/>
    <n v="2.0885060696860167"/>
    <n v="47.49"/>
    <n v="1.306"/>
    <n v="8.1609999999999996"/>
    <n v="0.65100000000000002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0"/>
    <n v="0"/>
    <n v="9"/>
    <n v="1"/>
    <n v="0"/>
    <n v="0"/>
    <n v="0"/>
    <n v="0"/>
    <n v="0"/>
  </r>
  <r>
    <n v="383"/>
    <x v="1"/>
    <x v="1"/>
    <x v="1"/>
    <x v="0"/>
    <x v="0"/>
    <n v="6.94"/>
    <x v="2"/>
    <n v="7.0574000000000003"/>
    <n v="5.4131999999999998"/>
    <n v="23.297531668886563"/>
    <n v="22.000000000000007"/>
    <n v="2.0402208285265546"/>
    <n v="45.82"/>
    <n v="1.0640000000000001"/>
    <n v="6.6470000000000002"/>
    <n v="0.58299999999999996"/>
    <n v="0.93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9"/>
    <x v="1"/>
    <x v="0"/>
    <x v="1"/>
    <x v="2"/>
    <x v="0"/>
    <n v="7"/>
    <x v="2"/>
    <n v="6.8273999999999999"/>
    <n v="5.4301000000000004"/>
    <n v="20.466063215865475"/>
    <n v="22.427142857142851"/>
    <n v="2.0457120683008392"/>
    <n v="47.92"/>
    <n v="0.93400000000000005"/>
    <n v="5.8360000000000003"/>
    <n v="0.68500000000000005"/>
    <n v="0.87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0"/>
    <n v="3"/>
    <n v="1"/>
    <n v="2"/>
    <n v="3"/>
    <n v="0"/>
    <n v="0"/>
    <n v="1"/>
    <n v="1"/>
  </r>
  <r>
    <n v="399"/>
    <x v="1"/>
    <x v="1"/>
    <x v="1"/>
    <x v="3"/>
    <x v="0"/>
    <n v="7.05"/>
    <x v="2"/>
    <n v="6.5617000000000001"/>
    <n v="5.4025999999999996"/>
    <n v="17.664629592940862"/>
    <n v="23.367375886524826"/>
    <n v="2.0579067668755378"/>
    <n v="47.3"/>
    <n v="1.0149999999999999"/>
    <n v="6.3419999999999996"/>
    <n v="0.438"/>
    <n v="0.66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1"/>
    <x v="1"/>
    <x v="1"/>
    <x v="1"/>
    <x v="1"/>
    <x v="0"/>
    <n v="6.99"/>
    <x v="2"/>
    <n v="7.242"/>
    <n v="5.4127999999999998"/>
    <n v="25.258215962441316"/>
    <n v="22.563662374821178"/>
    <n v="2.0474735064294669"/>
    <n v="48.38"/>
    <n v="1.1120000000000001"/>
    <n v="6.9480000000000004"/>
    <n v="0.128"/>
    <n v="0.61399999999999999"/>
    <n v="2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3"/>
    <n v="0"/>
    <n v="11"/>
    <n v="10"/>
    <n v="2"/>
    <n v="11"/>
    <n v="0"/>
    <n v="0"/>
    <n v="0"/>
    <n v="1"/>
  </r>
  <r>
    <n v="402"/>
    <x v="1"/>
    <x v="0"/>
    <x v="1"/>
    <x v="4"/>
    <x v="0"/>
    <n v="6.99"/>
    <x v="2"/>
    <n v="6.5936000000000003"/>
    <n v="5.4029999999999996"/>
    <n v="18.056903664159197"/>
    <n v="22.703862660944214"/>
    <n v="2.0492856706118454"/>
    <n v="45.71"/>
    <n v="0.89700000000000002"/>
    <n v="5.6070000000000002"/>
    <n v="0.63"/>
    <n v="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0"/>
    <n v="1"/>
    <n v="0"/>
  </r>
  <r>
    <n v="407"/>
    <x v="1"/>
    <x v="0"/>
    <x v="1"/>
    <x v="0"/>
    <x v="0"/>
    <n v="6.99"/>
    <x v="2"/>
    <n v="6.8452999999999999"/>
    <n v="4.9939"/>
    <n v="27.046294537858088"/>
    <n v="28.556509298998574"/>
    <n v="2.1280228578455103"/>
    <n v="47.48"/>
    <n v="1.04"/>
    <n v="6.5"/>
    <n v="0.503"/>
    <n v="0.63900000000000001"/>
    <n v="2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n v="416"/>
    <x v="1"/>
    <x v="1"/>
    <x v="1"/>
    <x v="2"/>
    <x v="0"/>
    <n v="6.94"/>
    <x v="2"/>
    <n v="8.6503999999999994"/>
    <n v="5.1176000000000004"/>
    <n v="40.839729954684167"/>
    <n v="26.259365994236312"/>
    <n v="2.0963756645929772"/>
    <n v="37.229999999999997"/>
    <n v="1.123"/>
    <n v="7.0190000000000001"/>
    <n v="0.42"/>
    <n v="0.49199999999999999"/>
    <n v="0"/>
    <n v="0"/>
    <n v="0"/>
    <n v="0"/>
    <n v="0"/>
    <n v="0"/>
    <n v="0"/>
    <n v="0"/>
    <n v="2"/>
    <n v="0"/>
    <n v="0"/>
    <n v="0"/>
    <n v="0"/>
    <n v="0"/>
    <n v="0"/>
    <n v="1"/>
    <n v="1"/>
    <n v="1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0"/>
    <n v="19"/>
    <n v="1"/>
    <n v="2"/>
    <n v="20"/>
    <n v="2"/>
    <n v="0"/>
    <n v="0"/>
    <n v="2"/>
  </r>
  <r>
    <n v="481"/>
    <x v="2"/>
    <x v="0"/>
    <x v="0"/>
    <x v="1"/>
    <x v="0"/>
    <n v="7.08"/>
    <x v="2"/>
    <n v="6.5849000000000002"/>
    <n v="5.2034000000000002"/>
    <n v="79.020182538838853"/>
    <n v="26.505649717514125"/>
    <n v="2.0997211188567215"/>
    <n v="47.87"/>
    <n v="1.1870000000000001"/>
    <n v="7.4219999999999997"/>
    <n v="1.5549999999999999"/>
    <n v="1"/>
    <n v="1"/>
    <n v="0"/>
    <n v="0"/>
    <n v="0"/>
    <n v="0"/>
    <n v="1"/>
    <n v="1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1"/>
    <n v="6"/>
    <n v="0"/>
    <n v="9"/>
    <n v="2"/>
    <n v="2"/>
    <n v="9"/>
    <n v="0"/>
    <n v="0"/>
    <n v="2"/>
    <n v="1"/>
  </r>
  <r>
    <n v="486"/>
    <x v="2"/>
    <x v="0"/>
    <x v="0"/>
    <x v="3"/>
    <x v="0"/>
    <n v="6.93"/>
    <x v="2"/>
    <n v="6.7054999999999998"/>
    <n v="5.2716000000000003"/>
    <n v="78.616061442099777"/>
    <n v="23.930735930735924"/>
    <n v="2.0652853606422696"/>
    <n v="47.76"/>
    <n v="1.0269999999999999"/>
    <n v="6.42"/>
    <n v="1.96"/>
    <n v="1.3159999999999998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4"/>
    <n v="0"/>
    <n v="3"/>
    <n v="13"/>
    <n v="2"/>
    <n v="5"/>
    <n v="0"/>
    <n v="0"/>
    <n v="0"/>
    <n v="1"/>
  </r>
  <r>
    <n v="499"/>
    <x v="2"/>
    <x v="1"/>
    <x v="0"/>
    <x v="3"/>
    <x v="0"/>
    <n v="7.03"/>
    <x v="2"/>
    <n v="7.0556000000000001"/>
    <n v="5.2076000000000002"/>
    <n v="73.808039004478715"/>
    <n v="25.923186344238974"/>
    <n v="2.0918270780095236"/>
    <n v="46.83"/>
    <n v="1.218"/>
    <n v="7.6120000000000001"/>
    <n v="1.35"/>
    <n v="0.93700000000000006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505"/>
    <x v="2"/>
    <x v="0"/>
    <x v="0"/>
    <x v="2"/>
    <x v="0"/>
    <n v="6.94"/>
    <x v="2"/>
    <n v="6.3943000000000003"/>
    <n v="5.0671999999999997"/>
    <n v="79.245578092989049"/>
    <n v="26.98559077809799"/>
    <n v="2.1062728469445298"/>
    <n v="48.29"/>
    <n v="1.012"/>
    <n v="6.3250000000000002"/>
    <n v="0.999"/>
    <n v="0.703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2"/>
    <n v="1"/>
    <n v="1"/>
    <n v="0"/>
    <n v="0"/>
    <n v="0"/>
    <n v="1"/>
  </r>
  <r>
    <n v="515"/>
    <x v="2"/>
    <x v="0"/>
    <x v="0"/>
    <x v="1"/>
    <x v="0"/>
    <n v="7.06"/>
    <x v="2"/>
    <n v="6.8550000000000004"/>
    <n v="5.2728999999999999"/>
    <n v="76.920495988329691"/>
    <n v="25.313031161473088"/>
    <n v="2.0836240249010189"/>
    <n v="48.62"/>
    <n v="0.89700000000000002"/>
    <n v="5.6079999999999997"/>
    <n v="1.661"/>
    <n v="1.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5"/>
    <x v="2"/>
    <x v="1"/>
    <x v="0"/>
    <x v="0"/>
    <x v="0"/>
    <n v="6.99"/>
    <x v="2"/>
    <n v="6.7930000000000001"/>
    <n v="5.3324999999999996"/>
    <n v="78.499926394818189"/>
    <n v="23.712446351931337"/>
    <n v="2.0624198541104053"/>
    <n v="47.33"/>
    <n v="0.93899999999999995"/>
    <n v="5.8710000000000004"/>
    <n v="2.3639999999999999"/>
    <n v="2.0950000000000002"/>
    <n v="11"/>
    <n v="0"/>
    <n v="0"/>
    <n v="0"/>
    <n v="26"/>
    <n v="0"/>
    <n v="0"/>
    <n v="0"/>
    <n v="0"/>
    <n v="30"/>
    <n v="0"/>
    <n v="0"/>
    <n v="0"/>
    <n v="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"/>
    <n v="5"/>
    <n v="0"/>
    <n v="74"/>
    <n v="0"/>
    <n v="1"/>
    <n v="74"/>
    <n v="0"/>
    <n v="0"/>
    <n v="0"/>
    <n v="1"/>
  </r>
  <r>
    <n v="527"/>
    <x v="2"/>
    <x v="0"/>
    <x v="0"/>
    <x v="0"/>
    <x v="0"/>
    <n v="7.03"/>
    <x v="2"/>
    <n v="6.6094999999999997"/>
    <n v="5.4108000000000001"/>
    <n v="81.863983659883516"/>
    <n v="23.032716927453773"/>
    <n v="2.0535492188177269"/>
    <n v="48.28"/>
    <n v="1.044"/>
    <n v="6.5250000000000004"/>
    <n v="1.4690000000000001"/>
    <n v="1.5589999999999999"/>
    <n v="0"/>
    <n v="2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4"/>
    <n v="0"/>
    <n v="6"/>
    <n v="1"/>
    <n v="2"/>
    <n v="7"/>
    <n v="0"/>
    <n v="0"/>
    <n v="0"/>
    <n v="1"/>
  </r>
  <r>
    <n v="537"/>
    <x v="2"/>
    <x v="1"/>
    <x v="0"/>
    <x v="4"/>
    <x v="0"/>
    <n v="6.98"/>
    <x v="2"/>
    <n v="7.1326999999999998"/>
    <n v="5.4664999999999999"/>
    <n v="76.639982054481465"/>
    <n v="21.683381088825222"/>
    <n v="2.0361698281099336"/>
    <n v="48.69"/>
    <n v="1.0189999999999999"/>
    <n v="6.3710000000000004"/>
    <n v="1.911"/>
    <n v="1.556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3"/>
    <n v="1"/>
    <n v="3"/>
    <n v="0"/>
    <n v="0"/>
    <n v="0"/>
    <n v="1"/>
  </r>
  <r>
    <n v="540"/>
    <x v="2"/>
    <x v="0"/>
    <x v="0"/>
    <x v="4"/>
    <x v="0"/>
    <n v="6.96"/>
    <x v="2"/>
    <n v="6.5110000000000001"/>
    <n v="5.3838999999999997"/>
    <n v="82.689295039164492"/>
    <n v="22.645114942528739"/>
    <n v="2.04852592495571"/>
    <n v="47.5"/>
    <n v="1.216"/>
    <n v="7.601"/>
    <n v="1.732"/>
    <n v="1.641999999999999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4"/>
    <n v="0"/>
    <n v="1"/>
    <n v="4"/>
    <n v="0"/>
    <n v="0"/>
    <n v="0"/>
    <n v="1"/>
  </r>
  <r>
    <n v="610"/>
    <x v="2"/>
    <x v="1"/>
    <x v="1"/>
    <x v="2"/>
    <x v="0"/>
    <n v="7.06"/>
    <x v="2"/>
    <n v="5.9260000000000002"/>
    <n v="3.9558"/>
    <n v="66.753290583867695"/>
    <n v="43.96883852691218"/>
    <n v="2.3710216643680337"/>
    <n v="49.47"/>
    <n v="2.6160000000000001"/>
    <n v="16.352"/>
    <n v="0.39"/>
    <n v="7.2999999999999995E-2"/>
    <n v="6"/>
    <n v="1"/>
    <n v="0"/>
    <n v="0"/>
    <n v="0"/>
    <n v="0"/>
    <n v="0"/>
    <n v="0"/>
    <n v="5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38"/>
    <n v="6"/>
    <n v="0"/>
    <n v="35"/>
    <n v="3"/>
    <n v="2"/>
    <n v="38"/>
    <n v="0"/>
    <n v="0"/>
    <n v="0"/>
    <n v="1"/>
  </r>
  <r>
    <n v="612"/>
    <x v="2"/>
    <x v="1"/>
    <x v="1"/>
    <x v="2"/>
    <x v="0"/>
    <n v="7.04"/>
    <x v="2"/>
    <n v="6.8170999999999999"/>
    <n v="5.1193"/>
    <n v="75.094981737102287"/>
    <n v="27.282670454545453"/>
    <n v="2.1103499284434499"/>
    <n v="48.18"/>
    <n v="1.2370000000000001"/>
    <n v="7.7329999999999997"/>
    <n v="0.76200000000000001"/>
    <n v="0.75800000000000001"/>
    <n v="5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0"/>
    <n v="9"/>
    <n v="0"/>
    <n v="1"/>
    <n v="9"/>
    <n v="0"/>
    <n v="0"/>
    <n v="0"/>
    <n v="1"/>
  </r>
  <r>
    <n v="617"/>
    <x v="2"/>
    <x v="0"/>
    <x v="1"/>
    <x v="2"/>
    <x v="0"/>
    <n v="7.08"/>
    <x v="2"/>
    <n v="6.1618000000000004"/>
    <n v="4.9916"/>
    <n v="81.008796131000679"/>
    <n v="29.497175141242938"/>
    <n v="2.1412768772821211"/>
    <n v="47.14"/>
    <n v="1.0960000000000001"/>
    <n v="6.8529999999999998"/>
    <n v="0.79700000000000004"/>
    <n v="0.80900000000000005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632"/>
    <x v="2"/>
    <x v="1"/>
    <x v="1"/>
    <x v="4"/>
    <x v="0"/>
    <n v="6.94"/>
    <x v="2"/>
    <n v="5.9766000000000004"/>
    <n v="4.84"/>
    <n v="80.982498410467485"/>
    <n v="30.259365994236315"/>
    <n v="2.152146523018228"/>
    <n v="47.8"/>
    <n v="1.3149999999999999"/>
    <n v="8.2159999999999993"/>
    <n v="0.70199999999999996"/>
    <n v="0.958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636"/>
    <x v="2"/>
    <x v="0"/>
    <x v="1"/>
    <x v="4"/>
    <x v="0"/>
    <n v="6.94"/>
    <x v="2"/>
    <n v="6.1247999999999996"/>
    <n v="4.9508000000000001"/>
    <n v="80.832027168234063"/>
    <n v="28.662824207492797"/>
    <n v="2.1295120640630381"/>
    <n v="47.51"/>
    <n v="1.498"/>
    <n v="9.3640000000000008"/>
    <n v="0.68400000000000005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3"/>
    <n v="1"/>
    <n v="3"/>
    <n v="0"/>
    <n v="0"/>
    <n v="0"/>
    <n v="1"/>
  </r>
  <r>
    <n v="638"/>
    <x v="2"/>
    <x v="0"/>
    <x v="1"/>
    <x v="0"/>
    <x v="0"/>
    <n v="6.99"/>
    <x v="2"/>
    <n v="6.2432999999999996"/>
    <n v="4.7854999999999999"/>
    <n v="76.650168981147786"/>
    <n v="31.537911301859804"/>
    <n v="2.1706495128199497"/>
    <n v="46.95"/>
    <n v="1.764"/>
    <n v="11.026"/>
    <n v="0.56100000000000005"/>
    <n v="0.437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0"/>
    <x v="2"/>
    <x v="1"/>
    <x v="1"/>
    <x v="0"/>
    <x v="0"/>
    <n v="6.92"/>
    <x v="2"/>
    <n v="6.6172000000000004"/>
    <n v="4.5377999999999998"/>
    <n v="68.575832678474271"/>
    <n v="34.424855491329481"/>
    <n v="2.2137329257497314"/>
    <n v="46.9"/>
    <n v="1.9910000000000001"/>
    <n v="12.444000000000001"/>
    <n v="0.624"/>
    <n v="0.41499999999999998"/>
    <n v="0"/>
    <n v="0"/>
    <n v="0"/>
    <n v="0"/>
    <n v="19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29"/>
    <n v="6"/>
    <n v="0"/>
    <n v="26"/>
    <n v="3"/>
    <n v="2"/>
    <n v="26"/>
    <n v="0"/>
    <n v="1"/>
    <n v="2"/>
    <n v="1"/>
  </r>
  <r>
    <n v="653"/>
    <x v="2"/>
    <x v="0"/>
    <x v="1"/>
    <x v="3"/>
    <x v="0"/>
    <n v="6.96"/>
    <x v="2"/>
    <n v="6.3874000000000004"/>
    <n v="5.1336000000000004"/>
    <n v="80.3707298744403"/>
    <n v="26.241379310344819"/>
    <n v="2.096131776120215"/>
    <n v="47.73"/>
    <n v="0.96799999999999997"/>
    <n v="6.0529999999999999"/>
    <n v="0.755"/>
    <n v="1.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  <n v="3"/>
    <n v="0"/>
    <n v="0"/>
    <n v="3"/>
    <n v="1"/>
    <n v="2"/>
    <n v="0"/>
    <n v="0"/>
    <n v="1"/>
    <n v="1"/>
  </r>
  <r>
    <n v="656"/>
    <x v="2"/>
    <x v="1"/>
    <x v="1"/>
    <x v="3"/>
    <x v="0"/>
    <n v="7.09"/>
    <x v="2"/>
    <n v="6.9672000000000001"/>
    <n v="5.6102999999999996"/>
    <n v="80.524457457802271"/>
    <n v="20.870239774330045"/>
    <n v="2.0258406157314441"/>
    <n v="43.66"/>
    <n v="0.83899999999999997"/>
    <n v="5.242"/>
    <n v="0.53100000000000003"/>
    <n v="0.80400000000000005"/>
    <n v="6"/>
    <n v="0"/>
    <n v="0"/>
    <n v="0"/>
    <n v="0"/>
    <n v="0"/>
    <n v="1"/>
    <n v="0"/>
    <n v="0"/>
    <n v="3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5"/>
    <n v="0"/>
    <n v="40"/>
    <n v="2"/>
    <n v="2"/>
    <n v="40"/>
    <n v="0"/>
    <n v="0"/>
    <n v="0"/>
    <n v="1"/>
  </r>
  <r>
    <n v="658"/>
    <x v="2"/>
    <x v="1"/>
    <x v="1"/>
    <x v="1"/>
    <x v="0"/>
    <n v="6.94"/>
    <x v="2"/>
    <n v="6.2596999999999996"/>
    <n v="4.9962999999999997"/>
    <n v="79.816924133744422"/>
    <n v="28.007204610951014"/>
    <n v="2.1203636052478174"/>
    <n v="47.63"/>
    <n v="1.0369999999999999"/>
    <n v="6.4779999999999998"/>
    <n v="0.64700000000000002"/>
    <n v="0.820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s v="?"/>
    <x v="0"/>
    <x v="1"/>
    <x v="0"/>
    <x v="0"/>
    <x v="0"/>
    <n v="7"/>
    <x v="2"/>
    <n v="6.7169999999999996"/>
    <n v="5.3750999999999998"/>
    <n v="19.977668602054489"/>
    <n v="23.212857142857146"/>
    <n v="2.0558924397915437"/>
    <n v="46.37"/>
    <n v="1.169"/>
    <n v="7.3040000000000003"/>
    <n v="1.4470000000000001"/>
    <n v="1.08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0"/>
    <n v="0"/>
    <n v="0"/>
    <n v="1"/>
    <n v="0"/>
  </r>
  <r>
    <n v="11"/>
    <x v="0"/>
    <x v="0"/>
    <x v="0"/>
    <x v="0"/>
    <x v="0"/>
    <n v="7.07"/>
    <x v="3"/>
    <n v="13.567399999999999"/>
    <n v="3.5796999999999999"/>
    <n v="73.615431106918066"/>
    <n v="49.367751060820368"/>
    <n v="3.1654881316778769"/>
    <n v="47.02"/>
    <n v="1.548"/>
    <n v="9.6739999999999995"/>
    <n v="0.73"/>
    <n v="0.45086999999999999"/>
    <n v="2"/>
    <n v="2"/>
    <n v="0"/>
    <n v="0"/>
    <n v="0"/>
    <n v="0"/>
    <n v="0"/>
    <n v="1"/>
    <n v="0"/>
    <n v="0"/>
    <n v="0"/>
    <n v="0"/>
    <n v="0"/>
    <n v="0"/>
    <n v="6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"/>
    <n v="0"/>
    <n v="13"/>
    <n v="0"/>
    <n v="1"/>
    <n v="13"/>
    <n v="0"/>
    <n v="0"/>
    <n v="0"/>
    <n v="1"/>
  </r>
  <r>
    <n v="18"/>
    <x v="0"/>
    <x v="1"/>
    <x v="0"/>
    <x v="3"/>
    <x v="0"/>
    <n v="7"/>
    <x v="3"/>
    <n v="19.3688"/>
    <n v="3.8382000000000001"/>
    <n v="80.183594234025861"/>
    <n v="45.168571428571433"/>
    <n v="3.0858132921413035"/>
    <n v="47.66"/>
    <n v="1.655"/>
    <n v="10.342000000000001"/>
    <n v="0.71499999999999997"/>
    <n v="0.67800000000000005"/>
    <n v="0"/>
    <n v="0"/>
    <n v="0"/>
    <n v="0"/>
    <n v="0"/>
    <n v="0"/>
    <n v="0"/>
    <n v="0"/>
    <n v="0"/>
    <n v="2"/>
    <n v="0"/>
    <n v="1"/>
    <n v="0"/>
    <n v="0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0"/>
    <n v="7"/>
    <n v="0"/>
    <n v="1"/>
    <n v="6"/>
    <n v="0"/>
    <n v="0"/>
    <n v="1"/>
    <n v="1"/>
  </r>
  <r>
    <n v="24"/>
    <x v="0"/>
    <x v="1"/>
    <x v="0"/>
    <x v="2"/>
    <x v="0"/>
    <n v="7.0499999999999989"/>
    <x v="3"/>
    <n v="15.951599999999999"/>
    <n v="2.6318000000000001"/>
    <n v="83.501341558213596"/>
    <n v="62.669503546099278"/>
    <n v="3.4702662438782741"/>
    <n v="44.89"/>
    <n v="1.484"/>
    <n v="9.2750000000000004"/>
    <n v="0.35799999999999998"/>
    <n v="2.5869999999999997E-2"/>
    <n v="2"/>
    <n v="0"/>
    <n v="0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4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"/>
    <n v="3"/>
    <n v="10"/>
    <n v="0"/>
    <n v="2"/>
    <n v="13"/>
    <n v="0"/>
    <n v="0"/>
    <n v="0"/>
    <n v="1"/>
  </r>
  <r>
    <n v="29"/>
    <x v="0"/>
    <x v="0"/>
    <x v="0"/>
    <x v="3"/>
    <x v="0"/>
    <n v="6.84"/>
    <x v="3"/>
    <n v="13.091100000000001"/>
    <n v="3.4125000000000001"/>
    <n v="73.932671815202696"/>
    <n v="50.109649122807021"/>
    <n v="3.1802492209113811"/>
    <n v="46.53"/>
    <n v="1.6339999999999999"/>
    <n v="10.211"/>
    <n v="0.69899999999999995"/>
    <n v="0.26186999999999999"/>
    <n v="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6"/>
    <n v="0"/>
    <n v="1"/>
    <n v="6"/>
    <n v="0"/>
    <n v="0"/>
    <n v="0"/>
    <n v="1"/>
  </r>
  <r>
    <n v="31"/>
    <x v="0"/>
    <x v="0"/>
    <x v="0"/>
    <x v="1"/>
    <x v="0"/>
    <n v="7.05"/>
    <x v="3"/>
    <n v="17.513200000000001"/>
    <n v="3.3472"/>
    <n v="80.88755909828015"/>
    <n v="52.521985815602832"/>
    <n v="3.2298100911637655"/>
    <n v="46.32"/>
    <n v="1.7509999999999999"/>
    <n v="10.941000000000001"/>
    <n v="0.46400000000000002"/>
    <n v="0.38200000000000001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"/>
    <n v="0"/>
    <n v="16"/>
    <n v="0"/>
    <n v="1"/>
    <n v="16"/>
    <n v="0"/>
    <n v="0"/>
    <n v="0"/>
    <n v="1"/>
  </r>
  <r>
    <n v="45"/>
    <x v="0"/>
    <x v="1"/>
    <x v="0"/>
    <x v="4"/>
    <x v="0"/>
    <n v="7.12"/>
    <x v="3"/>
    <n v="23.743300000000001"/>
    <n v="1.5018"/>
    <n v="93.67484722005787"/>
    <n v="78.907303370786522"/>
    <n v="4.0411499865282385"/>
    <n v="36.51"/>
    <n v="1.5880000000000001"/>
    <n v="9.9280000000000008"/>
    <n v="0.46700000000000003"/>
    <n v="0.341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9"/>
    <x v="0"/>
    <x v="0"/>
    <x v="0"/>
    <x v="4"/>
    <x v="0"/>
    <n v="6.97"/>
    <x v="3"/>
    <n v="17.6935"/>
    <n v="2.2808999999999999"/>
    <n v="87.108825274818443"/>
    <n v="67.275466284074597"/>
    <n v="3.6019517726400694"/>
    <n v="46.75"/>
    <n v="1.694"/>
    <n v="10.586"/>
    <n v="0.316"/>
    <n v="3.8870000000000002E-2"/>
    <n v="1"/>
    <n v="0"/>
    <n v="0"/>
    <n v="1"/>
    <n v="4"/>
    <n v="1"/>
    <n v="0"/>
    <n v="0"/>
    <n v="0"/>
    <n v="4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7"/>
    <n v="0"/>
    <n v="17"/>
    <n v="0"/>
    <n v="1"/>
    <n v="17"/>
    <n v="0"/>
    <n v="0"/>
    <n v="0"/>
    <n v="1"/>
  </r>
  <r>
    <n v="60"/>
    <x v="0"/>
    <x v="0"/>
    <x v="0"/>
    <x v="2"/>
    <x v="0"/>
    <n v="6.97"/>
    <x v="3"/>
    <n v="19.230599999999999"/>
    <n v="3.5104000000000002"/>
    <n v="81.745759362682392"/>
    <n v="49.63558106169296"/>
    <n v="3.1707918834616589"/>
    <n v="46.1"/>
    <n v="1.5329999999999999"/>
    <n v="9.5809999999999995"/>
    <n v="0.58699999999999997"/>
    <n v="0.25900000000000001"/>
    <n v="7"/>
    <n v="3"/>
    <n v="0"/>
    <n v="0"/>
    <n v="0"/>
    <n v="1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5"/>
    <n v="6"/>
    <n v="38"/>
    <n v="0"/>
    <n v="2"/>
    <n v="44"/>
    <n v="0"/>
    <n v="0"/>
    <n v="0"/>
    <n v="1"/>
  </r>
  <r>
    <n v="123"/>
    <x v="0"/>
    <x v="1"/>
    <x v="1"/>
    <x v="1"/>
    <x v="0"/>
    <n v="7.08"/>
    <x v="3"/>
    <n v="16.367599999999999"/>
    <n v="3.4882"/>
    <n v="78.688384369119476"/>
    <n v="50.731638418079093"/>
    <n v="3.1927947136411978"/>
    <n v="46.41"/>
    <n v="1.514"/>
    <n v="9.4619999999999997"/>
    <n v="0.39300000000000002"/>
    <n v="0.29100000000000004"/>
    <n v="0"/>
    <n v="2"/>
    <n v="0"/>
    <n v="1"/>
    <n v="0"/>
    <n v="0"/>
    <n v="1"/>
    <n v="0"/>
    <n v="2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1"/>
    <n v="6"/>
    <n v="0"/>
    <n v="20"/>
    <n v="1"/>
    <n v="2"/>
    <n v="20"/>
    <n v="0"/>
    <n v="0"/>
    <n v="1"/>
    <n v="1"/>
  </r>
  <r>
    <n v="124"/>
    <x v="0"/>
    <x v="0"/>
    <x v="1"/>
    <x v="1"/>
    <x v="0"/>
    <n v="7.01"/>
    <x v="3"/>
    <n v="16.9072"/>
    <n v="3.6884000000000001"/>
    <n v="78.184442131163053"/>
    <n v="47.383737517831662"/>
    <n v="3.1270515911516497"/>
    <n v="49"/>
    <n v="1.395"/>
    <n v="8.7210000000000001"/>
    <n v="0.377"/>
    <n v="0.36099999999999999"/>
    <n v="5"/>
    <n v="1"/>
    <n v="0"/>
    <n v="1"/>
    <n v="0"/>
    <n v="0"/>
    <n v="0"/>
    <n v="0"/>
    <n v="0"/>
    <n v="1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5"/>
    <n v="0"/>
    <n v="28"/>
    <n v="0"/>
    <n v="1"/>
    <n v="28"/>
    <n v="0"/>
    <n v="0"/>
    <n v="0"/>
    <n v="1"/>
  </r>
  <r>
    <n v="130"/>
    <x v="0"/>
    <x v="1"/>
    <x v="1"/>
    <x v="4"/>
    <x v="0"/>
    <n v="7.01"/>
    <x v="3"/>
    <n v="9.8849"/>
    <n v="1.2487999999999999"/>
    <n v="87.366589444506275"/>
    <n v="82.185449358059913"/>
    <n v="4.2100612606154142"/>
    <n v="40.81"/>
    <n v="1.774"/>
    <n v="11.087"/>
    <n v="0.39200000000000002"/>
    <n v="0.8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133"/>
    <x v="0"/>
    <x v="0"/>
    <x v="1"/>
    <x v="4"/>
    <x v="0"/>
    <n v="7.06"/>
    <x v="3"/>
    <n v="22.1922"/>
    <n v="3.6634000000000002"/>
    <n v="83.492398230008746"/>
    <n v="48.110481586402258"/>
    <n v="3.1409600233491717"/>
    <n v="48.78"/>
    <n v="0.86799999999999999"/>
    <n v="5.4279999999999999"/>
    <n v="0.39700000000000002"/>
    <n v="5.1869999999999999E-2"/>
    <n v="2"/>
    <n v="1"/>
    <n v="0"/>
    <n v="0"/>
    <n v="0"/>
    <n v="1"/>
    <n v="0"/>
    <n v="0"/>
    <n v="0"/>
    <n v="1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0"/>
    <n v="20"/>
    <n v="0"/>
    <n v="1"/>
    <n v="20"/>
    <n v="0"/>
    <n v="0"/>
    <n v="0"/>
    <n v="1"/>
  </r>
  <r>
    <n v="143"/>
    <x v="0"/>
    <x v="1"/>
    <x v="1"/>
    <x v="0"/>
    <x v="0"/>
    <n v="6.98"/>
    <x v="3"/>
    <n v="16.150500000000001"/>
    <n v="3.3746999999999998"/>
    <n v="79.104671681991263"/>
    <n v="51.651862464183381"/>
    <n v="3.2116491350775287"/>
    <n v="44.68"/>
    <n v="1.548"/>
    <n v="9.6750000000000007"/>
    <n v="0.33600000000000002"/>
    <n v="0.30199999999999999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1"/>
    <n v="4"/>
    <n v="0"/>
    <n v="2"/>
    <n v="5"/>
    <n v="0"/>
    <n v="0"/>
    <n v="0"/>
    <n v="1"/>
  </r>
  <r>
    <n v="153"/>
    <x v="0"/>
    <x v="0"/>
    <x v="1"/>
    <x v="3"/>
    <x v="0"/>
    <n v="6.98"/>
    <x v="3"/>
    <n v="18.575199999999999"/>
    <n v="3.7075"/>
    <n v="80.040591756750928"/>
    <n v="46.883954154727796"/>
    <n v="3.1175977715323313"/>
    <n v="45.72"/>
    <n v="1.6060000000000001"/>
    <n v="10.038"/>
    <n v="0.35699999999999998"/>
    <n v="0.36399999999999999"/>
    <n v="2"/>
    <n v="1"/>
    <n v="0"/>
    <n v="0"/>
    <n v="0"/>
    <n v="1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6"/>
    <n v="5"/>
    <n v="28"/>
    <n v="0"/>
    <n v="2"/>
    <n v="33"/>
    <n v="0"/>
    <n v="0"/>
    <n v="0"/>
    <n v="1"/>
  </r>
  <r>
    <n v="166"/>
    <x v="0"/>
    <x v="0"/>
    <x v="1"/>
    <x v="2"/>
    <x v="0"/>
    <n v="6.97"/>
    <x v="3"/>
    <n v="17.677900000000001"/>
    <n v="3.6364999999999998"/>
    <n v="79.429117711945423"/>
    <n v="47.826398852223818"/>
    <n v="3.1355001939479745"/>
    <n v="44.39"/>
    <n v="1.3879999999999999"/>
    <n v="8.673"/>
    <n v="0.317"/>
    <n v="0.29186999999999996"/>
    <n v="6"/>
    <n v="1"/>
    <n v="0"/>
    <n v="0"/>
    <n v="0"/>
    <n v="1"/>
    <n v="0"/>
    <n v="0"/>
    <n v="0"/>
    <n v="2"/>
    <n v="0"/>
    <n v="0"/>
    <n v="0"/>
    <n v="0"/>
    <n v="19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6"/>
    <n v="7"/>
    <n v="29"/>
    <n v="0"/>
    <n v="2"/>
    <n v="36"/>
    <n v="0"/>
    <n v="0"/>
    <n v="0"/>
    <n v="1"/>
  </r>
  <r>
    <n v="168"/>
    <x v="0"/>
    <x v="1"/>
    <x v="1"/>
    <x v="2"/>
    <x v="0"/>
    <n v="7"/>
    <x v="3"/>
    <n v="17.553999999999998"/>
    <n v="2.9552"/>
    <n v="83.165090577646112"/>
    <n v="57.782857142857146"/>
    <n v="3.3472504683804751"/>
    <n v="45.85"/>
    <n v="1.288"/>
    <n v="8.048"/>
    <n v="0.36799999999999999"/>
    <n v="0.38"/>
    <n v="3"/>
    <n v="1"/>
    <n v="0"/>
    <n v="1"/>
    <n v="0"/>
    <n v="0"/>
    <n v="0"/>
    <n v="0"/>
    <n v="2"/>
    <n v="0"/>
    <n v="0"/>
    <n v="0"/>
    <n v="0"/>
    <n v="0"/>
    <n v="3"/>
    <n v="1"/>
    <n v="0"/>
    <n v="3"/>
    <n v="0"/>
    <n v="0"/>
    <n v="0"/>
    <n v="0"/>
    <n v="0"/>
    <n v="0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9"/>
    <n v="10"/>
    <n v="15"/>
    <n v="0"/>
    <n v="2"/>
    <n v="25"/>
    <n v="0"/>
    <n v="0"/>
    <n v="0"/>
    <n v="1"/>
  </r>
  <r>
    <n v="176"/>
    <x v="0"/>
    <x v="0"/>
    <x v="1"/>
    <x v="0"/>
    <x v="0"/>
    <n v="6.94"/>
    <x v="3"/>
    <n v="12.4863"/>
    <n v="3.8689"/>
    <n v="69.01484026493037"/>
    <n v="44.252161383285305"/>
    <n v="3.0692381953943197"/>
    <n v="45.45"/>
    <n v="1.5489999999999999"/>
    <n v="9.6790000000000003"/>
    <n v="0.52"/>
    <n v="0.35599999999999998"/>
    <n v="2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3"/>
    <n v="4"/>
    <n v="12"/>
    <n v="0"/>
    <n v="2"/>
    <n v="16"/>
    <n v="0"/>
    <n v="0"/>
    <n v="0"/>
    <n v="1"/>
  </r>
  <r>
    <n v="177"/>
    <x v="0"/>
    <x v="1"/>
    <x v="1"/>
    <x v="3"/>
    <x v="0"/>
    <n v="6.97"/>
    <x v="3"/>
    <n v="19.336400000000001"/>
    <n v="3.7934999999999999"/>
    <n v="80.381560166318451"/>
    <n v="45.573888091822099"/>
    <n v="3.0932327987644403"/>
    <n v="45.5"/>
    <n v="2.032"/>
    <n v="12.7"/>
    <n v="0.37"/>
    <n v="0.16400000000000001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0"/>
    <n v="9"/>
    <n v="2"/>
    <n v="2"/>
    <n v="12"/>
    <n v="0"/>
    <n v="0"/>
    <n v="0"/>
    <n v="1"/>
  </r>
  <r>
    <n v="247"/>
    <x v="1"/>
    <x v="0"/>
    <x v="0"/>
    <x v="0"/>
    <x v="0"/>
    <n v="7.120000000000001"/>
    <x v="3"/>
    <n v="26.378599999999999"/>
    <n v="3.8003"/>
    <n v="85.593246040350891"/>
    <n v="46.625000000000007"/>
    <n v="3.1127343642273031"/>
    <n v="47.75"/>
    <n v="1.7330000000000001"/>
    <n v="10.834"/>
    <n v="0.59399999999999997"/>
    <n v="0.23287000000000002"/>
    <n v="4"/>
    <n v="0"/>
    <n v="0"/>
    <n v="0"/>
    <n v="1"/>
    <n v="3"/>
    <n v="0"/>
    <n v="0"/>
    <n v="0"/>
    <n v="9"/>
    <n v="0"/>
    <n v="0"/>
    <n v="0"/>
    <n v="0"/>
    <n v="18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7"/>
    <n v="3"/>
    <n v="38"/>
    <n v="0"/>
    <n v="2"/>
    <n v="41"/>
    <n v="0"/>
    <n v="0"/>
    <n v="0"/>
    <n v="1"/>
  </r>
  <r>
    <n v="250"/>
    <x v="1"/>
    <x v="1"/>
    <x v="0"/>
    <x v="4"/>
    <x v="0"/>
    <n v="6.9600000000000009"/>
    <x v="3"/>
    <n v="27.3367"/>
    <n v="3.7645"/>
    <n v="86.229135191884907"/>
    <n v="45.912356321839084"/>
    <n v="3.0994710738262889"/>
    <n v="45.75"/>
    <n v="1.7549999999999999"/>
    <n v="10.965999999999999"/>
    <n v="0.32800000000000001"/>
    <n v="0.39187"/>
    <n v="2"/>
    <n v="0"/>
    <n v="0"/>
    <n v="0"/>
    <n v="0"/>
    <n v="0"/>
    <n v="0"/>
    <n v="0"/>
    <n v="1"/>
    <n v="0"/>
    <n v="0"/>
    <n v="1"/>
    <n v="0"/>
    <n v="0"/>
    <n v="2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7"/>
    <n v="6"/>
    <n v="0"/>
    <n v="26"/>
    <n v="1"/>
    <n v="2"/>
    <n v="25"/>
    <n v="0"/>
    <n v="0"/>
    <n v="2"/>
    <n v="1"/>
  </r>
  <r>
    <n v="253"/>
    <x v="1"/>
    <x v="0"/>
    <x v="0"/>
    <x v="4"/>
    <x v="0"/>
    <n v="6.9799999999999995"/>
    <x v="3"/>
    <n v="19.825800000000001"/>
    <n v="3.0655999999999999"/>
    <n v="84.537320057702587"/>
    <n v="56.080229226361034"/>
    <n v="3.3077122577678768"/>
    <n v="46.98"/>
    <n v="1.7689999999999999"/>
    <n v="11.058999999999999"/>
    <n v="0.51100000000000001"/>
    <n v="0.42786999999999997"/>
    <n v="4"/>
    <n v="0"/>
    <n v="0"/>
    <n v="5"/>
    <n v="0"/>
    <n v="0"/>
    <n v="0"/>
    <n v="0"/>
    <n v="7"/>
    <n v="0"/>
    <n v="0"/>
    <n v="0"/>
    <n v="0"/>
    <n v="1"/>
    <n v="44"/>
    <n v="3"/>
    <n v="0"/>
    <n v="0"/>
    <n v="1"/>
    <n v="0"/>
    <n v="0"/>
    <n v="0"/>
    <n v="0"/>
    <n v="0"/>
    <n v="7"/>
    <n v="0"/>
    <n v="1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10"/>
    <n v="12"/>
    <n v="71"/>
    <n v="2"/>
    <n v="3"/>
    <n v="84"/>
    <n v="0"/>
    <n v="0"/>
    <n v="1"/>
    <n v="1"/>
  </r>
  <r>
    <n v="257"/>
    <x v="1"/>
    <x v="0"/>
    <x v="0"/>
    <x v="1"/>
    <x v="0"/>
    <n v="7.0000000000000009"/>
    <x v="3"/>
    <n v="24.6676"/>
    <n v="2.851"/>
    <n v="88.442329209165067"/>
    <n v="59.271428571428572"/>
    <n v="3.3831469889127788"/>
    <n v="47.25"/>
    <n v="1.907"/>
    <n v="11.92"/>
    <n v="0.39900000000000002"/>
    <n v="0.19399999999999998"/>
    <n v="0"/>
    <n v="3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0"/>
    <n v="12"/>
    <n v="0"/>
    <n v="1"/>
    <n v="12"/>
    <n v="0"/>
    <n v="0"/>
    <n v="0"/>
    <n v="1"/>
  </r>
  <r>
    <n v="273"/>
    <x v="1"/>
    <x v="1"/>
    <x v="0"/>
    <x v="0"/>
    <x v="0"/>
    <n v="7.0600000000000005"/>
    <x v="3"/>
    <n v="17.583100000000002"/>
    <n v="2.9018999999999999"/>
    <n v="83.496084308227793"/>
    <n v="58.896600566572246"/>
    <n v="3.3739860064186771"/>
    <n v="46.06"/>
    <n v="1.093"/>
    <n v="6.8319999999999999"/>
    <n v="0.40899999999999997"/>
    <n v="0.24087"/>
    <n v="3"/>
    <n v="0"/>
    <n v="0"/>
    <n v="0"/>
    <n v="0"/>
    <n v="0"/>
    <n v="0"/>
    <n v="0"/>
    <n v="2"/>
    <n v="7"/>
    <n v="0"/>
    <n v="0"/>
    <n v="0"/>
    <n v="0"/>
    <n v="16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7"/>
    <n v="0"/>
    <n v="34"/>
    <n v="1"/>
    <n v="2"/>
    <n v="35"/>
    <n v="0"/>
    <n v="0"/>
    <n v="0"/>
    <n v="1"/>
  </r>
  <r>
    <n v="274"/>
    <x v="1"/>
    <x v="1"/>
    <x v="0"/>
    <x v="1"/>
    <x v="0"/>
    <n v="6.98"/>
    <x v="3"/>
    <n v="24.948899999999998"/>
    <n v="3.6545000000000001"/>
    <n v="85.352059609842527"/>
    <n v="47.643266475644701"/>
    <n v="3.1319962816239721"/>
    <n v="46.63"/>
    <n v="1.784"/>
    <n v="11.151"/>
    <n v="0.45"/>
    <n v="0.378"/>
    <n v="19"/>
    <n v="0"/>
    <n v="0"/>
    <n v="7"/>
    <n v="0"/>
    <n v="1"/>
    <n v="0"/>
    <n v="0"/>
    <n v="4"/>
    <n v="0"/>
    <n v="0"/>
    <n v="1"/>
    <n v="0"/>
    <n v="0"/>
    <n v="30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72"/>
    <n v="9"/>
    <n v="0"/>
    <n v="71"/>
    <n v="1"/>
    <n v="2"/>
    <n v="70"/>
    <n v="0"/>
    <n v="0"/>
    <n v="2"/>
    <n v="1"/>
  </r>
  <r>
    <n v="275"/>
    <x v="1"/>
    <x v="1"/>
    <x v="0"/>
    <x v="3"/>
    <x v="0"/>
    <n v="7.0499999999999989"/>
    <x v="3"/>
    <n v="26.678999999999998"/>
    <n v="4.0998999999999999"/>
    <n v="84.632482476854449"/>
    <n v="41.845390070921979"/>
    <n v="3.0269716834432647"/>
    <n v="47.05"/>
    <n v="1.8839999999999999"/>
    <n v="11.773999999999999"/>
    <n v="0.52700000000000002"/>
    <n v="0.26086999999999999"/>
    <n v="3"/>
    <n v="0"/>
    <n v="0"/>
    <n v="0"/>
    <n v="0"/>
    <n v="3"/>
    <n v="0"/>
    <n v="0"/>
    <n v="0"/>
    <n v="1"/>
    <n v="0"/>
    <n v="0"/>
    <n v="0"/>
    <n v="0"/>
    <n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"/>
    <n v="0"/>
    <n v="30"/>
    <n v="0"/>
    <n v="1"/>
    <n v="30"/>
    <n v="0"/>
    <n v="0"/>
    <n v="0"/>
    <n v="1"/>
  </r>
  <r>
    <n v="282"/>
    <x v="1"/>
    <x v="0"/>
    <x v="0"/>
    <x v="3"/>
    <x v="0"/>
    <n v="7.0600000000000005"/>
    <x v="3"/>
    <n v="17.842099999999999"/>
    <n v="3.0419"/>
    <n v="82.950997920648348"/>
    <n v="56.91359773371105"/>
    <n v="3.3268693811061789"/>
    <n v="45.54"/>
    <n v="1.9470000000000001"/>
    <n v="12.170999999999999"/>
    <n v="0.42099999999999999"/>
    <n v="0.34200000000000008"/>
    <n v="5"/>
    <n v="0"/>
    <n v="0"/>
    <n v="1"/>
    <n v="0"/>
    <n v="3"/>
    <n v="0"/>
    <n v="0"/>
    <n v="4"/>
    <n v="1"/>
    <n v="0"/>
    <n v="2"/>
    <n v="0"/>
    <n v="0"/>
    <n v="2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7"/>
    <n v="9"/>
    <n v="0"/>
    <n v="46"/>
    <n v="1"/>
    <n v="2"/>
    <n v="44"/>
    <n v="0"/>
    <n v="0"/>
    <n v="3"/>
    <n v="1"/>
  </r>
  <r>
    <n v="294"/>
    <x v="1"/>
    <x v="0"/>
    <x v="0"/>
    <x v="2"/>
    <x v="0"/>
    <n v="6.93"/>
    <x v="3"/>
    <n v="21.335599999999999"/>
    <n v="3.6107"/>
    <n v="83.076641856802709"/>
    <n v="47.897546897546896"/>
    <n v="3.136864803625151"/>
    <n v="47.11"/>
    <n v="1.9419999999999999"/>
    <n v="12.137"/>
    <n v="0.65700000000000003"/>
    <n v="0.36986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0"/>
    <x v="1"/>
    <x v="1"/>
    <x v="0"/>
    <x v="2"/>
    <x v="0"/>
    <n v="6.98"/>
    <x v="3"/>
    <n v="22.068200000000001"/>
    <n v="3.7111000000000001"/>
    <n v="83.183494802475963"/>
    <n v="46.832378223495702"/>
    <n v="3.1166272379323043"/>
    <n v="46.62"/>
    <n v="1.9410000000000001"/>
    <n v="12.129"/>
    <n v="0.76700000000000002"/>
    <n v="0.27987000000000001"/>
    <n v="1"/>
    <n v="0"/>
    <n v="0"/>
    <n v="0"/>
    <n v="1"/>
    <n v="0"/>
    <n v="0"/>
    <n v="0"/>
    <n v="1"/>
    <n v="0"/>
    <n v="0"/>
    <n v="1"/>
    <n v="0"/>
    <n v="0"/>
    <n v="4"/>
    <n v="1"/>
    <n v="0"/>
    <n v="5"/>
    <n v="0"/>
    <n v="0"/>
    <n v="0"/>
    <n v="1"/>
    <n v="0"/>
    <n v="0"/>
    <n v="1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0"/>
    <n v="0"/>
    <n v="26"/>
    <n v="1"/>
    <n v="2"/>
    <n v="26"/>
    <n v="0"/>
    <n v="0"/>
    <n v="1"/>
    <n v="1"/>
  </r>
  <r>
    <n v="362"/>
    <x v="1"/>
    <x v="1"/>
    <x v="1"/>
    <x v="3"/>
    <x v="0"/>
    <n v="7"/>
    <x v="3"/>
    <n v="23.178999999999998"/>
    <n v="4.4240000000000004"/>
    <n v="80.913758143146822"/>
    <n v="36.799999999999997"/>
    <n v="2.9437725346232799"/>
    <n v="47.09"/>
    <n v="1.415"/>
    <n v="8.8409999999999993"/>
    <n v="0.35799999999999998"/>
    <n v="0.43200000000000005"/>
    <n v="7"/>
    <n v="0"/>
    <n v="0"/>
    <n v="1"/>
    <n v="0"/>
    <n v="1"/>
    <n v="0"/>
    <n v="0"/>
    <n v="1"/>
    <n v="0"/>
    <n v="0"/>
    <n v="0"/>
    <n v="0"/>
    <n v="0"/>
    <n v="53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7"/>
    <n v="0"/>
    <n v="68"/>
    <n v="0"/>
    <n v="1"/>
    <n v="68"/>
    <n v="0"/>
    <n v="0"/>
    <n v="0"/>
    <n v="1"/>
  </r>
  <r>
    <n v="363"/>
    <x v="1"/>
    <x v="0"/>
    <x v="1"/>
    <x v="4"/>
    <x v="0"/>
    <n v="6.98"/>
    <x v="3"/>
    <n v="21.626100000000001"/>
    <n v="4.0967000000000002"/>
    <n v="81.056686133884526"/>
    <n v="41.308022922636106"/>
    <n v="3.0177737949890493"/>
    <n v="47.89"/>
    <n v="1.4970000000000001"/>
    <n v="9.3580000000000005"/>
    <n v="0.317"/>
    <n v="0.41600000000000004"/>
    <n v="2"/>
    <n v="0"/>
    <n v="0"/>
    <n v="2"/>
    <n v="0"/>
    <n v="0"/>
    <n v="0"/>
    <n v="0"/>
    <n v="6"/>
    <n v="1"/>
    <n v="0"/>
    <n v="0"/>
    <n v="0"/>
    <n v="0"/>
    <n v="21"/>
    <n v="0"/>
    <n v="0"/>
    <n v="4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2"/>
    <n v="9"/>
    <n v="0"/>
    <n v="40"/>
    <n v="2"/>
    <n v="2"/>
    <n v="41"/>
    <n v="0"/>
    <n v="0"/>
    <n v="1"/>
    <n v="1"/>
  </r>
  <r>
    <n v="364"/>
    <x v="1"/>
    <x v="1"/>
    <x v="1"/>
    <x v="4"/>
    <x v="0"/>
    <n v="7.02"/>
    <x v="3"/>
    <n v="22.040900000000001"/>
    <n v="3.4279000000000002"/>
    <n v="84.447549782449897"/>
    <n v="51.169515669515661"/>
    <n v="3.201722039044272"/>
    <n v="44.93"/>
    <n v="1.4730000000000001"/>
    <n v="9.2070000000000007"/>
    <n v="0.57399999999999995"/>
    <n v="0.43800000000000006"/>
    <n v="1"/>
    <n v="0"/>
    <n v="0"/>
    <n v="0"/>
    <n v="0"/>
    <n v="0"/>
    <n v="0"/>
    <n v="0"/>
    <n v="1"/>
    <n v="0"/>
    <n v="0"/>
    <n v="2"/>
    <n v="0"/>
    <n v="0"/>
    <n v="14"/>
    <n v="0"/>
    <n v="0"/>
    <n v="5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7"/>
    <n v="8"/>
    <n v="0"/>
    <n v="25"/>
    <n v="2"/>
    <n v="2"/>
    <n v="24"/>
    <n v="0"/>
    <n v="0"/>
    <n v="3"/>
    <n v="1"/>
  </r>
  <r>
    <n v="366"/>
    <x v="1"/>
    <x v="0"/>
    <x v="1"/>
    <x v="2"/>
    <x v="0"/>
    <n v="7"/>
    <x v="3"/>
    <n v="17.001799999999999"/>
    <n v="4.1627000000000001"/>
    <n v="75.516121822395263"/>
    <n v="40.532857142857139"/>
    <n v="3.0046528966429737"/>
    <n v="45.78"/>
    <n v="1.2769999999999999"/>
    <n v="7.9829999999999997"/>
    <n v="0.39700000000000002"/>
    <n v="0.38086999999999999"/>
    <n v="0"/>
    <n v="0"/>
    <n v="0"/>
    <n v="3"/>
    <n v="0"/>
    <n v="1"/>
    <n v="0"/>
    <n v="0"/>
    <n v="0"/>
    <n v="1"/>
    <n v="0"/>
    <n v="0"/>
    <n v="0"/>
    <n v="0"/>
    <n v="2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6"/>
    <n v="0"/>
    <n v="26"/>
    <n v="1"/>
    <n v="2"/>
    <n v="27"/>
    <n v="0"/>
    <n v="0"/>
    <n v="0"/>
    <n v="1"/>
  </r>
  <r>
    <n v="369"/>
    <x v="1"/>
    <x v="0"/>
    <x v="1"/>
    <x v="0"/>
    <x v="0"/>
    <n v="7.05"/>
    <x v="3"/>
    <n v="17.419799999999999"/>
    <n v="3.8816000000000002"/>
    <n v="77.717310187258164"/>
    <n v="44.941843971631201"/>
    <n v="3.0816868268445834"/>
    <n v="46.99"/>
    <n v="1.546"/>
    <n v="9.6620000000000008"/>
    <n v="0.35899999999999999"/>
    <n v="0.20787"/>
    <n v="3"/>
    <n v="0"/>
    <n v="0"/>
    <n v="0"/>
    <n v="0"/>
    <n v="0"/>
    <n v="0"/>
    <n v="0"/>
    <n v="0"/>
    <n v="0"/>
    <n v="0"/>
    <n v="0"/>
    <n v="0"/>
    <n v="0"/>
    <n v="2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4"/>
    <n v="1"/>
    <n v="32"/>
    <n v="1"/>
    <n v="3"/>
    <n v="33"/>
    <n v="0"/>
    <n v="1"/>
    <n v="0"/>
    <n v="1"/>
  </r>
  <r>
    <n v="390"/>
    <x v="1"/>
    <x v="1"/>
    <x v="1"/>
    <x v="1"/>
    <x v="0"/>
    <n v="7.01"/>
    <x v="3"/>
    <n v="22.575399999999998"/>
    <n v="4.0575000000000001"/>
    <n v="82.026896533394762"/>
    <n v="42.11840228245363"/>
    <n v="3.0316773304278897"/>
    <n v="46.15"/>
    <n v="1.359"/>
    <n v="8.4909999999999997"/>
    <n v="0.35599999999999998"/>
    <n v="0.53887000000000007"/>
    <n v="6"/>
    <n v="0"/>
    <n v="0"/>
    <n v="1"/>
    <n v="0"/>
    <n v="0"/>
    <n v="0"/>
    <n v="0"/>
    <n v="2"/>
    <n v="0"/>
    <n v="0"/>
    <n v="1"/>
    <n v="0"/>
    <n v="0"/>
    <n v="13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2"/>
    <n v="7"/>
    <n v="0"/>
    <n v="31"/>
    <n v="1"/>
    <n v="2"/>
    <n v="30"/>
    <n v="0"/>
    <n v="0"/>
    <n v="2"/>
    <n v="1"/>
  </r>
  <r>
    <n v="396"/>
    <x v="1"/>
    <x v="1"/>
    <x v="1"/>
    <x v="0"/>
    <x v="0"/>
    <n v="7.08"/>
    <x v="3"/>
    <n v="18.580400000000001"/>
    <n v="4.1201999999999996"/>
    <n v="77.825019913457197"/>
    <n v="41.805084745762713"/>
    <n v="3.0262788516210803"/>
    <n v="46.85"/>
    <n v="1.421"/>
    <n v="8.8829999999999991"/>
    <n v="0.41299999999999998"/>
    <n v="0.19987000000000002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0"/>
    <n v="8"/>
    <n v="0"/>
    <n v="1"/>
    <n v="8"/>
    <n v="0"/>
    <n v="0"/>
    <n v="0"/>
    <n v="1"/>
  </r>
  <r>
    <n v="404"/>
    <x v="1"/>
    <x v="1"/>
    <x v="1"/>
    <x v="2"/>
    <x v="0"/>
    <n v="7.01"/>
    <x v="3"/>
    <n v="23.072399999999998"/>
    <n v="3.6019000000000001"/>
    <n v="84.388706853209897"/>
    <n v="48.617689015691866"/>
    <n v="3.1507828668203635"/>
    <n v="45.51"/>
    <n v="1.45"/>
    <n v="9.0660000000000007"/>
    <n v="0.45800000000000002"/>
    <n v="0.37586999999999998"/>
    <n v="2"/>
    <n v="0"/>
    <n v="0"/>
    <n v="0"/>
    <n v="0"/>
    <n v="0"/>
    <n v="0"/>
    <n v="0"/>
    <n v="7"/>
    <n v="0"/>
    <n v="0"/>
    <n v="2"/>
    <n v="0"/>
    <n v="0"/>
    <n v="42"/>
    <n v="22"/>
    <n v="0"/>
    <n v="12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93"/>
    <n v="9"/>
    <n v="0"/>
    <n v="90"/>
    <n v="3"/>
    <n v="2"/>
    <n v="89"/>
    <n v="0"/>
    <n v="0"/>
    <n v="4"/>
    <n v="1"/>
  </r>
  <r>
    <n v="405"/>
    <x v="1"/>
    <x v="0"/>
    <x v="1"/>
    <x v="3"/>
    <x v="0"/>
    <n v="7"/>
    <x v="3"/>
    <n v="18.3215"/>
    <n v="3.1493000000000002"/>
    <n v="82.810905220642411"/>
    <n v="55.009999999999991"/>
    <n v="3.2836365929230107"/>
    <n v="46.87"/>
    <n v="1.4950000000000001"/>
    <n v="8.9209999999999994"/>
    <n v="0.52600000000000002"/>
    <n v="0.29499999999999998"/>
    <n v="1"/>
    <n v="0"/>
    <n v="0"/>
    <n v="0"/>
    <n v="0"/>
    <n v="0"/>
    <n v="0"/>
    <n v="0"/>
    <n v="0"/>
    <n v="0"/>
    <n v="0"/>
    <n v="0"/>
    <n v="0"/>
    <n v="0"/>
    <n v="53"/>
    <n v="0"/>
    <n v="0"/>
    <n v="0"/>
    <n v="0"/>
    <n v="0"/>
    <n v="0"/>
    <n v="0"/>
    <n v="0"/>
    <n v="0"/>
    <n v="4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5"/>
    <n v="3"/>
    <n v="58"/>
    <n v="1"/>
    <n v="3"/>
    <n v="61"/>
    <n v="0"/>
    <n v="1"/>
    <n v="0"/>
    <n v="1"/>
  </r>
  <r>
    <n v="482"/>
    <x v="2"/>
    <x v="1"/>
    <x v="0"/>
    <x v="1"/>
    <x v="0"/>
    <n v="6.99"/>
    <x v="3"/>
    <n v="20.501799999999999"/>
    <n v="3.7328000000000001"/>
    <n v="18.207181808426579"/>
    <n v="46.597997138769671"/>
    <n v="3.1122285837486907"/>
    <n v="46.88"/>
    <n v="1.369"/>
    <n v="8.5540000000000003"/>
    <n v="0.77100000000000002"/>
    <n v="0.19287000000000001"/>
    <n v="0"/>
    <n v="0"/>
    <n v="0"/>
    <n v="0"/>
    <n v="0"/>
    <n v="1"/>
    <n v="0"/>
    <n v="0"/>
    <n v="1"/>
    <n v="3"/>
    <n v="0"/>
    <n v="1"/>
    <n v="0"/>
    <n v="0"/>
    <n v="14"/>
    <n v="19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8"/>
    <n v="0"/>
    <n v="41"/>
    <n v="1"/>
    <n v="2"/>
    <n v="41"/>
    <n v="0"/>
    <n v="0"/>
    <n v="1"/>
    <n v="1"/>
  </r>
  <r>
    <n v="483"/>
    <x v="2"/>
    <x v="0"/>
    <x v="0"/>
    <x v="1"/>
    <x v="0"/>
    <n v="7.06"/>
    <x v="3"/>
    <n v="23.318999999999999"/>
    <n v="3.6164999999999998"/>
    <n v="15.508812556284573"/>
    <n v="48.774787535410766"/>
    <n v="3.1538449939859525"/>
    <n v="46.69"/>
    <n v="1.8080000000000001"/>
    <n v="11.3"/>
    <n v="0.95099999999999996"/>
    <n v="0.44400000000000006"/>
    <n v="3"/>
    <n v="0"/>
    <n v="0"/>
    <n v="0"/>
    <n v="0"/>
    <n v="4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3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6"/>
    <n v="7"/>
    <n v="19"/>
    <n v="0"/>
    <n v="2"/>
    <n v="26"/>
    <n v="0"/>
    <n v="0"/>
    <n v="0"/>
    <n v="1"/>
  </r>
  <r>
    <n v="510"/>
    <x v="2"/>
    <x v="1"/>
    <x v="0"/>
    <x v="2"/>
    <x v="0"/>
    <n v="6.96"/>
    <x v="3"/>
    <n v="20.396799999999999"/>
    <n v="3.3096000000000001"/>
    <n v="16.226074678380925"/>
    <n v="52.448275862068961"/>
    <n v="3.2282587879692639"/>
    <n v="48.42"/>
    <n v="1.486"/>
    <n v="9.2870000000000008"/>
    <n v="0.54200000000000004"/>
    <n v="0.26987"/>
    <n v="11"/>
    <n v="0"/>
    <n v="1"/>
    <n v="2"/>
    <n v="0"/>
    <n v="3"/>
    <n v="0"/>
    <n v="0"/>
    <n v="2"/>
    <n v="0"/>
    <n v="0"/>
    <n v="0"/>
    <n v="0"/>
    <n v="0"/>
    <n v="44"/>
    <n v="2"/>
    <n v="0"/>
    <n v="0"/>
    <n v="1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78"/>
    <n v="12"/>
    <n v="5"/>
    <n v="70"/>
    <n v="3"/>
    <n v="3"/>
    <n v="77"/>
    <n v="0"/>
    <n v="0"/>
    <n v="1"/>
    <n v="1"/>
  </r>
  <r>
    <n v="523"/>
    <x v="2"/>
    <x v="0"/>
    <x v="0"/>
    <x v="0"/>
    <x v="0"/>
    <n v="7.03"/>
    <x v="3"/>
    <n v="14.161300000000001"/>
    <n v="3.5680000000000001"/>
    <n v="25.195426973512319"/>
    <n v="49.246088193456615"/>
    <n v="3.1630881408928109"/>
    <n v="47.04"/>
    <n v="1.5149999999999999"/>
    <n v="9.468"/>
    <n v="0.97799999999999998"/>
    <n v="0.38986999999999999"/>
    <n v="2"/>
    <n v="0"/>
    <n v="0"/>
    <n v="1"/>
    <n v="2"/>
    <n v="2"/>
    <n v="0"/>
    <n v="0"/>
    <n v="0"/>
    <n v="8"/>
    <n v="0"/>
    <n v="0"/>
    <n v="0"/>
    <n v="0"/>
    <n v="29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8"/>
    <n v="0"/>
    <n v="50"/>
    <n v="0"/>
    <n v="1"/>
    <n v="50"/>
    <n v="0"/>
    <n v="0"/>
    <n v="0"/>
    <n v="1"/>
  </r>
  <r>
    <n v="524"/>
    <x v="2"/>
    <x v="0"/>
    <x v="0"/>
    <x v="3"/>
    <x v="0"/>
    <n v="6.92"/>
    <x v="3"/>
    <n v="18.061800000000002"/>
    <n v="3.4270999999999998"/>
    <n v="18.97429935000941"/>
    <n v="50.475433526011557"/>
    <n v="3.1876079969099838"/>
    <n v="47.11"/>
    <n v="1.827"/>
    <n v="11.42"/>
    <n v="0.85599999999999998"/>
    <n v="0.24587000000000001"/>
    <n v="0"/>
    <n v="1"/>
    <n v="0"/>
    <n v="0"/>
    <n v="0"/>
    <n v="0"/>
    <n v="1"/>
    <n v="0"/>
    <n v="1"/>
    <n v="1"/>
    <n v="0"/>
    <n v="2"/>
    <n v="0"/>
    <n v="0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6"/>
    <n v="0"/>
    <n v="44"/>
    <n v="0"/>
    <n v="1"/>
    <n v="42"/>
    <n v="0"/>
    <n v="0"/>
    <n v="2"/>
    <n v="1"/>
  </r>
  <r>
    <n v="526"/>
    <x v="2"/>
    <x v="1"/>
    <x v="0"/>
    <x v="0"/>
    <x v="0"/>
    <n v="7"/>
    <x v="3"/>
    <n v="17.3002"/>
    <n v="3.4472"/>
    <n v="19.925781204841559"/>
    <n v="50.754285714285722"/>
    <n v="3.1932544915238221"/>
    <n v="42.08"/>
    <n v="1.5229999999999999"/>
    <n v="9.5190000000000001"/>
    <n v="0.68899999999999995"/>
    <n v="0.402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3"/>
    <x v="2"/>
    <x v="0"/>
    <x v="0"/>
    <x v="4"/>
    <x v="0"/>
    <n v="6.95"/>
    <x v="3"/>
    <n v="25.177900000000001"/>
    <n v="3.6684000000000001"/>
    <n v="14.569920446105513"/>
    <n v="47.217266187050363"/>
    <n v="3.1238927096620488"/>
    <n v="47.09"/>
    <n v="1.9410000000000001"/>
    <n v="12.132"/>
    <n v="0.82499999999999996"/>
    <n v="0.36886999999999998"/>
    <n v="11"/>
    <n v="0"/>
    <n v="0"/>
    <n v="2"/>
    <n v="0"/>
    <n v="2"/>
    <n v="0"/>
    <n v="0"/>
    <n v="0"/>
    <n v="6"/>
    <n v="0"/>
    <n v="2"/>
    <n v="0"/>
    <n v="0"/>
    <n v="41"/>
    <n v="4"/>
    <n v="0"/>
    <n v="0"/>
    <n v="0"/>
    <n v="0"/>
    <n v="0"/>
    <n v="0"/>
    <n v="0"/>
    <n v="0"/>
    <n v="2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81"/>
    <n v="10"/>
    <n v="10"/>
    <n v="70"/>
    <n v="1"/>
    <n v="3"/>
    <n v="78"/>
    <n v="0"/>
    <n v="0"/>
    <n v="3"/>
    <n v="1"/>
  </r>
  <r>
    <n v="604"/>
    <x v="2"/>
    <x v="1"/>
    <x v="1"/>
    <x v="2"/>
    <x v="0"/>
    <n v="6.92"/>
    <x v="3"/>
    <n v="15.0024"/>
    <n v="2.7105000000000001"/>
    <n v="18.067109262517999"/>
    <n v="60.830924855491332"/>
    <n v="3.4221892996993226"/>
    <n v="47.73"/>
    <n v="3.5539999999999998"/>
    <n v="22.213999999999999"/>
    <n v="0.39"/>
    <n v="2.3869999999999999E-2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613"/>
    <x v="2"/>
    <x v="0"/>
    <x v="1"/>
    <x v="2"/>
    <x v="0"/>
    <n v="7.03"/>
    <x v="3"/>
    <n v="16.850899999999999"/>
    <n v="3.3048999999999999"/>
    <n v="19.61260229423948"/>
    <n v="52.988620199146517"/>
    <n v="3.2396871399507639"/>
    <n v="47.27"/>
    <n v="1.8660000000000001"/>
    <n v="11.66"/>
    <n v="0.36799999999999999"/>
    <n v="0.240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18"/>
    <x v="2"/>
    <x v="0"/>
    <x v="1"/>
    <x v="0"/>
    <x v="0"/>
    <n v="6.94"/>
    <x v="3"/>
    <n v="16.8992"/>
    <n v="3.7986"/>
    <n v="22.477987123650824"/>
    <n v="45.265129682997127"/>
    <n v="3.0875758465107146"/>
    <n v="46.75"/>
    <n v="1.242"/>
    <n v="7.76"/>
    <n v="0.48499999999999999"/>
    <n v="0.376"/>
    <n v="5"/>
    <n v="0"/>
    <n v="0"/>
    <n v="0"/>
    <n v="0"/>
    <n v="0"/>
    <n v="0"/>
    <n v="0"/>
    <n v="0"/>
    <n v="16"/>
    <n v="0"/>
    <n v="0"/>
    <n v="0"/>
    <n v="0"/>
    <n v="41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5"/>
    <n v="2"/>
    <n v="63"/>
    <n v="0"/>
    <n v="2"/>
    <n v="65"/>
    <n v="0"/>
    <n v="0"/>
    <n v="0"/>
    <n v="1"/>
  </r>
  <r>
    <n v="633"/>
    <x v="2"/>
    <x v="1"/>
    <x v="1"/>
    <x v="4"/>
    <x v="0"/>
    <n v="7.04"/>
    <x v="3"/>
    <n v="16.008900000000001"/>
    <n v="2.9346000000000001"/>
    <n v="18.331053351573185"/>
    <n v="58.315340909090907"/>
    <n v="3.3599436621667218"/>
    <n v="47.79"/>
    <n v="2.1190000000000002"/>
    <n v="13.241"/>
    <n v="0.38900000000000001"/>
    <n v="0.20799999999999999"/>
    <n v="0"/>
    <n v="0"/>
    <n v="0"/>
    <n v="1"/>
    <n v="0"/>
    <n v="1"/>
    <n v="0"/>
    <n v="0"/>
    <n v="0"/>
    <n v="2"/>
    <n v="0"/>
    <n v="1"/>
    <n v="0"/>
    <n v="0"/>
    <n v="16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6"/>
    <n v="10"/>
    <n v="1"/>
    <n v="21"/>
    <n v="4"/>
    <n v="3"/>
    <n v="24"/>
    <n v="0"/>
    <n v="0"/>
    <n v="2"/>
    <n v="1"/>
  </r>
  <r>
    <n v="635"/>
    <x v="2"/>
    <x v="1"/>
    <x v="1"/>
    <x v="0"/>
    <x v="0"/>
    <n v="7.05"/>
    <x v="3"/>
    <n v="13.7691"/>
    <n v="3.0626000000000002"/>
    <n v="22.24255761088234"/>
    <n v="56.558865248226944"/>
    <n v="3.3186700382132073"/>
    <n v="43.09"/>
    <n v="2.7280000000000002"/>
    <n v="17.047000000000001"/>
    <n v="0.42599999999999999"/>
    <n v="0.28286999999999995"/>
    <n v="0"/>
    <n v="0"/>
    <n v="0"/>
    <n v="0"/>
    <n v="2"/>
    <n v="0"/>
    <n v="0"/>
    <n v="0"/>
    <n v="0"/>
    <n v="2"/>
    <n v="0"/>
    <n v="1"/>
    <n v="0"/>
    <n v="0"/>
    <n v="18"/>
    <n v="2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8"/>
    <n v="0"/>
    <n v="28"/>
    <n v="0"/>
    <n v="1"/>
    <n v="27"/>
    <n v="0"/>
    <n v="0"/>
    <n v="1"/>
    <n v="1"/>
  </r>
  <r>
    <n v="644"/>
    <x v="2"/>
    <x v="0"/>
    <x v="1"/>
    <x v="4"/>
    <x v="0"/>
    <n v="6.97"/>
    <x v="3"/>
    <n v="15.8148"/>
    <n v="3.0625"/>
    <n v="19.364772238662521"/>
    <n v="56.061692969870869"/>
    <n v="3.3072902986895873"/>
    <n v="46.83"/>
    <n v="2.5979999999999999"/>
    <n v="16.239999999999998"/>
    <n v="0.38200000000000001"/>
    <n v="0.29486999999999997"/>
    <n v="1"/>
    <n v="0"/>
    <n v="0"/>
    <n v="0"/>
    <n v="1"/>
    <n v="2"/>
    <n v="0"/>
    <n v="0"/>
    <n v="1"/>
    <n v="0"/>
    <n v="0"/>
    <n v="1"/>
    <n v="1"/>
    <n v="0"/>
    <n v="10"/>
    <n v="4"/>
    <n v="0"/>
    <n v="1"/>
    <n v="0"/>
    <n v="0"/>
    <n v="0"/>
    <n v="0"/>
    <n v="0"/>
    <n v="0"/>
    <n v="1"/>
    <n v="0"/>
    <n v="7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2"/>
    <n v="7"/>
    <n v="23"/>
    <n v="1"/>
    <n v="3"/>
    <n v="29"/>
    <n v="0"/>
    <n v="0"/>
    <n v="2"/>
    <n v="1"/>
  </r>
  <r>
    <n v="659"/>
    <x v="2"/>
    <x v="1"/>
    <x v="1"/>
    <x v="3"/>
    <x v="0"/>
    <n v="6.97"/>
    <x v="3"/>
    <n v="18.357700000000001"/>
    <n v="3.0804999999999998"/>
    <n v="16.780424562989914"/>
    <n v="55.803443328550941"/>
    <n v="3.3014299530879447"/>
    <n v="41.8"/>
    <n v="1.3180000000000001"/>
    <n v="8.2370000000000001"/>
    <n v="0.32200000000000001"/>
    <n v="0.26500000000000001"/>
    <n v="1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s v="BCLP2"/>
    <x v="2"/>
    <x v="1"/>
    <x v="0"/>
    <x v="3"/>
    <x v="0"/>
    <n v="7"/>
    <x v="3"/>
    <n v="22.385200000000001"/>
    <n v="3.9823"/>
    <n v="17.789879027214408"/>
    <n v="43.11"/>
    <n v="3.0489572570135359"/>
    <n v="42.08"/>
    <n v="1.482"/>
    <n v="9.2650000000000006"/>
    <n v="0.50800000000000001"/>
    <n v="8.387E-2"/>
    <n v="3"/>
    <n v="0"/>
    <n v="0"/>
    <n v="0"/>
    <n v="0"/>
    <n v="1"/>
    <n v="0"/>
    <n v="0"/>
    <n v="0"/>
    <n v="1"/>
    <n v="0"/>
    <n v="3"/>
    <n v="0"/>
    <n v="0"/>
    <n v="33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7"/>
    <n v="0"/>
    <n v="45"/>
    <n v="0"/>
    <n v="1"/>
    <n v="42"/>
    <n v="0"/>
    <n v="0"/>
    <n v="3"/>
    <n v="1"/>
  </r>
  <r>
    <s v="BCLP5"/>
    <x v="2"/>
    <x v="1"/>
    <x v="0"/>
    <x v="4"/>
    <x v="0"/>
    <n v="7"/>
    <x v="3"/>
    <n v="14.9291"/>
    <n v="2.5068000000000001"/>
    <n v="16.791367195611258"/>
    <n v="64.188571428571422"/>
    <n v="3.5118097594749305"/>
    <n v="42.08"/>
    <n v="1.756"/>
    <n v="10.973000000000001"/>
    <n v="0.54600000000000004"/>
    <n v="9.3869999999999995E-2"/>
    <n v="3"/>
    <n v="0"/>
    <n v="0"/>
    <n v="0"/>
    <n v="0"/>
    <n v="0"/>
    <n v="1"/>
    <n v="0"/>
    <n v="0"/>
    <n v="0"/>
    <n v="0"/>
    <n v="1"/>
    <n v="0"/>
    <n v="0"/>
    <n v="30"/>
    <n v="3"/>
    <n v="0"/>
    <n v="2"/>
    <n v="0"/>
    <n v="0"/>
    <n v="0"/>
    <n v="0"/>
    <n v="0"/>
    <n v="0"/>
    <n v="2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9"/>
    <n v="3"/>
    <n v="42"/>
    <n v="2"/>
    <n v="3"/>
    <n v="46"/>
    <n v="0"/>
    <n v="0"/>
    <n v="1"/>
    <n v="1"/>
  </r>
  <r>
    <s v="BCLR4"/>
    <x v="2"/>
    <x v="1"/>
    <x v="1"/>
    <x v="1"/>
    <x v="0"/>
    <n v="7"/>
    <x v="3"/>
    <n v="10.765599999999999"/>
    <n v="1.8641000000000001"/>
    <n v="17.315337742438881"/>
    <n v="73.36999999999999"/>
    <n v="3.8080384359502508"/>
    <n v="47.15"/>
    <n v="2.863"/>
    <n v="17.890999999999998"/>
    <n v="0.65300000000000002"/>
    <n v="0.21"/>
    <n v="2"/>
    <n v="0"/>
    <n v="0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2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5"/>
    <n v="8"/>
    <n v="9"/>
    <n v="0"/>
    <n v="2"/>
    <n v="17"/>
    <n v="0"/>
    <n v="0"/>
    <n v="0"/>
    <n v="1"/>
  </r>
  <r>
    <s v="BCUP1"/>
    <x v="2"/>
    <x v="0"/>
    <x v="0"/>
    <x v="2"/>
    <x v="0"/>
    <n v="7"/>
    <x v="3"/>
    <n v="16.223400000000002"/>
    <n v="2.6829999999999998"/>
    <n v="16.537840403367973"/>
    <n v="61.671428571428578"/>
    <n v="3.4438812273998263"/>
    <n v="46.74"/>
    <n v="2.6419999999999999"/>
    <n v="16.513000000000002"/>
    <n v="0.29099999999999998"/>
    <n v="9.4869999999999996E-2"/>
    <n v="3"/>
    <n v="0"/>
    <n v="0"/>
    <n v="2"/>
    <n v="0"/>
    <n v="0"/>
    <n v="1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6"/>
    <n v="10"/>
    <n v="0"/>
    <n v="2"/>
    <n v="16"/>
    <n v="0"/>
    <n v="0"/>
    <n v="0"/>
    <n v="1"/>
  </r>
  <r>
    <s v="BCUR2"/>
    <x v="2"/>
    <x v="0"/>
    <x v="1"/>
    <x v="3"/>
    <x v="0"/>
    <n v="7"/>
    <x v="3"/>
    <n v="15.982699999999999"/>
    <n v="3.3689"/>
    <n v="21.078416037340375"/>
    <n v="51.872857142857143"/>
    <n v="3.2162305172577668"/>
    <n v="46.13"/>
    <n v="1.462"/>
    <n v="9.14"/>
    <n v="0.38500000000000001"/>
    <n v="0.12086999999999999"/>
    <n v="7"/>
    <n v="0"/>
    <n v="0"/>
    <n v="0"/>
    <n v="1"/>
    <n v="3"/>
    <n v="0"/>
    <n v="1"/>
    <n v="0"/>
    <n v="0"/>
    <n v="1"/>
    <n v="1"/>
    <n v="0"/>
    <n v="0"/>
    <n v="37"/>
    <n v="2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59"/>
    <n v="10"/>
    <n v="4"/>
    <n v="53"/>
    <n v="2"/>
    <n v="3"/>
    <n v="56"/>
    <n v="0"/>
    <n v="0"/>
    <n v="3"/>
    <n v="1"/>
  </r>
  <r>
    <s v="BCUR4"/>
    <x v="2"/>
    <x v="0"/>
    <x v="1"/>
    <x v="1"/>
    <x v="0"/>
    <n v="7"/>
    <x v="3"/>
    <n v="20.173200000000001"/>
    <n v="4.0422000000000002"/>
    <n v="20.037475462494793"/>
    <n v="42.254285714285714"/>
    <n v="3.0340277006307814"/>
    <n v="47.58"/>
    <n v="1.792"/>
    <n v="11.185"/>
    <n v="0.30199999999999999"/>
    <n v="2.087E-2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0"/>
    <n v="7"/>
    <n v="1"/>
    <n v="2"/>
    <n v="8"/>
    <n v="0"/>
    <n v="0"/>
    <n v="0"/>
    <n v="1"/>
  </r>
  <r>
    <s v="HCLP3"/>
    <x v="0"/>
    <x v="1"/>
    <x v="0"/>
    <x v="0"/>
    <x v="0"/>
    <n v="7"/>
    <x v="3"/>
    <n v="21.175799999999999"/>
    <n v="3.9514"/>
    <n v="81.340020211751153"/>
    <n v="43.551428571428566"/>
    <n v="3.0567468523461461"/>
    <n v="42.57"/>
    <n v="1.4259999999999999"/>
    <n v="8.9120000000000008"/>
    <n v="0.57199999999999995"/>
    <n v="0.57100000000000006"/>
    <n v="2"/>
    <n v="1"/>
    <n v="0"/>
    <n v="0"/>
    <n v="0"/>
    <n v="2"/>
    <n v="0"/>
    <n v="0"/>
    <n v="0"/>
    <n v="2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5"/>
    <n v="0"/>
    <n v="19"/>
    <n v="0"/>
    <n v="1"/>
    <n v="19"/>
    <n v="0"/>
    <n v="0"/>
    <n v="0"/>
    <n v="1"/>
  </r>
  <r>
    <s v="HCLP4"/>
    <x v="0"/>
    <x v="1"/>
    <x v="0"/>
    <x v="1"/>
    <x v="0"/>
    <n v="7"/>
    <x v="3"/>
    <n v="16.941500000000001"/>
    <n v="3.0042"/>
    <n v="82.267213646961608"/>
    <n v="57.082857142857144"/>
    <n v="3.3308054892614964"/>
    <n v="46.37"/>
    <n v="1.734"/>
    <n v="10.839"/>
    <n v="0.249"/>
    <n v="0.40600000000000003"/>
    <n v="1"/>
    <n v="1"/>
    <n v="0"/>
    <n v="1"/>
    <n v="0"/>
    <n v="0"/>
    <n v="1"/>
    <n v="0"/>
    <n v="1"/>
    <n v="1"/>
    <n v="0"/>
    <n v="0"/>
    <n v="0"/>
    <n v="0"/>
    <n v="5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9"/>
    <n v="0"/>
    <n v="14"/>
    <n v="0"/>
    <n v="1"/>
    <n v="14"/>
    <n v="0"/>
    <n v="0"/>
    <n v="0"/>
    <n v="1"/>
  </r>
  <r>
    <s v="SCUR4"/>
    <x v="1"/>
    <x v="0"/>
    <x v="1"/>
    <x v="1"/>
    <x v="0"/>
    <n v="7"/>
    <x v="3"/>
    <n v="18.292999999999999"/>
    <n v="3.1074999999999999"/>
    <n v="83.012627781118468"/>
    <n v="55.607142857142854"/>
    <n v="3.2969982544405845"/>
    <n v="47.15"/>
    <n v="1.7609999999999999"/>
    <n v="11.004"/>
    <n v="0.49099999999999999"/>
    <n v="0.18687000000000001"/>
    <n v="13"/>
    <n v="0"/>
    <n v="0"/>
    <n v="0"/>
    <n v="0"/>
    <n v="0"/>
    <n v="0"/>
    <n v="0"/>
    <n v="1"/>
    <n v="0"/>
    <n v="0"/>
    <n v="0"/>
    <n v="0"/>
    <n v="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32"/>
    <n v="5"/>
    <n v="0"/>
    <n v="31"/>
    <n v="1"/>
    <n v="2"/>
    <n v="30"/>
    <n v="0"/>
    <n v="0"/>
    <n v="2"/>
    <n v="1"/>
  </r>
  <r>
    <n v="6"/>
    <x v="0"/>
    <x v="0"/>
    <x v="0"/>
    <x v="0"/>
    <x v="0"/>
    <n v="7.02"/>
    <x v="4"/>
    <n v="7.2210000000000001"/>
    <n v="2.0670000000000002"/>
    <n v="71.375155795596186"/>
    <n v="70.555555555555543"/>
    <n v="4.1130366952342534"/>
    <n v="46.07"/>
    <n v="1.669"/>
    <n v="10.432"/>
    <n v="0.33"/>
    <n v="0.36162"/>
    <n v="0"/>
    <n v="2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"/>
    <n v="0"/>
    <n v="15"/>
    <n v="0"/>
    <n v="1"/>
    <n v="15"/>
    <n v="0"/>
    <n v="0"/>
    <n v="0"/>
    <n v="1"/>
  </r>
  <r>
    <n v="14"/>
    <x v="0"/>
    <x v="0"/>
    <x v="0"/>
    <x v="3"/>
    <x v="0"/>
    <n v="6.92"/>
    <x v="4"/>
    <n v="6.2510000000000003"/>
    <n v="2.698"/>
    <n v="56.838905775075986"/>
    <n v="61.011560693641606"/>
    <n v="3.8322767697401789"/>
    <n v="43.96"/>
    <n v="1.603"/>
    <n v="10.016999999999999"/>
    <n v="0.23599999999999999"/>
    <n v="0.39062000000000002"/>
    <n v="0"/>
    <n v="2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20"/>
    <n v="0"/>
    <n v="0"/>
    <n v="0"/>
    <n v="1"/>
  </r>
  <r>
    <n v="15"/>
    <x v="0"/>
    <x v="1"/>
    <x v="0"/>
    <x v="4"/>
    <x v="0"/>
    <n v="7.01"/>
    <x v="4"/>
    <n v="0.79100000000000004"/>
    <n v="0.60399999999999998"/>
    <n v="23.640960809102406"/>
    <n v="91.383737517831662"/>
    <n v="5.3418905399899854"/>
    <n v="45.88"/>
    <n v="1.6120000000000001"/>
    <n v="10.071999999999999"/>
    <n v="0.32200000000000001"/>
    <n v="0.17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"/>
    <x v="0"/>
    <x v="1"/>
    <x v="0"/>
    <x v="2"/>
    <x v="0"/>
    <n v="6.9999999999999991"/>
    <x v="4"/>
    <n v="2.173"/>
    <n v="1.2689999999999999"/>
    <n v="41.601472618499777"/>
    <n v="81.871428571428567"/>
    <n v="4.5980527182192272"/>
    <n v="44.12"/>
    <n v="1.5389999999999999"/>
    <n v="9.6199999999999992"/>
    <n v="0.36"/>
    <n v="0.376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"/>
    <x v="0"/>
    <x v="0"/>
    <x v="0"/>
    <x v="2"/>
    <x v="0"/>
    <n v="6.9899999999999993"/>
    <x v="4"/>
    <n v="5.4379999999999997"/>
    <n v="2.843"/>
    <n v="47.719749908054432"/>
    <n v="59.327610872675251"/>
    <n v="3.7899924814730208"/>
    <n v="44.39"/>
    <n v="1.47"/>
    <n v="9.19"/>
    <n v="0.27800000000000002"/>
    <n v="0.1846200000000000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0"/>
    <n v="1"/>
    <n v="2"/>
    <n v="0"/>
    <n v="0"/>
    <n v="0"/>
    <n v="1"/>
  </r>
  <r>
    <n v="50"/>
    <x v="0"/>
    <x v="0"/>
    <x v="0"/>
    <x v="1"/>
    <x v="0"/>
    <n v="6.92"/>
    <x v="4"/>
    <n v="3.004"/>
    <n v="2.0350000000000001"/>
    <n v="32.256990679094535"/>
    <n v="70.592485549132945"/>
    <n v="4.1142917086311845"/>
    <n v="45.47"/>
    <n v="1.8149999999999999"/>
    <n v="11.345000000000001"/>
    <n v="0.29699999999999999"/>
    <n v="0.36362"/>
    <n v="0"/>
    <n v="0"/>
    <n v="0"/>
    <n v="0"/>
    <n v="2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20"/>
    <n v="0"/>
    <n v="0"/>
    <n v="0"/>
    <n v="1"/>
  </r>
  <r>
    <n v="54"/>
    <x v="0"/>
    <x v="0"/>
    <x v="0"/>
    <x v="4"/>
    <x v="0"/>
    <n v="6.98"/>
    <x v="4"/>
    <n v="5.7530000000000001"/>
    <n v="2.27"/>
    <n v="60.542325743090565"/>
    <n v="67.478510028653304"/>
    <n v="4.0136408431771349"/>
    <n v="45.38"/>
    <n v="1.7869999999999999"/>
    <n v="11.166"/>
    <n v="0.438"/>
    <n v="0.30499999999999999"/>
    <n v="0"/>
    <n v="0"/>
    <n v="0"/>
    <n v="0"/>
    <n v="0"/>
    <n v="0"/>
    <n v="0"/>
    <n v="0"/>
    <n v="1"/>
    <n v="0"/>
    <n v="0"/>
    <n v="1"/>
    <n v="0"/>
    <n v="0"/>
    <n v="4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0"/>
    <n v="8"/>
    <n v="1"/>
    <n v="2"/>
    <n v="8"/>
    <n v="0"/>
    <n v="0"/>
    <n v="1"/>
    <n v="1"/>
  </r>
  <r>
    <n v="121"/>
    <x v="0"/>
    <x v="1"/>
    <x v="1"/>
    <x v="4"/>
    <x v="0"/>
    <n v="7.06"/>
    <x v="4"/>
    <n v="3.1890000000000001"/>
    <n v="1.7010000000000001"/>
    <n v="46.660395108184382"/>
    <n v="75.906515580736539"/>
    <n v="4.3136004959875907"/>
    <n v="43.7"/>
    <n v="1.52"/>
    <n v="9.5009999999999994"/>
    <n v="0.30399999999999999"/>
    <n v="0.3206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5"/>
    <x v="0"/>
    <x v="0"/>
    <x v="1"/>
    <x v="1"/>
    <x v="0"/>
    <n v="7"/>
    <x v="4"/>
    <n v="2.835"/>
    <n v="2.0030000000000001"/>
    <n v="29.347442680776009"/>
    <n v="71.385714285714286"/>
    <n v="4.1416358502677966"/>
    <n v="45.1"/>
    <n v="1.6539999999999999"/>
    <n v="10.337"/>
    <n v="0.26700000000000002"/>
    <n v="3.2000000000000028E-2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5"/>
    <n v="0"/>
    <n v="1"/>
    <n v="5"/>
    <n v="0"/>
    <n v="0"/>
    <n v="0"/>
    <n v="1"/>
  </r>
  <r>
    <n v="137"/>
    <x v="0"/>
    <x v="0"/>
    <x v="1"/>
    <x v="4"/>
    <x v="0"/>
    <n v="7.09"/>
    <x v="4"/>
    <n v="5.5010000000000003"/>
    <n v="2.6070000000000002"/>
    <n v="52.608616615160877"/>
    <n v="63.229901269393508"/>
    <n v="3.8908569634888361"/>
    <n v="45.38"/>
    <n v="1.5740000000000001"/>
    <n v="9.8379999999999992"/>
    <n v="0.28100000000000003"/>
    <n v="0.30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142"/>
    <x v="0"/>
    <x v="1"/>
    <x v="1"/>
    <x v="0"/>
    <x v="0"/>
    <n v="7.09"/>
    <x v="4"/>
    <n v="3.4390000000000001"/>
    <n v="2.0009999999999999"/>
    <n v="41.814480953765631"/>
    <n v="71.777150916784223"/>
    <n v="4.1554100428386045"/>
    <n v="41.25"/>
    <n v="1.4059999999999999"/>
    <n v="8.7910000000000004"/>
    <n v="0.26800000000000002"/>
    <n v="0.468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4"/>
    <x v="0"/>
    <x v="0"/>
    <x v="1"/>
    <x v="0"/>
    <x v="0"/>
    <n v="7.07"/>
    <x v="4"/>
    <n v="3.7879999999999998"/>
    <n v="2.9039999999999999"/>
    <n v="23.336853220696934"/>
    <n v="58.925035360678926"/>
    <n v="3.7801431408420965"/>
    <n v="44.19"/>
    <n v="1.6679999999999999"/>
    <n v="10.423999999999999"/>
    <n v="0.26900000000000002"/>
    <n v="0.16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5"/>
    <x v="0"/>
    <x v="1"/>
    <x v="1"/>
    <x v="1"/>
    <x v="0"/>
    <n v="7.01"/>
    <x v="4"/>
    <n v="60.712000000000003"/>
    <n v="1.2549999999999999"/>
    <n v="97.932863354855698"/>
    <n v="82.097004279600569"/>
    <n v="4.6105738863589165"/>
    <n v="42.7"/>
    <n v="1.3069999999999999"/>
    <n v="8.1709999999999994"/>
    <n v="0.28799999999999998"/>
    <n v="0.11961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5"/>
    <x v="0"/>
    <x v="1"/>
    <x v="1"/>
    <x v="1"/>
    <x v="0"/>
    <n v="7"/>
    <x v="4"/>
    <n v="3.76"/>
    <n v="1.234"/>
    <n v="67.180851063829778"/>
    <n v="82.371428571428567"/>
    <n v="4.6260209814682822"/>
    <n v="45.28"/>
    <n v="1.5369999999999999"/>
    <n v="9.6069999999999993"/>
    <n v="0.27600000000000002"/>
    <n v="0.2326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4"/>
    <x v="0"/>
    <x v="0"/>
    <x v="1"/>
    <x v="2"/>
    <x v="0"/>
    <n v="7"/>
    <x v="4"/>
    <n v="3.82"/>
    <n v="2.64"/>
    <n v="30.890052356020938"/>
    <n v="62.285714285714278"/>
    <n v="3.8655029897932529"/>
    <n v="43.57"/>
    <n v="1.454"/>
    <n v="9.09"/>
    <n v="0.42899999999999999"/>
    <n v="0.84861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1"/>
    <x v="1"/>
    <x v="1"/>
    <x v="0"/>
    <x v="1"/>
    <x v="0"/>
    <n v="7.0299999999999994"/>
    <x v="4"/>
    <n v="8.6590000000000007"/>
    <n v="1.8069999999999999"/>
    <n v="79.131539438734265"/>
    <n v="74.295874822190598"/>
    <n v="4.2488904521086468"/>
    <n v="46.8"/>
    <n v="1.6419999999999999"/>
    <n v="10.262"/>
    <n v="0.39400000000000002"/>
    <n v="0.51200000000000001"/>
    <n v="3"/>
    <n v="0"/>
    <n v="0"/>
    <n v="0"/>
    <n v="0"/>
    <n v="0"/>
    <n v="0"/>
    <n v="0"/>
    <n v="1"/>
    <n v="0"/>
    <n v="0"/>
    <n v="1"/>
    <n v="0"/>
    <n v="0"/>
    <n v="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0"/>
    <n v="15"/>
    <n v="1"/>
    <n v="2"/>
    <n v="15"/>
    <n v="0"/>
    <n v="0"/>
    <n v="1"/>
    <n v="1"/>
  </r>
  <r>
    <n v="243"/>
    <x v="1"/>
    <x v="1"/>
    <x v="0"/>
    <x v="4"/>
    <x v="0"/>
    <n v="6.8900000000000006"/>
    <x v="4"/>
    <n v="8.5419999999999998"/>
    <n v="2.1150000000000002"/>
    <n v="75.239990634511827"/>
    <n v="69.303338171262695"/>
    <n v="4.0713880304234911"/>
    <n v="45.72"/>
    <n v="1.5669999999999999"/>
    <n v="9.7919999999999998"/>
    <n v="0.309"/>
    <n v="0.15962000000000001"/>
    <n v="0"/>
    <n v="1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7"/>
    <n v="1"/>
    <n v="2"/>
    <n v="8"/>
    <n v="0"/>
    <n v="0"/>
    <n v="0"/>
    <n v="1"/>
  </r>
  <r>
    <n v="252"/>
    <x v="1"/>
    <x v="1"/>
    <x v="0"/>
    <x v="0"/>
    <x v="0"/>
    <n v="6.9200000000000008"/>
    <x v="4"/>
    <n v="6.0010000000000003"/>
    <n v="2.302"/>
    <n v="61.639726712214639"/>
    <n v="66.734104046242777"/>
    <n v="3.9910092172260523"/>
    <n v="45.59"/>
    <n v="2.0569999999999999"/>
    <n v="12.856"/>
    <n v="0.25800000000000001"/>
    <n v="0.1640000000000000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256"/>
    <x v="1"/>
    <x v="0"/>
    <x v="0"/>
    <x v="1"/>
    <x v="0"/>
    <n v="7.5099999999999989"/>
    <x v="4"/>
    <n v="10.59"/>
    <n v="2.79"/>
    <n v="73.654390934844187"/>
    <n v="62.849533954727022"/>
    <n v="3.880565627838934"/>
    <n v="46.88"/>
    <n v="1.6839999999999999"/>
    <n v="10.523999999999999"/>
    <n v="0.38600000000000001"/>
    <n v="0.19762000000000002"/>
    <n v="4"/>
    <n v="2"/>
    <n v="0"/>
    <n v="1"/>
    <n v="0"/>
    <n v="0"/>
    <n v="0"/>
    <n v="0"/>
    <n v="0"/>
    <n v="0"/>
    <n v="1"/>
    <n v="0"/>
    <n v="0"/>
    <n v="0"/>
    <n v="2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6"/>
    <n v="0"/>
    <n v="30"/>
    <n v="0"/>
    <n v="1"/>
    <n v="30"/>
    <n v="0"/>
    <n v="0"/>
    <n v="0"/>
    <n v="1"/>
  </r>
  <r>
    <n v="258"/>
    <x v="1"/>
    <x v="1"/>
    <x v="1"/>
    <x v="2"/>
    <x v="0"/>
    <n v="6.92"/>
    <x v="4"/>
    <n v="5.17"/>
    <n v="1.405"/>
    <n v="72.823984526112184"/>
    <n v="79.696531791907503"/>
    <n v="4.4847502247400337"/>
    <n v="44.09"/>
    <n v="1.47"/>
    <n v="9.1890000000000001"/>
    <n v="0.33500000000000002"/>
    <n v="0.24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68"/>
    <x v="1"/>
    <x v="0"/>
    <x v="0"/>
    <x v="2"/>
    <x v="0"/>
    <n v="7.01"/>
    <x v="4"/>
    <n v="11.458"/>
    <n v="3.1469999999999998"/>
    <n v="72.534473730144882"/>
    <n v="55.106990014265335"/>
    <n v="3.6912598408603938"/>
    <n v="47.77"/>
    <n v="1.54"/>
    <n v="9.6229999999999993"/>
    <n v="0.42899999999999999"/>
    <n v="0.29661999999999999"/>
    <n v="4"/>
    <n v="2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0"/>
    <n v="10"/>
    <n v="0"/>
    <n v="1"/>
    <n v="10"/>
    <n v="0"/>
    <n v="0"/>
    <n v="0"/>
    <n v="1"/>
  </r>
  <r>
    <n v="270"/>
    <x v="1"/>
    <x v="1"/>
    <x v="0"/>
    <x v="3"/>
    <x v="0"/>
    <n v="7.0400000000000009"/>
    <x v="4"/>
    <n v="12.635999999999999"/>
    <n v="2.7440000000000002"/>
    <n v="78.284267173156067"/>
    <n v="61.02272727272728"/>
    <n v="3.8325632182024769"/>
    <n v="48.06"/>
    <n v="1.637"/>
    <n v="10.231999999999999"/>
    <n v="0.28199999999999997"/>
    <n v="0.31062000000000001"/>
    <n v="1"/>
    <n v="0"/>
    <n v="0"/>
    <n v="4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0"/>
    <n v="9"/>
    <n v="1"/>
    <n v="2"/>
    <n v="10"/>
    <n v="0"/>
    <n v="0"/>
    <n v="0"/>
    <n v="1"/>
  </r>
  <r>
    <n v="276"/>
    <x v="1"/>
    <x v="0"/>
    <x v="0"/>
    <x v="0"/>
    <x v="0"/>
    <n v="6.9899999999999993"/>
    <x v="4"/>
    <n v="12.234999999999999"/>
    <n v="2.2130000000000001"/>
    <n v="81.912545974662848"/>
    <n v="68.340486409155929"/>
    <n v="4.0405032530729708"/>
    <n v="47.05"/>
    <n v="1.9410000000000001"/>
    <n v="12.132999999999999"/>
    <n v="0.23200000000000001"/>
    <n v="0.21200000000000002"/>
    <n v="0"/>
    <n v="1"/>
    <n v="0"/>
    <n v="0"/>
    <n v="1"/>
    <n v="1"/>
    <n v="0"/>
    <n v="0"/>
    <n v="1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5"/>
    <n v="0"/>
    <n v="23"/>
    <n v="0"/>
    <n v="1"/>
    <n v="23"/>
    <n v="0"/>
    <n v="0"/>
    <n v="0"/>
    <n v="1"/>
  </r>
  <r>
    <n v="289"/>
    <x v="1"/>
    <x v="0"/>
    <x v="0"/>
    <x v="3"/>
    <x v="0"/>
    <n v="6.97"/>
    <x v="4"/>
    <n v="10.379"/>
    <n v="2.4510000000000001"/>
    <n v="76.385008189613629"/>
    <n v="64.835007173601156"/>
    <n v="3.9354908781226214"/>
    <n v="45.45"/>
    <n v="1.72"/>
    <n v="10.747"/>
    <n v="0.26900000000000002"/>
    <n v="0.23762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6"/>
    <n v="0"/>
    <n v="1"/>
    <n v="6"/>
    <n v="0"/>
    <n v="0"/>
    <n v="0"/>
    <n v="1"/>
  </r>
  <r>
    <n v="376"/>
    <x v="1"/>
    <x v="1"/>
    <x v="1"/>
    <x v="3"/>
    <x v="0"/>
    <n v="6.94"/>
    <x v="4"/>
    <n v="9.9740000000000002"/>
    <n v="3.577"/>
    <n v="64.13675556446762"/>
    <n v="48.458213256484157"/>
    <n v="3.5531490721379972"/>
    <n v="46.52"/>
    <n v="1.357"/>
    <n v="8.4830000000000005"/>
    <n v="0.29099999999999998"/>
    <n v="0.23762"/>
    <n v="0"/>
    <n v="1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0"/>
    <n v="6"/>
    <n v="0"/>
    <n v="1"/>
    <n v="6"/>
    <n v="0"/>
    <n v="0"/>
    <n v="0"/>
    <n v="1"/>
  </r>
  <r>
    <n v="377"/>
    <x v="1"/>
    <x v="0"/>
    <x v="1"/>
    <x v="2"/>
    <x v="0"/>
    <n v="7.01"/>
    <x v="4"/>
    <n v="6.3360000000000003"/>
    <n v="2.6859999999999999"/>
    <n v="57.607323232323239"/>
    <n v="61.683309557774614"/>
    <n v="3.8496563608416174"/>
    <n v="46.96"/>
    <n v="1.4430000000000001"/>
    <n v="9.0169999999999995"/>
    <n v="0.317"/>
    <n v="0.28361999999999998"/>
    <n v="1"/>
    <n v="1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8"/>
    <n v="0"/>
    <n v="1"/>
    <n v="8"/>
    <n v="0"/>
    <n v="0"/>
    <n v="0"/>
    <n v="1"/>
  </r>
  <r>
    <n v="380"/>
    <x v="1"/>
    <x v="1"/>
    <x v="1"/>
    <x v="0"/>
    <x v="0"/>
    <n v="6.99"/>
    <x v="4"/>
    <n v="5.4809999999999999"/>
    <n v="2.5950000000000002"/>
    <n v="52.65462506841817"/>
    <n v="62.875536480686691"/>
    <n v="3.8812657975240317"/>
    <n v="45.82"/>
    <n v="1.3839999999999999"/>
    <n v="8.6479999999999997"/>
    <n v="0.26400000000000001"/>
    <n v="0.19362000000000001"/>
    <n v="1"/>
    <n v="2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0"/>
    <n v="7"/>
    <n v="0"/>
    <n v="1"/>
    <n v="7"/>
    <n v="0"/>
    <n v="0"/>
    <n v="0"/>
    <n v="1"/>
  </r>
  <r>
    <n v="388"/>
    <x v="1"/>
    <x v="1"/>
    <x v="1"/>
    <x v="2"/>
    <x v="0"/>
    <n v="6.98"/>
    <x v="4"/>
    <n v="11.471"/>
    <n v="1.3240000000000001"/>
    <n v="88.45785023101736"/>
    <n v="81.031518624641848"/>
    <n v="4.5527632171556291"/>
    <n v="46.15"/>
    <n v="1.173"/>
    <n v="7.3339999999999996"/>
    <n v="0.23899999999999999"/>
    <n v="0.29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3"/>
    <n v="0"/>
    <n v="2"/>
    <n v="2"/>
    <n v="2"/>
    <n v="4"/>
    <n v="0"/>
    <n v="0"/>
    <n v="0"/>
    <n v="1"/>
  </r>
  <r>
    <n v="400"/>
    <x v="1"/>
    <x v="0"/>
    <x v="1"/>
    <x v="0"/>
    <x v="0"/>
    <n v="6.91"/>
    <x v="4"/>
    <n v="10.029"/>
    <n v="2.448"/>
    <n v="75.590786718516298"/>
    <n v="64.573082489146159"/>
    <n v="3.9280700310256633"/>
    <n v="46.1"/>
    <n v="1.4610000000000001"/>
    <n v="9.1310000000000002"/>
    <n v="0.309"/>
    <n v="0.26862000000000003"/>
    <n v="1"/>
    <n v="0"/>
    <n v="0"/>
    <n v="1"/>
    <n v="0"/>
    <n v="1"/>
    <n v="0"/>
    <n v="0"/>
    <n v="1"/>
    <n v="0"/>
    <n v="0"/>
    <n v="0"/>
    <n v="0"/>
    <n v="0"/>
    <n v="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6"/>
    <n v="0"/>
    <n v="37"/>
    <n v="0"/>
    <n v="1"/>
    <n v="37"/>
    <n v="0"/>
    <n v="0"/>
    <n v="0"/>
    <n v="1"/>
  </r>
  <r>
    <n v="406"/>
    <x v="1"/>
    <x v="0"/>
    <x v="1"/>
    <x v="1"/>
    <x v="0"/>
    <n v="6.97"/>
    <x v="4"/>
    <n v="8.3879999999999999"/>
    <n v="2.036"/>
    <n v="75.727229375298037"/>
    <n v="70.789096126255373"/>
    <n v="4.1209998839803212"/>
    <n v="45.98"/>
    <n v="1.512"/>
    <n v="9.4480000000000004"/>
    <n v="0.32400000000000001"/>
    <n v="0.40062000000000003"/>
    <n v="1"/>
    <n v="0"/>
    <n v="0"/>
    <n v="0"/>
    <n v="0"/>
    <n v="0"/>
    <n v="0"/>
    <n v="0"/>
    <n v="0"/>
    <n v="1"/>
    <n v="0"/>
    <n v="1"/>
    <n v="1"/>
    <n v="0"/>
    <n v="1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"/>
    <n v="0"/>
    <n v="20"/>
    <n v="0"/>
    <n v="1"/>
    <n v="19"/>
    <n v="0"/>
    <n v="0"/>
    <n v="1"/>
    <n v="1"/>
  </r>
  <r>
    <n v="409"/>
    <x v="1"/>
    <x v="0"/>
    <x v="1"/>
    <x v="3"/>
    <x v="0"/>
    <n v="6.93"/>
    <x v="4"/>
    <n v="6.2649999999999997"/>
    <n v="1.863"/>
    <n v="70.263367916999201"/>
    <n v="73.11688311688313"/>
    <n v="4.2040434794785249"/>
    <n v="45.92"/>
    <n v="1.5009999999999999"/>
    <n v="9.3810000000000002"/>
    <n v="0.26100000000000001"/>
    <n v="0.33"/>
    <n v="2"/>
    <n v="1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0"/>
    <n v="7"/>
    <n v="1"/>
    <n v="2"/>
    <n v="8"/>
    <n v="0"/>
    <n v="0"/>
    <n v="0"/>
    <n v="1"/>
  </r>
  <r>
    <n v="410"/>
    <x v="1"/>
    <x v="1"/>
    <x v="1"/>
    <x v="1"/>
    <x v="0"/>
    <n v="6.95"/>
    <x v="4"/>
    <n v="4.8129999999999997"/>
    <n v="1.3640000000000001"/>
    <n v="71.660087263660927"/>
    <n v="80.374100719424462"/>
    <n v="4.5186918580515956"/>
    <n v="47.7"/>
    <n v="1.331"/>
    <n v="8.3209999999999997"/>
    <n v="0.30499999999999999"/>
    <n v="0.13762000000000002"/>
    <n v="2"/>
    <n v="0"/>
    <n v="0"/>
    <n v="0"/>
    <n v="0"/>
    <n v="0"/>
    <n v="0"/>
    <n v="0"/>
    <n v="0"/>
    <n v="0"/>
    <n v="0"/>
    <n v="1"/>
    <n v="0"/>
    <n v="0"/>
    <n v="1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9"/>
    <n v="6"/>
    <n v="0"/>
    <n v="17"/>
    <n v="2"/>
    <n v="2"/>
    <n v="17"/>
    <n v="0"/>
    <n v="0"/>
    <n v="2"/>
    <n v="1"/>
  </r>
  <r>
    <n v="411"/>
    <x v="1"/>
    <x v="1"/>
    <x v="1"/>
    <x v="4"/>
    <x v="0"/>
    <n v="7.01"/>
    <x v="4"/>
    <n v="10.593999999999999"/>
    <n v="3.1480000000000001"/>
    <n v="70.285067019067398"/>
    <n v="55.092724679029956"/>
    <n v="3.6909421283875066"/>
    <n v="45.22"/>
    <n v="1.38"/>
    <n v="8.6229999999999993"/>
    <n v="0.32900000000000001"/>
    <n v="0.12562000000000001"/>
    <n v="0"/>
    <n v="1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4"/>
    <n v="0"/>
    <n v="0"/>
    <n v="1"/>
    <n v="1"/>
  </r>
  <r>
    <n v="458"/>
    <x v="0"/>
    <x v="0"/>
    <x v="1"/>
    <x v="3"/>
    <x v="0"/>
    <n v="7.04"/>
    <x v="4"/>
    <n v="3.4689999999999999"/>
    <n v="1.92"/>
    <n v="44.652637647737095"/>
    <n v="72.727272727272734"/>
    <n v="4.1896547420264261"/>
    <n v="49.07"/>
    <n v="1.5720000000000001"/>
    <n v="9.8249999999999993"/>
    <n v="0.30099999999999999"/>
    <n v="0.30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4"/>
    <x v="2"/>
    <x v="1"/>
    <x v="0"/>
    <x v="3"/>
    <x v="0"/>
    <n v="7.06"/>
    <x v="4"/>
    <n v="5.694"/>
    <n v="1.88"/>
    <n v="33.017211099402878"/>
    <n v="73.371104815864015"/>
    <n v="4.2135450325594572"/>
    <n v="46.41"/>
    <n v="1.4930000000000001"/>
    <n v="9.3290000000000006"/>
    <n v="0.43"/>
    <n v="0.430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485"/>
    <x v="2"/>
    <x v="0"/>
    <x v="0"/>
    <x v="1"/>
    <x v="0"/>
    <n v="7"/>
    <x v="4"/>
    <n v="9.2940000000000005"/>
    <n v="2.609"/>
    <n v="28.071874327523133"/>
    <n v="62.728571428571435"/>
    <n v="3.8773149007968866"/>
    <n v="46.72"/>
    <n v="1.679"/>
    <n v="10.492000000000001"/>
    <n v="0.44400000000000001"/>
    <n v="0.40399999999999997"/>
    <n v="0"/>
    <n v="0"/>
    <n v="0"/>
    <n v="0"/>
    <n v="0"/>
    <n v="0"/>
    <n v="0"/>
    <n v="0"/>
    <n v="0"/>
    <n v="0"/>
    <n v="0"/>
    <n v="1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19"/>
    <n v="0"/>
    <n v="0"/>
    <n v="1"/>
    <n v="1"/>
  </r>
  <r>
    <n v="495"/>
    <x v="2"/>
    <x v="1"/>
    <x v="0"/>
    <x v="1"/>
    <x v="0"/>
    <n v="6.99"/>
    <x v="4"/>
    <n v="6.4180000000000001"/>
    <n v="2.133"/>
    <n v="33.234652539732004"/>
    <n v="69.484978540772531"/>
    <n v="4.07732287465267"/>
    <n v="42.86"/>
    <n v="1.5409999999999999"/>
    <n v="9.6280000000000001"/>
    <n v="0.40799999999999997"/>
    <n v="0.37762000000000001"/>
    <n v="4"/>
    <n v="3"/>
    <n v="0"/>
    <n v="0"/>
    <n v="2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6"/>
    <n v="0"/>
    <n v="14"/>
    <n v="0"/>
    <n v="1"/>
    <n v="13"/>
    <n v="0"/>
    <n v="0"/>
    <n v="1"/>
    <n v="1"/>
  </r>
  <r>
    <n v="504"/>
    <x v="2"/>
    <x v="0"/>
    <x v="0"/>
    <x v="2"/>
    <x v="0"/>
    <n v="6.9"/>
    <x v="4"/>
    <n v="3.2210000000000001"/>
    <n v="1.4359999999999999"/>
    <n v="44.582427817447993"/>
    <n v="79.188405797101453"/>
    <n v="4.4600316988733457"/>
    <n v="46.64"/>
    <n v="1.8140000000000001"/>
    <n v="11.335000000000001"/>
    <n v="0.435"/>
    <n v="0.3786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9"/>
    <x v="2"/>
    <x v="1"/>
    <x v="0"/>
    <x v="2"/>
    <x v="0"/>
    <n v="7.04"/>
    <x v="4"/>
    <n v="4.9059999999999997"/>
    <n v="2.1"/>
    <n v="42.804728903383612"/>
    <n v="70.170454545454547"/>
    <n v="4.1000425833367382"/>
    <n v="45.38"/>
    <n v="1.91"/>
    <n v="11.938000000000001"/>
    <n v="0.24299999999999999"/>
    <n v="0.13662000000000002"/>
    <n v="2"/>
    <n v="3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5"/>
    <n v="0"/>
    <n v="15"/>
    <n v="1"/>
    <n v="2"/>
    <n v="16"/>
    <n v="0"/>
    <n v="0"/>
    <n v="0"/>
    <n v="1"/>
  </r>
  <r>
    <n v="512"/>
    <x v="2"/>
    <x v="1"/>
    <x v="0"/>
    <x v="0"/>
    <x v="0"/>
    <n v="7.08"/>
    <x v="4"/>
    <n v="8.2509999999999994"/>
    <n v="1.8120000000000001"/>
    <n v="21.960974427342141"/>
    <n v="74.406779661016941"/>
    <n v="4.2532144579810058"/>
    <n v="45.44"/>
    <n v="1.4550000000000001"/>
    <n v="9.0950000000000006"/>
    <n v="0.46400000000000002"/>
    <n v="0.49200000000000005"/>
    <n v="0"/>
    <n v="1"/>
    <n v="0"/>
    <n v="0"/>
    <n v="1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"/>
    <n v="0"/>
    <n v="14"/>
    <n v="1"/>
    <n v="2"/>
    <n v="15"/>
    <n v="0"/>
    <n v="0"/>
    <n v="0"/>
    <n v="1"/>
  </r>
  <r>
    <n v="519"/>
    <x v="2"/>
    <x v="0"/>
    <x v="0"/>
    <x v="3"/>
    <x v="0"/>
    <n v="7"/>
    <x v="4"/>
    <n v="7.3620000000000001"/>
    <n v="2.8380000000000001"/>
    <n v="38.549307253463731"/>
    <n v="59.457142857142856"/>
    <n v="3.7931823282136272"/>
    <n v="45.5"/>
    <n v="1.6160000000000001"/>
    <n v="10.102"/>
    <n v="0.51"/>
    <n v="0.34100000000000003"/>
    <n v="5"/>
    <n v="4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3"/>
    <n v="0"/>
    <n v="16"/>
    <n v="0"/>
    <n v="1"/>
    <n v="16"/>
    <n v="0"/>
    <n v="0"/>
    <n v="0"/>
    <n v="1"/>
  </r>
  <r>
    <n v="520"/>
    <x v="2"/>
    <x v="0"/>
    <x v="0"/>
    <x v="0"/>
    <x v="0"/>
    <n v="7.07"/>
    <x v="4"/>
    <n v="6.2460000000000004"/>
    <n v="2.637"/>
    <n v="42.21902017291066"/>
    <n v="62.701555869872692"/>
    <n v="3.8765903304334968"/>
    <n v="43.09"/>
    <n v="1.7110000000000001"/>
    <n v="10.692"/>
    <n v="0.52700000000000002"/>
    <n v="0.52961999999999998"/>
    <n v="3"/>
    <n v="2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0"/>
    <n v="8"/>
    <n v="0"/>
    <n v="1"/>
    <n v="8"/>
    <n v="0"/>
    <n v="0"/>
    <n v="0"/>
    <n v="1"/>
  </r>
  <r>
    <n v="538"/>
    <x v="2"/>
    <x v="1"/>
    <x v="0"/>
    <x v="4"/>
    <x v="0"/>
    <n v="7.06"/>
    <x v="4"/>
    <n v="5.8520000000000003"/>
    <n v="1.8759999999999999"/>
    <n v="32.057416267942578"/>
    <n v="73.427762039660053"/>
    <n v="4.2156749588172824"/>
    <n v="46.51"/>
    <n v="1.744"/>
    <n v="10.901999999999999"/>
    <n v="0.42599999999999999"/>
    <n v="0.3156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9"/>
    <x v="2"/>
    <x v="0"/>
    <x v="0"/>
    <x v="4"/>
    <x v="0"/>
    <n v="7.01"/>
    <x v="4"/>
    <n v="6.1340000000000003"/>
    <n v="1.827"/>
    <n v="29.784805999347896"/>
    <n v="73.93723252496433"/>
    <n v="4.2350341815467933"/>
    <n v="46.09"/>
    <n v="1.919"/>
    <n v="11.992000000000001"/>
    <n v="0.56999999999999995"/>
    <n v="0.63761999999999996"/>
    <n v="2"/>
    <n v="6"/>
    <n v="0"/>
    <n v="0"/>
    <n v="0"/>
    <n v="1"/>
    <n v="0"/>
    <n v="0"/>
    <n v="0"/>
    <n v="1"/>
    <n v="0"/>
    <n v="2"/>
    <n v="0"/>
    <n v="0"/>
    <n v="1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8"/>
    <n v="0"/>
    <n v="25"/>
    <n v="1"/>
    <n v="2"/>
    <n v="24"/>
    <n v="0"/>
    <n v="0"/>
    <n v="2"/>
    <n v="1"/>
  </r>
  <r>
    <n v="602"/>
    <x v="2"/>
    <x v="1"/>
    <x v="1"/>
    <x v="1"/>
    <x v="0"/>
    <n v="7.04"/>
    <x v="4"/>
    <n v="3.4990000000000001"/>
    <n v="1.4990000000000001"/>
    <n v="42.840811660474422"/>
    <n v="78.707386363636374"/>
    <n v="4.4371817089456549"/>
    <n v="47.45"/>
    <n v="2.4550000000000001"/>
    <n v="15.343"/>
    <n v="0.26300000000000001"/>
    <n v="0.49700000000000005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614"/>
    <x v="2"/>
    <x v="1"/>
    <x v="1"/>
    <x v="2"/>
    <x v="0"/>
    <n v="6.95"/>
    <x v="4"/>
    <n v="9.9260000000000002"/>
    <n v="1.669"/>
    <n v="16.814426758009269"/>
    <n v="75.985611510791372"/>
    <n v="4.3168887727931677"/>
    <n v="46.7"/>
    <n v="1.3660000000000001"/>
    <n v="8.5389999999999997"/>
    <n v="0.28100000000000003"/>
    <n v="0.22962000000000002"/>
    <n v="4"/>
    <n v="2"/>
    <n v="0"/>
    <n v="1"/>
    <n v="0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8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9"/>
    <n v="0"/>
    <n v="20"/>
    <n v="6"/>
    <n v="2"/>
    <n v="25"/>
    <n v="0"/>
    <n v="0"/>
    <n v="1"/>
    <n v="1"/>
  </r>
  <r>
    <n v="631"/>
    <x v="2"/>
    <x v="1"/>
    <x v="1"/>
    <x v="4"/>
    <x v="0"/>
    <n v="7.09"/>
    <x v="4"/>
    <n v="7.7930000000000001"/>
    <n v="2.4140000000000001"/>
    <n v="30.97651738739895"/>
    <n v="65.952045133991547"/>
    <n v="3.9677719757648608"/>
    <n v="47.45"/>
    <n v="1.7490000000000001"/>
    <n v="10.929"/>
    <n v="0.44600000000000001"/>
    <n v="0.32362000000000002"/>
    <n v="1"/>
    <n v="5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4"/>
    <n v="0"/>
    <n v="13"/>
    <n v="0"/>
    <n v="1"/>
    <n v="13"/>
    <n v="0"/>
    <n v="0"/>
    <n v="0"/>
    <n v="1"/>
  </r>
  <r>
    <n v="634"/>
    <x v="2"/>
    <x v="0"/>
    <x v="1"/>
    <x v="0"/>
    <x v="0"/>
    <n v="7.05"/>
    <x v="4"/>
    <n v="5.0049999999999999"/>
    <n v="1.905"/>
    <n v="38.061938061938058"/>
    <n v="72.978723404255319"/>
    <n v="4.1989173661416777"/>
    <n v="46.66"/>
    <n v="2.8130000000000002"/>
    <n v="17.581"/>
    <n v="0.317"/>
    <n v="0.34861999999999999"/>
    <n v="1"/>
    <n v="0"/>
    <n v="0"/>
    <n v="0"/>
    <n v="0"/>
    <n v="0"/>
    <n v="0"/>
    <n v="0"/>
    <n v="0"/>
    <n v="1"/>
    <n v="0"/>
    <n v="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0"/>
    <n v="12"/>
    <n v="0"/>
    <n v="1"/>
    <n v="11"/>
    <n v="0"/>
    <n v="0"/>
    <n v="1"/>
    <n v="1"/>
  </r>
  <r>
    <n v="639"/>
    <x v="2"/>
    <x v="1"/>
    <x v="1"/>
    <x v="0"/>
    <x v="0"/>
    <n v="6.95"/>
    <x v="4"/>
    <n v="3.2250000000000001"/>
    <n v="2.0059999999999998"/>
    <n v="62.201550387596896"/>
    <n v="71.136690647482027"/>
    <n v="4.132970727933122"/>
    <n v="43.06"/>
    <n v="1.7350000000000001"/>
    <n v="10.843999999999999"/>
    <n v="0.31"/>
    <n v="0.39762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55"/>
    <x v="2"/>
    <x v="0"/>
    <x v="1"/>
    <x v="4"/>
    <x v="0"/>
    <n v="7.02"/>
    <x v="4"/>
    <n v="6.6580000000000004"/>
    <n v="3.32"/>
    <n v="49.864824271553019"/>
    <n v="52.706552706552699"/>
    <n v="3.6391701930054872"/>
    <n v="46.77"/>
    <n v="2.3479999999999999"/>
    <n v="14.675000000000001"/>
    <n v="0.28299999999999997"/>
    <n v="0.43962000000000001"/>
    <n v="0"/>
    <n v="0"/>
    <n v="0"/>
    <n v="0"/>
    <n v="0"/>
    <n v="1"/>
    <n v="0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8"/>
    <n v="0"/>
    <n v="1"/>
    <n v="8"/>
    <n v="0"/>
    <n v="0"/>
    <n v="0"/>
    <n v="1"/>
  </r>
  <r>
    <n v="675"/>
    <x v="2"/>
    <x v="0"/>
    <x v="1"/>
    <x v="2"/>
    <x v="0"/>
    <n v="7"/>
    <x v="4"/>
    <n v="4.0469999999999997"/>
    <n v="2.0089999999999999"/>
    <n v="49.641709908574256"/>
    <n v="71.3"/>
    <n v="4.1386448211186808"/>
    <n v="45.69"/>
    <n v="1.589"/>
    <n v="9.9280000000000008"/>
    <n v="0.28199999999999997"/>
    <n v="0.27799999999999997"/>
    <n v="5"/>
    <n v="5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5"/>
    <n v="1"/>
    <n v="15"/>
    <n v="0"/>
    <n v="2"/>
    <n v="15"/>
    <n v="0"/>
    <n v="0"/>
    <n v="1"/>
    <n v="1"/>
  </r>
  <r>
    <s v="BCLR2"/>
    <x v="2"/>
    <x v="1"/>
    <x v="1"/>
    <x v="3"/>
    <x v="0"/>
    <n v="7"/>
    <x v="4"/>
    <n v="3.1720000000000002"/>
    <n v="1.0509999999999999"/>
    <n v="33.13366960907944"/>
    <n v="84.98571428571428"/>
    <n v="4.7865398150566643"/>
    <n v="45.76"/>
    <n v="1.369"/>
    <n v="8.5559999999999992"/>
    <n v="0.254"/>
    <n v="0.27199999999999996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6"/>
    <n v="0"/>
    <n v="1"/>
    <n v="6"/>
    <n v="0"/>
    <n v="0"/>
    <n v="0"/>
    <n v="1"/>
  </r>
  <r>
    <s v="BCUP4"/>
    <x v="2"/>
    <x v="0"/>
    <x v="0"/>
    <x v="1"/>
    <x v="0"/>
    <n v="7"/>
    <x v="4"/>
    <n v="4.9050000000000002"/>
    <n v="2.2149999999999999"/>
    <n v="45.15800203873598"/>
    <n v="68.357142857142861"/>
    <n v="4.0410295034543795"/>
    <n v="44.49"/>
    <n v="1.8720000000000001"/>
    <n v="11.702"/>
    <n v="0.42199999999999999"/>
    <n v="0.32300000000000001"/>
    <n v="4"/>
    <n v="1"/>
    <n v="0"/>
    <n v="1"/>
    <n v="0"/>
    <n v="0"/>
    <n v="0"/>
    <n v="1"/>
    <n v="0"/>
    <n v="0"/>
    <n v="0"/>
    <n v="0"/>
    <n v="0"/>
    <n v="1"/>
    <n v="8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8"/>
    <n v="0"/>
    <n v="21"/>
    <n v="0"/>
    <n v="1"/>
    <n v="20"/>
    <n v="0"/>
    <n v="0"/>
    <n v="1"/>
    <n v="1"/>
  </r>
  <r>
    <s v="BCUPR2"/>
    <x v="2"/>
    <x v="0"/>
    <x v="1"/>
    <x v="3"/>
    <x v="0"/>
    <n v="7"/>
    <x v="4"/>
    <n v="4.8129999999999997"/>
    <n v="1.5409999999999999"/>
    <n v="32.017452732183671"/>
    <n v="77.98571428571428"/>
    <n v="4.4038503506134994"/>
    <n v="43.9"/>
    <n v="2.6429999999999998"/>
    <n v="16.518999999999998"/>
    <n v="0.32700000000000001"/>
    <n v="0.10161999999999999"/>
    <n v="0"/>
    <n v="1"/>
    <n v="0"/>
    <n v="0"/>
    <n v="0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0"/>
    <n v="7"/>
    <n v="0"/>
    <n v="1"/>
    <n v="7"/>
    <n v="0"/>
    <n v="0"/>
    <n v="0"/>
    <n v="1"/>
  </r>
  <r>
    <s v="HCLP2"/>
    <x v="0"/>
    <x v="1"/>
    <x v="0"/>
    <x v="3"/>
    <x v="0"/>
    <n v="7"/>
    <x v="4"/>
    <n v="3.8969999999999998"/>
    <n v="2.343"/>
    <n v="39.876828329484212"/>
    <n v="66.528571428571425"/>
    <n v="3.9848497474258195"/>
    <n v="45.26"/>
    <n v="1.6859999999999999"/>
    <n v="10.536"/>
    <n v="0.20899999999999999"/>
    <n v="0.18962000000000001"/>
    <n v="0"/>
    <n v="1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0"/>
    <n v="8"/>
    <n v="0"/>
    <n v="1"/>
    <n v="8"/>
    <n v="0"/>
    <n v="0"/>
    <n v="0"/>
    <n v="1"/>
  </r>
  <r>
    <s v="HCLR2"/>
    <x v="0"/>
    <x v="1"/>
    <x v="1"/>
    <x v="3"/>
    <x v="0"/>
    <n v="7"/>
    <x v="4"/>
    <n v="3.93"/>
    <n v="2.3540000000000001"/>
    <n v="40.101781170483456"/>
    <n v="66.371428571428567"/>
    <n v="3.9801658981133929"/>
    <n v="46.77"/>
    <n v="1.228"/>
    <n v="7.6779999999999999"/>
    <n v="0.318"/>
    <n v="0.343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CLR3"/>
    <x v="0"/>
    <x v="1"/>
    <x v="1"/>
    <x v="0"/>
    <x v="0"/>
    <n v="7"/>
    <x v="4"/>
    <n v="6.2729999999999997"/>
    <n v="1.026"/>
    <n v="83.644189383070298"/>
    <n v="85.342857142857142"/>
    <n v="4.8106141602029"/>
    <n v="45.48"/>
    <n v="1.51"/>
    <n v="9.4359999999999999"/>
    <n v="0.22800000000000001"/>
    <n v="0.28499999999999998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4"/>
    <n v="0"/>
    <n v="1"/>
    <n v="4"/>
    <n v="0"/>
    <n v="0"/>
    <n v="0"/>
    <n v="1"/>
  </r>
  <r>
    <s v="HCUR4"/>
    <x v="0"/>
    <x v="0"/>
    <x v="1"/>
    <x v="1"/>
    <x v="0"/>
    <n v="7"/>
    <x v="4"/>
    <n v="4.59"/>
    <n v="2.54"/>
    <n v="44.662309368191714"/>
    <n v="63.714285714285715"/>
    <n v="3.9041178259210327"/>
    <n v="45.09"/>
    <n v="1.51"/>
    <n v="9.4359999999999999"/>
    <n v="0.312"/>
    <n v="0.288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0"/>
    <x v="0"/>
    <x v="0"/>
    <x v="0"/>
    <x v="4"/>
    <x v="1"/>
    <n v="7.01"/>
    <x v="0"/>
    <n v="18.289000000000001"/>
    <n v="6.1349999999999998"/>
    <n v="66.455246322926357"/>
    <n v="12.482168330955778"/>
    <n v="0.13332762288362399"/>
    <n v="48.51"/>
    <n v="0.90200000000000002"/>
    <n v="5.6369999999999996"/>
    <n v="3.4540000000000002"/>
    <n v="1.99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"/>
    <x v="0"/>
    <x v="1"/>
    <x v="0"/>
    <x v="4"/>
    <x v="1"/>
    <n v="6.98"/>
    <x v="0"/>
    <n v="20.222000000000001"/>
    <n v="6.0730000000000004"/>
    <n v="69.968351300563754"/>
    <n v="12.994269340974213"/>
    <n v="0.13919619985884277"/>
    <n v="46.65"/>
    <n v="1.073"/>
    <n v="6.7080000000000002"/>
    <n v="2.0430000000000001"/>
    <n v="1.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"/>
    <x v="0"/>
    <x v="0"/>
    <x v="0"/>
    <x v="1"/>
    <x v="1"/>
    <n v="6.97"/>
    <x v="0"/>
    <n v="21.581"/>
    <n v="5.9640000000000004"/>
    <n v="72.364579954589686"/>
    <n v="14.433285509325671"/>
    <n v="0.15587382786994047"/>
    <n v="48.62"/>
    <n v="0.91500000000000004"/>
    <n v="5.7190000000000003"/>
    <n v="3.04"/>
    <n v="1.940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"/>
    <x v="0"/>
    <x v="1"/>
    <x v="0"/>
    <x v="1"/>
    <x v="1"/>
    <n v="7"/>
    <x v="0"/>
    <n v="21.952000000000002"/>
    <n v="5.9329999999999998"/>
    <n v="72.972849854227405"/>
    <n v="15.242857142857144"/>
    <n v="0.16538016177880716"/>
    <n v="48"/>
    <n v="0.82699999999999996"/>
    <n v="5.17"/>
    <n v="3.327"/>
    <n v="1.77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"/>
    <x v="0"/>
    <x v="1"/>
    <x v="0"/>
    <x v="3"/>
    <x v="1"/>
    <n v="6.98"/>
    <x v="0"/>
    <n v="8.6419999999999995"/>
    <n v="6"/>
    <n v="30.571626938208745"/>
    <n v="14.040114613180521"/>
    <n v="0.15128944754622617"/>
    <n v="48.12"/>
    <n v="1.0189999999999999"/>
    <n v="6.367"/>
    <n v="1.7929999999999999"/>
    <n v="1.3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"/>
    <x v="0"/>
    <x v="1"/>
    <x v="0"/>
    <x v="2"/>
    <x v="1"/>
    <n v="7.05"/>
    <x v="0"/>
    <n v="23.768000000000001"/>
    <n v="6.0179999999999998"/>
    <n v="74.68024234264557"/>
    <n v="14.638297872340425"/>
    <n v="0.15827263861632376"/>
    <n v="47.64"/>
    <n v="1.117"/>
    <n v="6.9809999999999999"/>
    <n v="2.3170000000000002"/>
    <n v="1.67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"/>
    <x v="0"/>
    <x v="1"/>
    <x v="0"/>
    <x v="0"/>
    <x v="1"/>
    <n v="7"/>
    <x v="0"/>
    <n v="18.914000000000001"/>
    <n v="5.8280000000000003"/>
    <n v="69.186845722745062"/>
    <n v="16.74285714285714"/>
    <n v="0.18323626072235483"/>
    <n v="48.31"/>
    <n v="1.0549999999999999"/>
    <n v="6.5940000000000003"/>
    <n v="3.5430000000000001"/>
    <n v="2.35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"/>
    <x v="0"/>
    <x v="0"/>
    <x v="0"/>
    <x v="0"/>
    <x v="1"/>
    <n v="6.98"/>
    <x v="0"/>
    <n v="16.603999999999999"/>
    <n v="5.9560000000000004"/>
    <n v="64.12912551192484"/>
    <n v="14.670487106017191"/>
    <n v="0.15864980195251857"/>
    <n v="47.44"/>
    <n v="0.98799999999999999"/>
    <n v="6.1769999999999996"/>
    <n v="2.649"/>
    <n v="1.8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"/>
    <x v="0"/>
    <x v="0"/>
    <x v="0"/>
    <x v="2"/>
    <x v="1"/>
    <n v="6.97"/>
    <x v="0"/>
    <n v="27.981000000000002"/>
    <n v="5.8"/>
    <n v="79.271648618705541"/>
    <n v="16.786226685796269"/>
    <n v="0.18375730722005884"/>
    <n v="48.22"/>
    <n v="0.90300000000000002"/>
    <n v="5.6459999999999999"/>
    <n v="3.1259999999999999"/>
    <n v="2.1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"/>
    <x v="0"/>
    <x v="0"/>
    <x v="0"/>
    <x v="3"/>
    <x v="1"/>
    <n v="7.04"/>
    <x v="0"/>
    <n v="20.465"/>
    <n v="5.9420000000000002"/>
    <n v="70.965062301490349"/>
    <n v="15.596590909090907"/>
    <n v="0.16956239312953506"/>
    <n v="47.37"/>
    <n v="1.0209999999999999"/>
    <n v="6.3810000000000002"/>
    <n v="3.2490000000000001"/>
    <n v="2.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0"/>
    <x v="0"/>
    <x v="0"/>
    <x v="1"/>
    <x v="1"/>
    <x v="1"/>
    <n v="7.03"/>
    <x v="0"/>
    <n v="19.683"/>
    <n v="5.99"/>
    <n v="69.567647208250776"/>
    <n v="14.793741109530584"/>
    <n v="0.1600952936952155"/>
    <n v="47.61"/>
    <n v="0.71399999999999997"/>
    <n v="4.4630000000000001"/>
    <n v="1.087"/>
    <n v="1.5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"/>
    <x v="0"/>
    <x v="1"/>
    <x v="1"/>
    <x v="4"/>
    <x v="1"/>
    <n v="6.98"/>
    <x v="0"/>
    <n v="17.946999999999999"/>
    <n v="5.9859999999999998"/>
    <n v="66.646236139744801"/>
    <n v="14.240687679083102"/>
    <n v="0.15362550734377409"/>
    <n v="48.72"/>
    <n v="0.68600000000000005"/>
    <n v="4.2859999999999996"/>
    <n v="1.163"/>
    <n v="1.49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6"/>
    <x v="0"/>
    <x v="1"/>
    <x v="1"/>
    <x v="0"/>
    <x v="1"/>
    <n v="7.04"/>
    <x v="0"/>
    <n v="17.068999999999999"/>
    <n v="6.1059999999999999"/>
    <n v="64.22754701505653"/>
    <n v="13.267045454545457"/>
    <n v="0.14233627585726494"/>
    <n v="48.02"/>
    <n v="0.69899999999999995"/>
    <n v="4.3680000000000003"/>
    <n v="0.67400000000000004"/>
    <n v="0.35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8"/>
    <x v="0"/>
    <x v="0"/>
    <x v="1"/>
    <x v="4"/>
    <x v="1"/>
    <n v="6.96"/>
    <x v="0"/>
    <n v="15.196"/>
    <n v="5.9489999999999998"/>
    <n v="60.851539878915503"/>
    <n v="14.52586206896552"/>
    <n v="0.15695633614055973"/>
    <n v="47.45"/>
    <n v="0.68400000000000005"/>
    <n v="4.2729999999999997"/>
    <n v="1.1020000000000001"/>
    <n v="1.18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9"/>
    <x v="0"/>
    <x v="1"/>
    <x v="1"/>
    <x v="2"/>
    <x v="1"/>
    <n v="6.95"/>
    <x v="0"/>
    <n v="20.204999999999998"/>
    <n v="6.04"/>
    <n v="70.106409304627576"/>
    <n v="13.093525179856117"/>
    <n v="0.14033764762997716"/>
    <n v="47.32"/>
    <n v="0.62"/>
    <n v="3.8769999999999998"/>
    <n v="0.89900000000000002"/>
    <n v="1.00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1"/>
    <x v="0"/>
    <x v="0"/>
    <x v="1"/>
    <x v="3"/>
    <x v="1"/>
    <n v="7.07"/>
    <x v="0"/>
    <n v="17.018999999999998"/>
    <n v="6.1029999999999998"/>
    <n v="64.140078735530864"/>
    <n v="13.677510608203686"/>
    <n v="0.14708002634612352"/>
    <n v="47.89"/>
    <n v="0.90400000000000003"/>
    <n v="5.6479999999999997"/>
    <n v="1.349"/>
    <n v="1.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2"/>
    <x v="0"/>
    <x v="1"/>
    <x v="1"/>
    <x v="1"/>
    <x v="1"/>
    <n v="6.95"/>
    <x v="0"/>
    <n v="23.971"/>
    <n v="5.8940000000000001"/>
    <n v="75.411956113637302"/>
    <n v="15.194244604316548"/>
    <n v="0.16480677526119775"/>
    <n v="47.93"/>
    <n v="0.81200000000000006"/>
    <n v="5.077"/>
    <n v="0.90700000000000003"/>
    <n v="1.21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2"/>
    <x v="0"/>
    <x v="0"/>
    <x v="1"/>
    <x v="0"/>
    <x v="1"/>
    <n v="7.04"/>
    <x v="0"/>
    <n v="15.645"/>
    <n v="6.0960000000000001"/>
    <n v="61.035474592521567"/>
    <n v="13.40909090909091"/>
    <n v="0.14397535178560583"/>
    <n v="47.85"/>
    <n v="0.92300000000000004"/>
    <n v="5.7709999999999999"/>
    <n v="1.24"/>
    <n v="1.6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1"/>
    <x v="0"/>
    <x v="0"/>
    <x v="1"/>
    <x v="2"/>
    <x v="1"/>
    <n v="6.94"/>
    <x v="0"/>
    <n v="23.359000000000002"/>
    <n v="5.92"/>
    <n v="74.656449334303687"/>
    <n v="14.697406340057642"/>
    <n v="0.15896532562279886"/>
    <n v="47.35"/>
    <n v="0.67300000000000004"/>
    <n v="4.2080000000000002"/>
    <n v="1.8120000000000001"/>
    <n v="2.307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x v="0"/>
    <x v="1"/>
    <x v="1"/>
    <x v="3"/>
    <x v="1"/>
    <n v="7"/>
    <x v="0"/>
    <n v="21.952000000000002"/>
    <n v="5.9550000000000001"/>
    <n v="72.872631195335273"/>
    <n v="14.928571428571427"/>
    <n v="0.16167894624804982"/>
    <n v="47.99"/>
    <n v="0.77"/>
    <n v="4.8150000000000004"/>
    <n v="1.881"/>
    <n v="2.099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2"/>
    <x v="1"/>
    <x v="0"/>
    <x v="0"/>
    <x v="3"/>
    <x v="1"/>
    <n v="7.02"/>
    <x v="0"/>
    <n v="27.716000000000001"/>
    <n v="6.39"/>
    <n v="76.944725068552458"/>
    <n v="8.9743589743589727"/>
    <n v="9.4028949648276336E-2"/>
    <n v="48.4"/>
    <n v="1.097"/>
    <n v="6.8559999999999999"/>
    <n v="1.8819999999999999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7"/>
    <x v="1"/>
    <x v="0"/>
    <x v="0"/>
    <x v="1"/>
    <x v="1"/>
    <n v="7"/>
    <x v="0"/>
    <n v="28.766999999999999"/>
    <n v="6.1989999999999998"/>
    <n v="78.45100288525046"/>
    <n v="11.442857142857145"/>
    <n v="0.12152216033553097"/>
    <n v="48.31"/>
    <n v="1.3069999999999999"/>
    <n v="8.1669999999999998"/>
    <n v="1.883"/>
    <n v="1.881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8"/>
    <x v="1"/>
    <x v="0"/>
    <x v="0"/>
    <x v="2"/>
    <x v="1"/>
    <n v="7.03"/>
    <x v="0"/>
    <n v="24.562999999999999"/>
    <n v="6.2290000000000001"/>
    <n v="74.64071978178562"/>
    <n v="11.394025604551922"/>
    <n v="0.12097089955056514"/>
    <n v="48.51"/>
    <n v="1.2909999999999999"/>
    <n v="8.07"/>
    <n v="1.996"/>
    <n v="2.03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9"/>
    <x v="1"/>
    <x v="1"/>
    <x v="0"/>
    <x v="1"/>
    <x v="1"/>
    <n v="6.98"/>
    <x v="0"/>
    <n v="23.59"/>
    <n v="6.3310000000000004"/>
    <n v="73.162356930902931"/>
    <n v="9.2979942693409736"/>
    <n v="9.7590715212291582E-2"/>
    <n v="48.03"/>
    <n v="1.1950000000000001"/>
    <n v="7.4720000000000004"/>
    <n v="1.524"/>
    <n v="1.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0"/>
    <x v="1"/>
    <x v="1"/>
    <x v="0"/>
    <x v="2"/>
    <x v="1"/>
    <n v="7"/>
    <x v="0"/>
    <n v="26.466999999999999"/>
    <n v="6.242"/>
    <n v="76.415914157252416"/>
    <n v="10.828571428571429"/>
    <n v="0.11460950520672565"/>
    <n v="47.99"/>
    <n v="1.4930000000000001"/>
    <n v="9.3309999999999995"/>
    <n v="1.2649999999999999"/>
    <n v="1.12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2"/>
    <x v="1"/>
    <x v="1"/>
    <x v="0"/>
    <x v="0"/>
    <x v="1"/>
    <n v="7.03"/>
    <x v="0"/>
    <n v="22.521000000000001"/>
    <n v="6.3259999999999996"/>
    <n v="71.910661160694474"/>
    <n v="10.014224751066864"/>
    <n v="0.10551858093911658"/>
    <n v="48.38"/>
    <n v="0.83399999999999996"/>
    <n v="5.2119999999999997"/>
    <n v="2.3330000000000002"/>
    <n v="2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4"/>
    <x v="1"/>
    <x v="0"/>
    <x v="0"/>
    <x v="0"/>
    <x v="1"/>
    <n v="7.03"/>
    <x v="0"/>
    <n v="22.056000000000001"/>
    <n v="6.2720000000000002"/>
    <n v="71.563293434893012"/>
    <n v="10.782361308677098"/>
    <n v="0.11409142277446685"/>
    <n v="47.72"/>
    <n v="0.98899999999999999"/>
    <n v="6.1779999999999999"/>
    <n v="2.69"/>
    <n v="2.04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9"/>
    <x v="1"/>
    <x v="1"/>
    <x v="0"/>
    <x v="4"/>
    <x v="1"/>
    <n v="7.05"/>
    <x v="0"/>
    <n v="25.251999999999999"/>
    <n v="6.28"/>
    <n v="75.130682718200532"/>
    <n v="10.921985815602831"/>
    <n v="0.11565763634406991"/>
    <n v="48.01"/>
    <n v="1.131"/>
    <n v="7.0679999999999996"/>
    <n v="2.3959999999999999"/>
    <n v="2.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7"/>
    <x v="1"/>
    <x v="0"/>
    <x v="0"/>
    <x v="4"/>
    <x v="1"/>
    <n v="6.97"/>
    <x v="0"/>
    <n v="27.899000000000001"/>
    <n v="6.2510000000000003"/>
    <n v="77.594179002831638"/>
    <n v="10.315638450502144"/>
    <n v="0.10887377382275709"/>
    <n v="49.9"/>
    <n v="0.84899999999999998"/>
    <n v="5.3090000000000002"/>
    <n v="2.1920000000000002"/>
    <n v="1.553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9"/>
    <x v="1"/>
    <x v="1"/>
    <x v="0"/>
    <x v="3"/>
    <x v="1"/>
    <n v="6.95"/>
    <x v="0"/>
    <n v="22.178999999999998"/>
    <n v="6.1589999999999998"/>
    <n v="72.230488299743001"/>
    <n v="11.381294964028783"/>
    <n v="0.12082723287179467"/>
    <n v="48.02"/>
    <n v="0.82499999999999996"/>
    <n v="5.1539999999999999"/>
    <n v="1.823"/>
    <n v="1.8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"/>
    <x v="1"/>
    <x v="1"/>
    <x v="1"/>
    <x v="0"/>
    <x v="1"/>
    <n v="6.92"/>
    <x v="0"/>
    <n v="15.962999999999999"/>
    <n v="6.3559999999999999"/>
    <n v="60.18292300945938"/>
    <n v="8.1502890173410414"/>
    <n v="8.5016520955108643E-2"/>
    <n v="47.45"/>
    <n v="0.84399999999999997"/>
    <n v="5.2729999999999997"/>
    <n v="1.2030000000000001"/>
    <n v="2.06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8"/>
    <x v="1"/>
    <x v="0"/>
    <x v="1"/>
    <x v="3"/>
    <x v="1"/>
    <n v="7.02"/>
    <x v="0"/>
    <n v="17.213000000000001"/>
    <n v="6.4020000000000001"/>
    <n v="62.807180619299366"/>
    <n v="8.8034188034187952"/>
    <n v="9.2152776490048341E-2"/>
    <n v="47.49"/>
    <n v="0.91900000000000004"/>
    <n v="5.7409999999999997"/>
    <n v="1.3140000000000001"/>
    <n v="1.68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2"/>
    <x v="1"/>
    <x v="0"/>
    <x v="1"/>
    <x v="1"/>
    <x v="1"/>
    <n v="6.98"/>
    <x v="0"/>
    <n v="20.782"/>
    <n v="6.5389999999999997"/>
    <n v="68.535270907516121"/>
    <n v="6.3180515759312428"/>
    <n v="6.5264668195142275E-2"/>
    <n v="47.81"/>
    <n v="0.61099999999999999"/>
    <n v="3.8210000000000002"/>
    <n v="1.335"/>
    <n v="1.87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7"/>
    <x v="1"/>
    <x v="0"/>
    <x v="1"/>
    <x v="4"/>
    <x v="1"/>
    <n v="7.08"/>
    <x v="0"/>
    <n v="25.393000000000001"/>
    <n v="6.476"/>
    <n v="74.496908596857409"/>
    <n v="8.5310734463276852"/>
    <n v="8.9170871890239728E-2"/>
    <n v="47.42"/>
    <n v="0.745"/>
    <n v="4.6589999999999998"/>
    <n v="1.1539999999999999"/>
    <n v="1.6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6"/>
    <x v="1"/>
    <x v="1"/>
    <x v="1"/>
    <x v="3"/>
    <x v="1"/>
    <n v="6.93"/>
    <x v="0"/>
    <n v="18.815999999999999"/>
    <n v="6.3920000000000003"/>
    <n v="66.028911564625844"/>
    <n v="7.7633477633477543"/>
    <n v="8.0812604737838176E-2"/>
    <n v="47.2"/>
    <n v="0.70699999999999996"/>
    <n v="4.4180000000000001"/>
    <n v="1.3129999999999999"/>
    <n v="1.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9"/>
    <x v="1"/>
    <x v="1"/>
    <x v="1"/>
    <x v="2"/>
    <x v="1"/>
    <n v="7.03"/>
    <x v="0"/>
    <n v="18.440000000000001"/>
    <n v="6.4420000000000002"/>
    <n v="65.0650759219089"/>
    <n v="8.3641536273115236"/>
    <n v="8.7347654913566442E-2"/>
    <n v="48.1"/>
    <n v="0.82599999999999996"/>
    <n v="5.1619999999999999"/>
    <n v="1.252"/>
    <n v="2.2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1"/>
    <x v="1"/>
    <x v="1"/>
    <x v="1"/>
    <x v="4"/>
    <x v="1"/>
    <n v="7.01"/>
    <x v="0"/>
    <n v="21.248000000000001"/>
    <n v="6.5209999999999999"/>
    <n v="69.310052710843379"/>
    <n v="6.9757489300998561"/>
    <n v="7.2309962635433489E-2"/>
    <n v="47.99"/>
    <n v="0.871"/>
    <n v="5.4459999999999997"/>
    <n v="1.327"/>
    <n v="1.93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1"/>
    <x v="1"/>
    <x v="0"/>
    <x v="1"/>
    <x v="2"/>
    <x v="1"/>
    <n v="6.95"/>
    <x v="0"/>
    <n v="21.41"/>
    <n v="6.2110000000000003"/>
    <n v="70.990191499299399"/>
    <n v="10.633093525179854"/>
    <n v="0.11241974599953475"/>
    <n v="47.39"/>
    <n v="0.89100000000000001"/>
    <n v="5.5679999999999996"/>
    <n v="0.93400000000000005"/>
    <n v="1.68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5"/>
    <x v="1"/>
    <x v="1"/>
    <x v="1"/>
    <x v="1"/>
    <x v="1"/>
    <n v="6.96"/>
    <x v="0"/>
    <n v="21.876000000000001"/>
    <n v="6.3330000000000002"/>
    <n v="71.050466264399347"/>
    <n v="9.008620689655169"/>
    <n v="9.4405416812034973E-2"/>
    <n v="48.69"/>
    <n v="0.84199999999999997"/>
    <n v="5.2610000000000001"/>
    <n v="1.2969999999999999"/>
    <n v="0.88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8"/>
    <x v="1"/>
    <x v="0"/>
    <x v="1"/>
    <x v="0"/>
    <x v="1"/>
    <n v="7.01"/>
    <x v="0"/>
    <n v="16.457999999999998"/>
    <n v="6.3639999999999999"/>
    <n v="61.33187507595089"/>
    <n v="9.2154065620542074"/>
    <n v="9.6680590570958277E-2"/>
    <n v="47.23"/>
    <n v="0.72299999999999998"/>
    <n v="4.5170000000000003"/>
    <n v="1.48"/>
    <n v="1.93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5"/>
    <x v="2"/>
    <x v="1"/>
    <x v="0"/>
    <x v="2"/>
    <x v="1"/>
    <n v="6.95"/>
    <x v="0"/>
    <n v="14.757999999999999"/>
    <n v="6.05"/>
    <n v="40.994714730993358"/>
    <n v="12.949640287769789"/>
    <n v="0.13868338753395076"/>
    <n v="47.78"/>
    <n v="0.79900000000000004"/>
    <n v="4.9930000000000003"/>
    <n v="3.3340000000000001"/>
    <n v="2.26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8"/>
    <x v="2"/>
    <x v="1"/>
    <x v="1"/>
    <x v="1"/>
    <x v="1"/>
    <n v="6.94"/>
    <x v="0"/>
    <n v="27.637"/>
    <n v="6.1440000000000001"/>
    <n v="22.231067047798241"/>
    <n v="11.469740634005767"/>
    <n v="0.1218257786733421"/>
    <n v="46.92"/>
    <n v="0.94599999999999995"/>
    <n v="5.9109999999999996"/>
    <n v="2.34"/>
    <n v="1.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9"/>
    <x v="2"/>
    <x v="0"/>
    <x v="1"/>
    <x v="1"/>
    <x v="1"/>
    <n v="7.09"/>
    <x v="0"/>
    <n v="22.611999999999998"/>
    <n v="6.2759999999999998"/>
    <n v="27.755174243764376"/>
    <n v="11.48095909732017"/>
    <n v="0.12195250567325004"/>
    <n v="47.11"/>
    <n v="1.0269999999999999"/>
    <n v="6.4210000000000003"/>
    <n v="2.5150000000000001"/>
    <n v="2.49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7"/>
    <x v="2"/>
    <x v="1"/>
    <x v="0"/>
    <x v="3"/>
    <x v="1"/>
    <n v="7.02"/>
    <x v="0"/>
    <n v="23.297999999999998"/>
    <n v="6.1"/>
    <n v="26.182504936046016"/>
    <n v="13.105413105413104"/>
    <n v="0.14047444685845425"/>
    <n v="47.88"/>
    <n v="0.875"/>
    <n v="5.4720000000000004"/>
    <n v="1.9510000000000001"/>
    <n v="1.78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5"/>
    <x v="2"/>
    <x v="1"/>
    <x v="1"/>
    <x v="0"/>
    <x v="1"/>
    <n v="7.03"/>
    <x v="0"/>
    <n v="21.145"/>
    <n v="6.109"/>
    <n v="28.890990777961694"/>
    <n v="13.100995732574683"/>
    <n v="0.14042361215494367"/>
    <n v="47.12"/>
    <n v="1.0029999999999999"/>
    <n v="6.2679999999999998"/>
    <n v="2.6139999999999999"/>
    <n v="1.83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7"/>
    <x v="2"/>
    <x v="0"/>
    <x v="0"/>
    <x v="2"/>
    <x v="1"/>
    <n v="7.08"/>
    <x v="0"/>
    <n v="20.315999999999999"/>
    <n v="6.1120000000000001"/>
    <n v="30.084662335105339"/>
    <n v="13.672316384180791"/>
    <n v="0.14701985584140906"/>
    <n v="48.89"/>
    <n v="0.93600000000000005"/>
    <n v="5.8470000000000004"/>
    <n v="3.3149999999999999"/>
    <n v="2.46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9"/>
    <x v="2"/>
    <x v="1"/>
    <x v="0"/>
    <x v="4"/>
    <x v="1"/>
    <n v="7.03"/>
    <x v="0"/>
    <n v="21.105"/>
    <n v="6.2119999999999997"/>
    <n v="29.433783463634207"/>
    <n v="11.635846372688485"/>
    <n v="0.12370380053613299"/>
    <n v="48"/>
    <n v="0.94199999999999995"/>
    <n v="5.8879999999999999"/>
    <n v="2.3769999999999998"/>
    <n v="2.283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0"/>
    <x v="2"/>
    <x v="0"/>
    <x v="0"/>
    <x v="3"/>
    <x v="1"/>
    <n v="7.02"/>
    <x v="0"/>
    <n v="19.54"/>
    <n v="6.3220000000000001"/>
    <n v="32.354145342886383"/>
    <n v="9.9430199430199373"/>
    <n v="0.1047276042442937"/>
    <n v="48.19"/>
    <n v="1.054"/>
    <n v="6.5890000000000004"/>
    <n v="2.6949999999999998"/>
    <n v="2.05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5"/>
    <x v="2"/>
    <x v="0"/>
    <x v="0"/>
    <x v="0"/>
    <x v="1"/>
    <n v="6.95"/>
    <x v="0"/>
    <n v="23.844999999999999"/>
    <n v="5.843"/>
    <n v="24.504088907527784"/>
    <n v="15.928057553956837"/>
    <n v="0.17349729600440089"/>
    <n v="48.65"/>
    <n v="1.006"/>
    <n v="6.2889999999999997"/>
    <n v="2.3639999999999999"/>
    <n v="2.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6"/>
    <x v="2"/>
    <x v="0"/>
    <x v="0"/>
    <x v="3"/>
    <x v="1"/>
    <n v="6.93"/>
    <x v="0"/>
    <n v="21.634"/>
    <n v="6.2850000000000001"/>
    <n v="29.051493020245911"/>
    <n v="9.3073593073593024"/>
    <n v="9.7693971159601004E-2"/>
    <n v="47.58"/>
    <n v="1.0629999999999999"/>
    <n v="6.641"/>
    <n v="0.96099999999999997"/>
    <n v="0.84800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1"/>
    <x v="2"/>
    <x v="0"/>
    <x v="1"/>
    <x v="0"/>
    <x v="1"/>
    <n v="7.04"/>
    <x v="0"/>
    <n v="18.713000000000001"/>
    <n v="6.2240000000000002"/>
    <n v="33.260300325976594"/>
    <n v="11.59090909090909"/>
    <n v="0.12319538329386048"/>
    <n v="47.69"/>
    <n v="0.78200000000000003"/>
    <n v="4.8849999999999998"/>
    <n v="1.214"/>
    <n v="1.89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3"/>
    <x v="2"/>
    <x v="1"/>
    <x v="1"/>
    <x v="2"/>
    <x v="1"/>
    <n v="7.03"/>
    <x v="0"/>
    <n v="16.286000000000001"/>
    <n v="6.2290000000000001"/>
    <n v="38.247574603954313"/>
    <n v="11.394025604551922"/>
    <n v="0.12097089955056514"/>
    <n v="48"/>
    <n v="0.83499999999999996"/>
    <n v="5.2190000000000003"/>
    <n v="1.1579999999999999"/>
    <n v="1.18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9"/>
    <x v="2"/>
    <x v="0"/>
    <x v="1"/>
    <x v="2"/>
    <x v="1"/>
    <n v="7.03"/>
    <x v="0"/>
    <n v="15.332000000000001"/>
    <n v="6.1079999999999997"/>
    <n v="39.838246804069918"/>
    <n v="13.115220483641544"/>
    <n v="0.14058731846618761"/>
    <n v="48.06"/>
    <n v="0.85099999999999998"/>
    <n v="5.3170000000000002"/>
    <n v="1.5629999999999999"/>
    <n v="1.940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8"/>
    <x v="2"/>
    <x v="1"/>
    <x v="0"/>
    <x v="1"/>
    <x v="1"/>
    <n v="7.02"/>
    <x v="0"/>
    <n v="18.283000000000001"/>
    <n v="6.0380000000000003"/>
    <n v="33.025214680304103"/>
    <n v="13.988603988603979"/>
    <n v="0.15069038675307256"/>
    <n v="48.29"/>
    <n v="0.78300000000000003"/>
    <n v="4.8920000000000003"/>
    <n v="1.609"/>
    <n v="1.9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4"/>
    <x v="2"/>
    <x v="0"/>
    <x v="0"/>
    <x v="1"/>
    <x v="1"/>
    <n v="6.94"/>
    <x v="0"/>
    <n v="23.100999999999999"/>
    <n v="6.0410000000000004"/>
    <n v="26.15038310029869"/>
    <n v="12.953890489913544"/>
    <n v="0.13873221336210892"/>
    <n v="48.67"/>
    <n v="0.84799999999999998"/>
    <n v="5.2969999999999997"/>
    <n v="2.15"/>
    <n v="1.97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0"/>
    <x v="2"/>
    <x v="1"/>
    <x v="1"/>
    <x v="3"/>
    <x v="1"/>
    <n v="7.04"/>
    <x v="0"/>
    <n v="18.225000000000001"/>
    <n v="6.4539999999999997"/>
    <n v="35.412894375857334"/>
    <n v="8.3238636363636402"/>
    <n v="8.690807654018097E-2"/>
    <n v="47.45"/>
    <n v="0.79300000000000004"/>
    <n v="4.9580000000000002"/>
    <n v="1.258"/>
    <n v="2.006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3"/>
    <x v="2"/>
    <x v="0"/>
    <x v="1"/>
    <x v="3"/>
    <x v="1"/>
    <n v="6.94"/>
    <x v="0"/>
    <n v="17.565999999999999"/>
    <n v="6.2850000000000001"/>
    <n v="35.779346464761474"/>
    <n v="9.438040345821328"/>
    <n v="9.9135932476502445E-2"/>
    <n v="48.33"/>
    <n v="0.77200000000000002"/>
    <n v="4.8239999999999998"/>
    <n v="1.2270000000000001"/>
    <n v="1.77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1"/>
    <x v="2"/>
    <x v="0"/>
    <x v="1"/>
    <x v="4"/>
    <x v="1"/>
    <n v="7.06"/>
    <x v="0"/>
    <n v="24.475000000000001"/>
    <n v="6.2240000000000002"/>
    <n v="25.430030643513788"/>
    <n v="11.841359773371098"/>
    <n v="0.12603226462906014"/>
    <n v="47.17"/>
    <n v="1.004"/>
    <n v="6.2750000000000004"/>
    <n v="1.484"/>
    <n v="1.50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4"/>
    <x v="2"/>
    <x v="1"/>
    <x v="0"/>
    <x v="0"/>
    <x v="1"/>
    <n v="7"/>
    <x v="0"/>
    <n v="20.472999999999999"/>
    <n v="5.9219999999999997"/>
    <n v="28.925902408049627"/>
    <n v="15.400000000000006"/>
    <n v="0.16723591937591381"/>
    <n v="45.9"/>
    <n v="1.0620000000000001"/>
    <n v="6.6349999999999998"/>
    <n v="0.52400000000000002"/>
    <n v="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7"/>
    <x v="2"/>
    <x v="1"/>
    <x v="1"/>
    <x v="4"/>
    <x v="1"/>
    <n v="7.04"/>
    <x v="0"/>
    <n v="20.981999999999999"/>
    <n v="6.2290000000000001"/>
    <n v="29.687351062815747"/>
    <n v="11.519886363636363"/>
    <n v="0.1223923638979426"/>
    <n v="48.17"/>
    <n v="0.77100000000000002"/>
    <n v="4.8209999999999997"/>
    <n v="1.520999999999999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"/>
    <x v="0"/>
    <x v="1"/>
    <x v="0"/>
    <x v="4"/>
    <x v="1"/>
    <n v="7.02"/>
    <x v="1"/>
    <n v="7.2610000000000001"/>
    <n v="5.94"/>
    <n v="18.193086351742181"/>
    <n v="15.384615384615374"/>
    <n v="0.86020126522311136"/>
    <n v="47.49"/>
    <n v="0.95299999999999996"/>
    <n v="5.9580000000000002"/>
    <n v="3.4969999999999999"/>
    <n v="2.24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"/>
    <x v="0"/>
    <x v="1"/>
    <x v="0"/>
    <x v="0"/>
    <x v="1"/>
    <n v="7.01"/>
    <x v="1"/>
    <n v="8.6709999999999994"/>
    <n v="5.9130000000000003"/>
    <n v="31.807173336408713"/>
    <n v="15.649072753209694"/>
    <n v="0.86333156476775108"/>
    <n v="48.91"/>
    <n v="0.999"/>
    <n v="6.2439999999999998"/>
    <n v="2.4420000000000002"/>
    <n v="1.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"/>
    <x v="0"/>
    <x v="0"/>
    <x v="0"/>
    <x v="1"/>
    <x v="1"/>
    <n v="6.98"/>
    <x v="1"/>
    <n v="8.3620000000000001"/>
    <n v="5.9740000000000002"/>
    <n v="28.557761301124131"/>
    <n v="14.412607449856734"/>
    <n v="0.84877937754030841"/>
    <n v="47.77"/>
    <n v="0.876"/>
    <n v="5.4770000000000003"/>
    <n v="2.129"/>
    <n v="1.70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"/>
    <x v="0"/>
    <x v="0"/>
    <x v="0"/>
    <x v="4"/>
    <x v="1"/>
    <n v="7.04"/>
    <x v="1"/>
    <n v="6.9589999999999996"/>
    <n v="5.9"/>
    <n v="15.217703693059336"/>
    <n v="16.193181818181817"/>
    <n v="0.86980299981822251"/>
    <n v="47.15"/>
    <n v="0.91600000000000004"/>
    <n v="5.7229999999999999"/>
    <n v="1.5389999999999999"/>
    <n v="1.02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"/>
    <x v="0"/>
    <x v="1"/>
    <x v="0"/>
    <x v="2"/>
    <x v="1"/>
    <n v="7.02"/>
    <x v="1"/>
    <n v="8.0670000000000002"/>
    <n v="5.9320000000000004"/>
    <n v="26.465848518656248"/>
    <n v="15.498575498575487"/>
    <n v="0.86154897432197919"/>
    <n v="46.15"/>
    <n v="1.29"/>
    <n v="8.0630000000000006"/>
    <n v="3.843"/>
    <n v="2.061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"/>
    <x v="0"/>
    <x v="0"/>
    <x v="0"/>
    <x v="3"/>
    <x v="1"/>
    <n v="6.97"/>
    <x v="1"/>
    <n v="7.1449999999999996"/>
    <n v="5.8769999999999998"/>
    <n v="17.746675997200839"/>
    <n v="15.681492109038739"/>
    <n v="0.86371597770186448"/>
    <n v="47.59"/>
    <n v="0.98499999999999999"/>
    <n v="6.1550000000000002"/>
    <n v="2.3660000000000001"/>
    <n v="1.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"/>
    <x v="0"/>
    <x v="1"/>
    <x v="0"/>
    <x v="3"/>
    <x v="1"/>
    <n v="6.97"/>
    <x v="1"/>
    <n v="8.2889999999999997"/>
    <n v="5.9260000000000002"/>
    <n v="28.507660755217756"/>
    <n v="14.978479196556666"/>
    <n v="0.85541295618100432"/>
    <n v="47.28"/>
    <n v="1.03"/>
    <n v="6.4349999999999996"/>
    <n v="2.883"/>
    <n v="1.58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"/>
    <x v="0"/>
    <x v="0"/>
    <x v="0"/>
    <x v="2"/>
    <x v="1"/>
    <n v="7"/>
    <x v="1"/>
    <n v="7.1340000000000003"/>
    <n v="6.0339999999999998"/>
    <n v="15.419119708438469"/>
    <n v="13.800000000000004"/>
    <n v="0.8416471888783893"/>
    <n v="47.97"/>
    <n v="1.0569999999999999"/>
    <n v="6.6059999999999999"/>
    <n v="3.2480000000000002"/>
    <n v="2.10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"/>
    <x v="0"/>
    <x v="1"/>
    <x v="0"/>
    <x v="1"/>
    <x v="1"/>
    <n v="6.96"/>
    <x v="1"/>
    <n v="6.7110000000000003"/>
    <n v="5.726"/>
    <n v="14.677395321114592"/>
    <n v="17.729885057471265"/>
    <n v="0.8883094482303503"/>
    <n v="48.07"/>
    <n v="0.88200000000000001"/>
    <n v="5.5140000000000002"/>
    <n v="3.4249999999999998"/>
    <n v="2.376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"/>
    <x v="0"/>
    <x v="0"/>
    <x v="0"/>
    <x v="0"/>
    <x v="1"/>
    <n v="7.07"/>
    <x v="1"/>
    <n v="9.6929999999999996"/>
    <n v="5.9509999999999996"/>
    <n v="38.605178995151142"/>
    <n v="15.827439886845838"/>
    <n v="0.86544838780571187"/>
    <n v="47.9"/>
    <n v="0.98699999999999999"/>
    <n v="6.1660000000000004"/>
    <n v="2.0139999999999998"/>
    <n v="1.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"/>
    <x v="0"/>
    <x v="1"/>
    <x v="1"/>
    <x v="1"/>
    <x v="1"/>
    <n v="7.06"/>
    <x v="1"/>
    <n v="8.5259999999999998"/>
    <n v="6.0759999999999996"/>
    <n v="28.735632183908049"/>
    <n v="13.937677053824363"/>
    <n v="0.84324564733156959"/>
    <n v="47.15"/>
    <n v="0.70199999999999996"/>
    <n v="4.3899999999999997"/>
    <n v="1.1739999999999999"/>
    <n v="1.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4"/>
    <x v="0"/>
    <x v="0"/>
    <x v="1"/>
    <x v="4"/>
    <x v="1"/>
    <n v="7.05"/>
    <x v="1"/>
    <n v="7.2249999999999996"/>
    <n v="6.109"/>
    <n v="15.446366782006917"/>
    <n v="13.347517730496453"/>
    <n v="0.83641170371649265"/>
    <n v="47.87"/>
    <n v="0.88"/>
    <n v="5.4989999999999997"/>
    <n v="1.264"/>
    <n v="1.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3"/>
    <x v="0"/>
    <x v="0"/>
    <x v="1"/>
    <x v="1"/>
    <x v="1"/>
    <n v="7.01"/>
    <x v="1"/>
    <n v="11.888"/>
    <n v="5.9950000000000001"/>
    <n v="49.570995962314939"/>
    <n v="14.479315263908699"/>
    <n v="0.84955909312696642"/>
    <n v="48.39"/>
    <n v="0.78300000000000003"/>
    <n v="4.891"/>
    <n v="1.639"/>
    <n v="1.18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7"/>
    <x v="0"/>
    <x v="1"/>
    <x v="1"/>
    <x v="4"/>
    <x v="1"/>
    <n v="6.99"/>
    <x v="1"/>
    <n v="10.595000000000001"/>
    <n v="6"/>
    <n v="43.369513921661159"/>
    <n v="14.163090128755368"/>
    <n v="0.84586826757760913"/>
    <n v="48.4"/>
    <n v="0.58799999999999997"/>
    <n v="3.6779999999999999"/>
    <n v="1.232"/>
    <n v="1.5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"/>
    <x v="0"/>
    <x v="1"/>
    <x v="1"/>
    <x v="0"/>
    <x v="1"/>
    <n v="7.06"/>
    <x v="1"/>
    <n v="8.7639999999999993"/>
    <n v="6.2149999999999999"/>
    <n v="29.084892743039703"/>
    <n v="11.96883852691218"/>
    <n v="0.82062650710242147"/>
    <n v="47.3"/>
    <n v="0.66"/>
    <n v="4.125"/>
    <n v="0.83699999999999997"/>
    <n v="1.34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5"/>
    <x v="0"/>
    <x v="1"/>
    <x v="1"/>
    <x v="3"/>
    <x v="1"/>
    <n v="7.07"/>
    <x v="1"/>
    <n v="10.353999999999999"/>
    <n v="6.0270000000000001"/>
    <n v="41.790612323739609"/>
    <n v="14.752475247524755"/>
    <n v="0.85275828596751968"/>
    <n v="48.09"/>
    <n v="0.95399999999999996"/>
    <n v="5.9649999999999999"/>
    <n v="1.222"/>
    <n v="1.57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9"/>
    <x v="0"/>
    <x v="0"/>
    <x v="1"/>
    <x v="0"/>
    <x v="1"/>
    <n v="6.95"/>
    <x v="1"/>
    <n v="8.3699999999999992"/>
    <n v="5.9619999999999997"/>
    <n v="28.769414575866186"/>
    <n v="14.215827338129502"/>
    <n v="0.84648284488076653"/>
    <n v="47.74"/>
    <n v="0.88800000000000001"/>
    <n v="5.5529999999999999"/>
    <n v="1.2010000000000001"/>
    <n v="1.65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3"/>
    <x v="0"/>
    <x v="0"/>
    <x v="1"/>
    <x v="3"/>
    <x v="1"/>
    <n v="6.97"/>
    <x v="1"/>
    <n v="8.8789999999999996"/>
    <n v="6.0380000000000003"/>
    <n v="31.996846491722035"/>
    <n v="13.371592539454799"/>
    <n v="0.8366895740477307"/>
    <n v="48.71"/>
    <n v="0.72199999999999998"/>
    <n v="4.5110000000000001"/>
    <n v="1.534"/>
    <n v="1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0"/>
    <x v="0"/>
    <x v="0"/>
    <x v="1"/>
    <x v="2"/>
    <x v="1"/>
    <n v="7.01"/>
    <x v="1"/>
    <n v="10.693"/>
    <n v="6.0220000000000002"/>
    <n v="43.682783129149904"/>
    <n v="14.094151212553488"/>
    <n v="0.84506545154690182"/>
    <n v="48.02"/>
    <n v="1.3480000000000001"/>
    <n v="8.423"/>
    <n v="1.3129999999999999"/>
    <n v="1.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6"/>
    <x v="0"/>
    <x v="1"/>
    <x v="1"/>
    <x v="2"/>
    <x v="1"/>
    <n v="6.98"/>
    <x v="1"/>
    <n v="9054"/>
    <n v="6.0970000000000004"/>
    <n v="99.932659597967756"/>
    <n v="12.650429799426933"/>
    <n v="0.82839925040854734"/>
    <n v="48"/>
    <n v="0.80200000000000005"/>
    <n v="5.0119999999999996"/>
    <n v="1.17"/>
    <n v="1.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5"/>
    <x v="1"/>
    <x v="0"/>
    <x v="0"/>
    <x v="1"/>
    <x v="1"/>
    <n v="7.04"/>
    <x v="1"/>
    <n v="12.205"/>
    <n v="5.9989999999999997"/>
    <n v="50.848013109381405"/>
    <n v="14.786931818181822"/>
    <n v="0.85316256205894037"/>
    <n v="48.08"/>
    <n v="1.165"/>
    <n v="7.2830000000000004"/>
    <n v="1.86"/>
    <n v="1.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1"/>
    <x v="1"/>
    <x v="1"/>
    <x v="0"/>
    <x v="4"/>
    <x v="1"/>
    <n v="7.02"/>
    <x v="1"/>
    <n v="13.576000000000001"/>
    <n v="6.0149999999999997"/>
    <n v="55.693871538008253"/>
    <n v="14.316239316239315"/>
    <n v="0.84765404917102294"/>
    <n v="47.67"/>
    <n v="1.2350000000000001"/>
    <n v="7.718"/>
    <n v="1.613"/>
    <n v="1.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"/>
    <x v="1"/>
    <x v="1"/>
    <x v="0"/>
    <x v="2"/>
    <x v="1"/>
    <n v="7.01"/>
    <x v="1"/>
    <n v="13.073"/>
    <n v="6.0209999999999999"/>
    <n v="53.943241796068229"/>
    <n v="14.10841654778887"/>
    <n v="0.84523152312413319"/>
    <n v="47.98"/>
    <n v="1.194"/>
    <n v="7.4630000000000001"/>
    <n v="1.5109999999999999"/>
    <n v="1.68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8"/>
    <x v="1"/>
    <x v="0"/>
    <x v="0"/>
    <x v="4"/>
    <x v="1"/>
    <n v="7"/>
    <x v="1"/>
    <n v="10.896000000000001"/>
    <n v="6.0419999999999998"/>
    <n v="44.548458149779741"/>
    <n v="13.685714285714287"/>
    <n v="0.84032224665077837"/>
    <n v="48.08"/>
    <n v="1.1339999999999999"/>
    <n v="7.0880000000000001"/>
    <n v="2.512"/>
    <n v="2.67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1"/>
    <x v="1"/>
    <x v="1"/>
    <x v="0"/>
    <x v="1"/>
    <x v="1"/>
    <n v="7.1"/>
    <x v="1"/>
    <n v="22.95"/>
    <n v="5.641"/>
    <n v="75.420479302832234"/>
    <n v="20.549295774647884"/>
    <n v="0.92318060984937589"/>
    <n v="47.91"/>
    <n v="1.0840000000000001"/>
    <n v="6.7720000000000002"/>
    <n v="1.0209999999999999"/>
    <n v="1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2"/>
    <x v="1"/>
    <x v="0"/>
    <x v="0"/>
    <x v="2"/>
    <x v="1"/>
    <n v="6.99"/>
    <x v="1"/>
    <n v="11.117000000000001"/>
    <n v="5.9320000000000004"/>
    <n v="46.640280651254834"/>
    <n v="15.135908440629468"/>
    <n v="0.85726631252997842"/>
    <n v="47.89"/>
    <n v="1.1519999999999999"/>
    <n v="7.1970000000000001"/>
    <n v="1.8240000000000001"/>
    <n v="1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3"/>
    <x v="1"/>
    <x v="0"/>
    <x v="0"/>
    <x v="3"/>
    <x v="1"/>
    <n v="6.95"/>
    <x v="1"/>
    <n v="7.65"/>
    <n v="5.8369999999999997"/>
    <n v="23.699346405228766"/>
    <n v="16.014388489208638"/>
    <n v="0.86767187391499223"/>
    <n v="47.98"/>
    <n v="1.083"/>
    <n v="6.7720000000000002"/>
    <n v="1.569"/>
    <n v="1.90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6"/>
    <x v="1"/>
    <x v="1"/>
    <x v="0"/>
    <x v="0"/>
    <x v="1"/>
    <n v="7.04"/>
    <x v="1"/>
    <n v="10.087999999999999"/>
    <n v="6.1020000000000003"/>
    <n v="39.512291831879452"/>
    <n v="13.323863636363633"/>
    <n v="0.83613876443541835"/>
    <n v="47.33"/>
    <n v="0.83599999999999997"/>
    <n v="5.2249999999999996"/>
    <n v="2.5489999999999999"/>
    <n v="2.188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8"/>
    <x v="1"/>
    <x v="1"/>
    <x v="0"/>
    <x v="3"/>
    <x v="1"/>
    <n v="6.99"/>
    <x v="1"/>
    <n v="10.733000000000001"/>
    <n v="5.9290000000000003"/>
    <n v="44.759154010994131"/>
    <n v="15.178826895565093"/>
    <n v="0.85777217208043355"/>
    <n v="48.52"/>
    <n v="0.83699999999999997"/>
    <n v="5.2329999999999997"/>
    <n v="2.7040000000000002"/>
    <n v="1.76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7"/>
    <x v="1"/>
    <x v="0"/>
    <x v="0"/>
    <x v="0"/>
    <x v="1"/>
    <n v="7.03"/>
    <x v="1"/>
    <n v="8.5749999999999993"/>
    <n v="6.02"/>
    <n v="29.795918367346935"/>
    <n v="14.366998577524903"/>
    <n v="0.84824662706178933"/>
    <n v="45.53"/>
    <n v="0.88400000000000001"/>
    <n v="5.5229999999999997"/>
    <n v="2.7410000000000001"/>
    <n v="2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4"/>
    <x v="1"/>
    <x v="1"/>
    <x v="1"/>
    <x v="0"/>
    <x v="1"/>
    <n v="7.06"/>
    <x v="1"/>
    <n v="13.27"/>
    <n v="5.87"/>
    <n v="55.764883195177084"/>
    <n v="16.855524079320109"/>
    <n v="0.8777375982250909"/>
    <n v="47.78"/>
    <n v="0.83299999999999996"/>
    <n v="5.2039999999999997"/>
    <n v="1.212"/>
    <n v="2.045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8"/>
    <x v="1"/>
    <x v="0"/>
    <x v="1"/>
    <x v="2"/>
    <x v="1"/>
    <n v="7.06"/>
    <x v="1"/>
    <n v="13.949"/>
    <n v="6.1269999999999998"/>
    <n v="56.075704351566422"/>
    <n v="13.215297450424929"/>
    <n v="0.83488699832157842"/>
    <n v="47.41"/>
    <n v="0.81399999999999995"/>
    <n v="5.09"/>
    <n v="1.319"/>
    <n v="2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1"/>
    <x v="1"/>
    <x v="1"/>
    <x v="1"/>
    <x v="3"/>
    <x v="1"/>
    <n v="6.93"/>
    <x v="1"/>
    <n v="10.811999999999999"/>
    <n v="5.8639999999999999"/>
    <n v="45.763965963743985"/>
    <n v="15.38239538239538"/>
    <n v="0.86017502917740674"/>
    <n v="46.82"/>
    <n v="0.77300000000000002"/>
    <n v="4.8319999999999999"/>
    <n v="0.85099999999999998"/>
    <n v="0.88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4"/>
    <x v="1"/>
    <x v="0"/>
    <x v="1"/>
    <x v="4"/>
    <x v="1"/>
    <n v="6.99"/>
    <x v="1"/>
    <n v="11.935"/>
    <n v="6.2009999999999996"/>
    <n v="48.043569333891924"/>
    <n v="11.287553648068679"/>
    <n v="0.81291716743792342"/>
    <n v="47.66"/>
    <n v="0.66600000000000004"/>
    <n v="4.1630000000000003"/>
    <n v="0.71399999999999997"/>
    <n v="1.41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5"/>
    <x v="1"/>
    <x v="0"/>
    <x v="1"/>
    <x v="1"/>
    <x v="1"/>
    <n v="7.03"/>
    <x v="1"/>
    <n v="10.113"/>
    <n v="6.1230000000000002"/>
    <n v="39.454167902699488"/>
    <n v="12.901849217638691"/>
    <n v="0.83128171388670147"/>
    <n v="47.63"/>
    <n v="0.82199999999999995"/>
    <n v="5.1390000000000002"/>
    <n v="1.2190000000000001"/>
    <n v="1.58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3"/>
    <x v="1"/>
    <x v="1"/>
    <x v="1"/>
    <x v="1"/>
    <x v="1"/>
    <n v="7.03"/>
    <x v="1"/>
    <n v="12.708"/>
    <n v="6.0739999999999998"/>
    <n v="52.203336480956878"/>
    <n v="13.598862019914657"/>
    <n v="0.83931651975896193"/>
    <n v="47.93"/>
    <n v="0.878"/>
    <n v="5.4859999999999998"/>
    <n v="0.99399999999999999"/>
    <n v="1.40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0"/>
    <x v="1"/>
    <x v="1"/>
    <x v="1"/>
    <x v="4"/>
    <x v="1"/>
    <n v="6.99"/>
    <x v="1"/>
    <n v="14.095000000000001"/>
    <n v="5.9580000000000002"/>
    <n v="57.729691379921952"/>
    <n v="14.763948497854077"/>
    <n v="0.85289288251457362"/>
    <n v="47.57"/>
    <n v="0.85099999999999998"/>
    <n v="5.3209999999999997"/>
    <n v="0.83"/>
    <n v="1.40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9"/>
    <x v="1"/>
    <x v="0"/>
    <x v="1"/>
    <x v="3"/>
    <x v="1"/>
    <n v="6.95"/>
    <x v="1"/>
    <n v="9.36"/>
    <n v="5.9820000000000002"/>
    <n v="36.089743589743584"/>
    <n v="13.928057553956833"/>
    <n v="0.84313387992888977"/>
    <n v="49"/>
    <n v="0.82"/>
    <n v="5.1269999999999998"/>
    <n v="0.749"/>
    <n v="1.12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1"/>
    <x v="1"/>
    <x v="1"/>
    <x v="1"/>
    <x v="2"/>
    <x v="1"/>
    <n v="6.95"/>
    <x v="1"/>
    <n v="13.363"/>
    <n v="6.0220000000000002"/>
    <n v="54.935269026416222"/>
    <n v="13.352517985611509"/>
    <n v="0.83646941007710396"/>
    <n v="48.2"/>
    <n v="0.76"/>
    <n v="4.7519999999999998"/>
    <n v="0.75900000000000001"/>
    <n v="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0"/>
    <x v="1"/>
    <x v="0"/>
    <x v="1"/>
    <x v="0"/>
    <x v="1"/>
    <n v="6.92"/>
    <x v="1"/>
    <n v="9.6769999999999996"/>
    <n v="6.0449999999999999"/>
    <n v="37.532293066032857"/>
    <n v="12.644508670520233"/>
    <n v="0.82833146612276742"/>
    <n v="46.73"/>
    <n v="0.73899999999999999"/>
    <n v="4.6159999999999997"/>
    <n v="0.79900000000000004"/>
    <n v="1.4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2"/>
    <x v="2"/>
    <x v="1"/>
    <x v="0"/>
    <x v="1"/>
    <x v="1"/>
    <n v="7.02"/>
    <x v="1"/>
    <n v="13.427"/>
    <n v="6.0810000000000004"/>
    <n v="45.289342369851795"/>
    <n v="13.376068376068364"/>
    <n v="0.83674124245969217"/>
    <n v="48.13"/>
    <n v="0.95899999999999996"/>
    <n v="5.9930000000000003"/>
    <n v="2.2629999999999999"/>
    <n v="1.95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8"/>
    <x v="2"/>
    <x v="1"/>
    <x v="0"/>
    <x v="4"/>
    <x v="1"/>
    <n v="7.04"/>
    <x v="1"/>
    <n v="12.294"/>
    <n v="5.8170000000000002"/>
    <n v="47.315763787213271"/>
    <n v="17.37215909090909"/>
    <n v="0.88397068580127192"/>
    <n v="27.36"/>
    <n v="0.94099999999999995"/>
    <n v="5.8789999999999996"/>
    <n v="2.7080000000000002"/>
    <n v="2.41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1"/>
    <x v="2"/>
    <x v="1"/>
    <x v="0"/>
    <x v="3"/>
    <x v="1"/>
    <n v="7.04"/>
    <x v="1"/>
    <n v="11.292999999999999"/>
    <n v="5.95"/>
    <n v="52.687505534401843"/>
    <n v="15.482954545454545"/>
    <n v="0.86136413117235788"/>
    <n v="48.52"/>
    <n v="0.95299999999999996"/>
    <n v="5.9589999999999996"/>
    <n v="2.4039999999999999"/>
    <n v="1.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6"/>
    <x v="2"/>
    <x v="0"/>
    <x v="0"/>
    <x v="0"/>
    <x v="1"/>
    <n v="6.94"/>
    <x v="1"/>
    <n v="12.138999999999999"/>
    <n v="6.0540000000000003"/>
    <n v="49.872312381580038"/>
    <n v="12.766570605187322"/>
    <n v="0.82972974447913161"/>
    <n v="47.9"/>
    <n v="0.94"/>
    <n v="5.8719999999999999"/>
    <n v="2.4569999999999999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1"/>
    <x v="2"/>
    <x v="0"/>
    <x v="0"/>
    <x v="3"/>
    <x v="1"/>
    <n v="7.03"/>
    <x v="1"/>
    <n v="10.032"/>
    <n v="6.1950000000000003"/>
    <n v="61.752392344497608"/>
    <n v="11.877667140825036"/>
    <n v="0.81959137130141302"/>
    <n v="47.98"/>
    <n v="0.998"/>
    <n v="6.2359999999999998"/>
    <n v="2.8119999999999998"/>
    <n v="2.275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6"/>
    <x v="2"/>
    <x v="0"/>
    <x v="0"/>
    <x v="1"/>
    <x v="1"/>
    <n v="6.98"/>
    <x v="1"/>
    <n v="12.401"/>
    <n v="6.0209999999999999"/>
    <n v="48.552536085799531"/>
    <n v="13.739255014326654"/>
    <n v="0.84094273885191573"/>
    <n v="48.02"/>
    <n v="0.99399999999999999"/>
    <n v="6.2149999999999999"/>
    <n v="2.4569999999999999"/>
    <n v="2.35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8"/>
    <x v="2"/>
    <x v="0"/>
    <x v="0"/>
    <x v="4"/>
    <x v="1"/>
    <n v="7.02"/>
    <x v="1"/>
    <n v="11.574"/>
    <n v="6.1420000000000003"/>
    <n v="53.067219630205642"/>
    <n v="12.507122507122498"/>
    <n v="0.82675997657903422"/>
    <n v="48.12"/>
    <n v="1.0009999999999999"/>
    <n v="6.2590000000000003"/>
    <n v="2.778"/>
    <n v="1.9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5"/>
    <x v="2"/>
    <x v="1"/>
    <x v="0"/>
    <x v="0"/>
    <x v="1"/>
    <n v="6.96"/>
    <x v="1"/>
    <n v="13.132999999999999"/>
    <n v="5.891"/>
    <n v="44.856468438285241"/>
    <n v="15.35919540229885"/>
    <n v="0.85990089236672329"/>
    <n v="48.19"/>
    <n v="0.92"/>
    <n v="5.7480000000000002"/>
    <n v="2.573"/>
    <n v="0.907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7"/>
    <x v="2"/>
    <x v="0"/>
    <x v="0"/>
    <x v="2"/>
    <x v="1"/>
    <n v="7"/>
    <x v="1"/>
    <n v="8.9969999999999999"/>
    <n v="5.9409999999999998"/>
    <n v="66.03312215182838"/>
    <n v="15.12857142857143"/>
    <n v="0.85717986024165427"/>
    <n v="48.18"/>
    <n v="1.1220000000000001"/>
    <n v="7.0110000000000001"/>
    <n v="2.0739999999999998"/>
    <n v="1.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2"/>
    <x v="2"/>
    <x v="1"/>
    <x v="0"/>
    <x v="2"/>
    <x v="1"/>
    <n v="6.92"/>
    <x v="1"/>
    <n v="14.63"/>
    <n v="5.891"/>
    <n v="40.266575529733423"/>
    <n v="14.86994219653179"/>
    <n v="0.85413718764997326"/>
    <n v="47.52"/>
    <n v="0.98299999999999998"/>
    <n v="6.1440000000000001"/>
    <n v="2.31"/>
    <n v="1.73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5"/>
    <x v="2"/>
    <x v="1"/>
    <x v="1"/>
    <x v="0"/>
    <x v="1"/>
    <n v="7.09"/>
    <x v="1"/>
    <n v="13.23"/>
    <n v="5.9870000000000001"/>
    <n v="45.253212396069536"/>
    <n v="15.55712270803949"/>
    <n v="0.86224206916076629"/>
    <n v="47.76"/>
    <n v="1.079"/>
    <n v="6.7430000000000003"/>
    <n v="0.998"/>
    <n v="1.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5"/>
    <x v="2"/>
    <x v="0"/>
    <x v="1"/>
    <x v="4"/>
    <x v="1"/>
    <n v="6.91"/>
    <x v="1"/>
    <n v="11.863"/>
    <n v="6.01"/>
    <n v="50.661721318384892"/>
    <n v="13.024602026049209"/>
    <n v="0.83269206979240762"/>
    <n v="46.63"/>
    <n v="0.73899999999999999"/>
    <n v="4.6180000000000003"/>
    <n v="0.94699999999999995"/>
    <n v="1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6"/>
    <x v="2"/>
    <x v="1"/>
    <x v="1"/>
    <x v="2"/>
    <x v="1"/>
    <n v="7.06"/>
    <x v="1"/>
    <n v="12.689"/>
    <n v="6.1260000000000003"/>
    <n v="48.278036094254865"/>
    <n v="13.229461756373928"/>
    <n v="0.83505022365451242"/>
    <n v="47.31"/>
    <n v="0.876"/>
    <n v="5.4779999999999998"/>
    <n v="0.95"/>
    <n v="1.65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1"/>
    <x v="2"/>
    <x v="1"/>
    <x v="1"/>
    <x v="4"/>
    <x v="1"/>
    <n v="6.98"/>
    <x v="1"/>
    <n v="11.087"/>
    <n v="5.9649999999999999"/>
    <n v="53.801749797059614"/>
    <n v="14.541547277936969"/>
    <n v="0.85028704178434711"/>
    <n v="47.84"/>
    <n v="1.179"/>
    <n v="7.3710000000000004"/>
    <n v="0.61299999999999999"/>
    <n v="0.86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2"/>
    <x v="2"/>
    <x v="0"/>
    <x v="1"/>
    <x v="1"/>
    <x v="1"/>
    <n v="6.95"/>
    <x v="1"/>
    <n v="11.641"/>
    <n v="6.0469999999999997"/>
    <n v="51.945709131517901"/>
    <n v="12.99280575539569"/>
    <n v="0.83232655884557027"/>
    <n v="47.35"/>
    <n v="0.80800000000000005"/>
    <n v="5.0469999999999997"/>
    <n v="1.331"/>
    <n v="1.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6"/>
    <x v="2"/>
    <x v="0"/>
    <x v="1"/>
    <x v="3"/>
    <x v="1"/>
    <n v="7.05"/>
    <x v="1"/>
    <n v="10.648"/>
    <n v="6.2370000000000001"/>
    <n v="58.574380165289263"/>
    <n v="11.531914893617017"/>
    <n v="0.81567549984013699"/>
    <n v="47.49"/>
    <n v="0.61399999999999999"/>
    <n v="3.84"/>
    <n v="1.0489999999999999"/>
    <n v="1.7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7"/>
    <x v="2"/>
    <x v="1"/>
    <x v="1"/>
    <x v="1"/>
    <x v="1"/>
    <n v="7.05"/>
    <x v="1"/>
    <n v="13.554"/>
    <n v="5.9850000000000003"/>
    <n v="44.156706507304115"/>
    <n v="15.106382978723399"/>
    <n v="0.85691845837418601"/>
    <n v="47.64"/>
    <n v="0.89500000000000002"/>
    <n v="5.5940000000000003"/>
    <n v="0.92400000000000004"/>
    <n v="1.2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2"/>
    <x v="2"/>
    <x v="0"/>
    <x v="1"/>
    <x v="2"/>
    <x v="1"/>
    <n v="7.09"/>
    <x v="1"/>
    <n v="12.119"/>
    <n v="5.5309999999999997"/>
    <n v="45.639079131941578"/>
    <n v="21.988716502115661"/>
    <n v="0.94146389009144049"/>
    <n v="47.28"/>
    <n v="0.746"/>
    <n v="4.6630000000000003"/>
    <n v="2.1"/>
    <n v="1.90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3"/>
    <x v="2"/>
    <x v="0"/>
    <x v="1"/>
    <x v="0"/>
    <x v="1"/>
    <n v="7.07"/>
    <x v="1"/>
    <n v="13.896000000000001"/>
    <n v="5.9009999999999998"/>
    <n v="42.465457685664937"/>
    <n v="16.53465346534654"/>
    <n v="0.87388583239339501"/>
    <n v="46.51"/>
    <n v="0.873"/>
    <n v="5.4580000000000002"/>
    <n v="1.1100000000000001"/>
    <n v="1.6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0"/>
    <x v="2"/>
    <x v="1"/>
    <x v="1"/>
    <x v="3"/>
    <x v="1"/>
    <n v="6.97"/>
    <x v="1"/>
    <n v="11.816000000000001"/>
    <n v="5.9550000000000001"/>
    <n v="50.397765741367643"/>
    <n v="14.562410329985648"/>
    <n v="0.85053120252511438"/>
    <n v="48.27"/>
    <n v="0.74199999999999999"/>
    <n v="4.6349999999999998"/>
    <n v="1.1819999999999999"/>
    <n v="2.10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"/>
    <x v="0"/>
    <x v="0"/>
    <x v="0"/>
    <x v="0"/>
    <x v="1"/>
    <n v="6.96"/>
    <x v="2"/>
    <n v="6.0289999999999999"/>
    <n v="5.4169999999999998"/>
    <n v="10.150937137170345"/>
    <n v="22.169540229885058"/>
    <n v="2.0423967868986215"/>
    <n v="47.86"/>
    <n v="1.17"/>
    <n v="6.6360000000000001"/>
    <n v="2.23"/>
    <n v="1.54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"/>
    <x v="0"/>
    <x v="0"/>
    <x v="0"/>
    <x v="4"/>
    <x v="1"/>
    <n v="7.03"/>
    <x v="2"/>
    <n v="6.1760000000000002"/>
    <n v="5.4420000000000002"/>
    <n v="11.884715025906734"/>
    <n v="22.588904694167852"/>
    <n v="2.0477995346895739"/>
    <n v="47.42"/>
    <n v="1.1100000000000001"/>
    <n v="6.9359999999999999"/>
    <n v="1.97"/>
    <n v="1.42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"/>
    <x v="0"/>
    <x v="1"/>
    <x v="0"/>
    <x v="1"/>
    <x v="1"/>
    <n v="6.99"/>
    <x v="2"/>
    <n v="13.884"/>
    <n v="5.74"/>
    <n v="29.847306251800632"/>
    <n v="17.882689556509298"/>
    <n v="1.988780815142299"/>
    <n v="33.53"/>
    <n v="1.02"/>
    <n v="6.3739999999999997"/>
    <n v="0.62"/>
    <n v="0.643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"/>
    <x v="0"/>
    <x v="0"/>
    <x v="0"/>
    <x v="2"/>
    <x v="1"/>
    <n v="6.99"/>
    <x v="2"/>
    <n v="6.0090000000000003"/>
    <n v="5.4249999999999998"/>
    <n v="9.7187552005325433"/>
    <n v="22.389127324749648"/>
    <n v="2.0452221260472507"/>
    <n v="34.14"/>
    <n v="1.171"/>
    <n v="7.32"/>
    <n v="1.641"/>
    <n v="1.29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"/>
    <x v="0"/>
    <x v="1"/>
    <x v="0"/>
    <x v="3"/>
    <x v="1"/>
    <n v="7.05"/>
    <x v="2"/>
    <n v="5.9340000000000002"/>
    <n v="5.2949999999999999"/>
    <n v="10.768452982810924"/>
    <n v="24.893617021276597"/>
    <n v="2.0780241069988623"/>
    <n v="46.06"/>
    <n v="1.06"/>
    <n v="6.6280000000000001"/>
    <n v="1.853"/>
    <n v="1.61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"/>
    <x v="0"/>
    <x v="1"/>
    <x v="0"/>
    <x v="4"/>
    <x v="1"/>
    <n v="6.95"/>
    <x v="2"/>
    <n v="6.3220000000000001"/>
    <n v="5.2439999999999998"/>
    <n v="17.0515659601392"/>
    <n v="24.546762589928061"/>
    <n v="2.0734165629033026"/>
    <n v="47.99"/>
    <n v="1.214"/>
    <n v="7.5860000000000003"/>
    <n v="2.0390000000000001"/>
    <n v="1.89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x v="0"/>
    <x v="1"/>
    <x v="0"/>
    <x v="0"/>
    <x v="1"/>
    <n v="7.03"/>
    <x v="2"/>
    <n v="6.1449999999999996"/>
    <n v="5.5119999999999996"/>
    <n v="10.301057770545158"/>
    <n v="21.593172119487917"/>
    <n v="2.035018641339271"/>
    <n v="48.09"/>
    <n v="1.105"/>
    <n v="6.9059999999999997"/>
    <n v="1.4319999999999999"/>
    <n v="1.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"/>
    <x v="0"/>
    <x v="1"/>
    <x v="0"/>
    <x v="2"/>
    <x v="1"/>
    <n v="6.63"/>
    <x v="2"/>
    <n v="6.2329999999999997"/>
    <n v="5.2880000000000003"/>
    <n v="15.16123856890742"/>
    <n v="20.241327300150825"/>
    <n v="2.0179241708764408"/>
    <n v="44.73"/>
    <n v="1.3149999999999999"/>
    <n v="8.2210000000000001"/>
    <n v="0.95"/>
    <n v="0.72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"/>
    <x v="0"/>
    <x v="0"/>
    <x v="0"/>
    <x v="1"/>
    <x v="1"/>
    <n v="6.97"/>
    <x v="2"/>
    <n v="6.2009999999999996"/>
    <n v="5.3529999999999998"/>
    <n v="13.675213675213675"/>
    <n v="23.199426111908178"/>
    <n v="2.0557175425892433"/>
    <n v="48.59"/>
    <n v="1.0940000000000001"/>
    <n v="6.835"/>
    <n v="1.56"/>
    <n v="1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8"/>
    <x v="0"/>
    <x v="0"/>
    <x v="1"/>
    <x v="1"/>
    <x v="1"/>
    <n v="7.08"/>
    <x v="2"/>
    <n v="6.351"/>
    <n v="5.58"/>
    <n v="12.139820500708549"/>
    <n v="21.1864406779661"/>
    <n v="2.0298446005404638"/>
    <n v="46.56"/>
    <n v="0.84399999999999997"/>
    <n v="5.2729999999999997"/>
    <n v="0.66400000000000003"/>
    <n v="0.7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5"/>
    <x v="0"/>
    <x v="0"/>
    <x v="1"/>
    <x v="4"/>
    <x v="1"/>
    <n v="7.01"/>
    <x v="2"/>
    <n v="6.4690000000000003"/>
    <n v="5.5940000000000003"/>
    <n v="13.526047302519709"/>
    <n v="20.199714693295288"/>
    <n v="2.0174025754947857"/>
    <n v="47.82"/>
    <n v="0.77100000000000002"/>
    <n v="4.8209999999999997"/>
    <n v="0.96399999999999997"/>
    <n v="1.61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"/>
    <x v="0"/>
    <x v="1"/>
    <x v="1"/>
    <x v="4"/>
    <x v="1"/>
    <n v="7.05"/>
    <x v="2"/>
    <n v="6.6609999999999996"/>
    <n v="5.5019999999999998"/>
    <n v="17.399789821348143"/>
    <n v="21.957446808510639"/>
    <n v="2.0396754235498493"/>
    <n v="47.23"/>
    <n v="0.82199999999999995"/>
    <n v="5.1390000000000002"/>
    <n v="0.73899999999999999"/>
    <n v="1.00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2"/>
    <x v="0"/>
    <x v="1"/>
    <x v="1"/>
    <x v="0"/>
    <x v="1"/>
    <n v="6.95"/>
    <x v="2"/>
    <n v="6.56"/>
    <n v="5.6260000000000003"/>
    <n v="14.23780487804877"/>
    <n v="19.050359712230215"/>
    <n v="2.0031024187370905"/>
    <n v="47.23"/>
    <n v="0.85799999999999998"/>
    <n v="5.3609999999999998"/>
    <n v="0.78300000000000003"/>
    <n v="1.34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4"/>
    <x v="0"/>
    <x v="1"/>
    <x v="1"/>
    <x v="1"/>
    <x v="1"/>
    <n v="6.98"/>
    <x v="2"/>
    <n v="6.3360000000000003"/>
    <n v="5.2480000000000002"/>
    <n v="17.171717171717169"/>
    <n v="24.813753581661892"/>
    <n v="2.0769613343605484"/>
    <n v="46.24"/>
    <n v="1.1659999999999999"/>
    <n v="7.2850000000000001"/>
    <n v="0.42899999999999999"/>
    <n v="0.23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4"/>
    <x v="0"/>
    <x v="0"/>
    <x v="1"/>
    <x v="0"/>
    <x v="1"/>
    <n v="7.05"/>
    <x v="2"/>
    <n v="6.0540000000000003"/>
    <n v="5.375"/>
    <n v="11.215725140403043"/>
    <n v="23.75886524822695"/>
    <n v="2.0630285120385055"/>
    <n v="41.28"/>
    <n v="1.278"/>
    <n v="7.9850000000000003"/>
    <n v="1.1559999999999999"/>
    <n v="1.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6"/>
    <x v="0"/>
    <x v="0"/>
    <x v="1"/>
    <x v="5"/>
    <x v="1"/>
    <n v="7.06"/>
    <x v="2"/>
    <n v="6.34"/>
    <n v="5.6660000000000004"/>
    <n v="10.630914826498415"/>
    <n v="19.74504249291784"/>
    <n v="2.0117211193248807"/>
    <n v="46.72"/>
    <n v="1.0740000000000001"/>
    <n v="6.7149999999999999"/>
    <n v="0.69299999999999995"/>
    <n v="0.7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8"/>
    <x v="0"/>
    <x v="0"/>
    <x v="1"/>
    <x v="3"/>
    <x v="1"/>
    <n v="7.05"/>
    <x v="2"/>
    <n v="6.4420000000000002"/>
    <n v="5.7030000000000003"/>
    <n v="11.47159267308289"/>
    <n v="19.106382978723399"/>
    <n v="2.0037947338778306"/>
    <n v="47.09"/>
    <n v="0.97499999999999998"/>
    <n v="6.093"/>
    <n v="0.70699999999999996"/>
    <n v="1.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9"/>
    <x v="0"/>
    <x v="1"/>
    <x v="1"/>
    <x v="2"/>
    <x v="1"/>
    <n v="7.04"/>
    <x v="2"/>
    <n v="6.7350000000000003"/>
    <n v="5.6120000000000001"/>
    <n v="16.674090571640683"/>
    <n v="20.284090909090907"/>
    <n v="2.0184604771577916"/>
    <n v="46.08"/>
    <n v="1.036"/>
    <n v="6.4720000000000004"/>
    <n v="0.65"/>
    <n v="0.783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3"/>
    <x v="0"/>
    <x v="1"/>
    <x v="1"/>
    <x v="3"/>
    <x v="1"/>
    <n v="7.01"/>
    <x v="2"/>
    <n v="6.4550000000000001"/>
    <n v="5.6340000000000003"/>
    <n v="12.718822618125481"/>
    <n v="19.629101283880164"/>
    <n v="2.010277500820373"/>
    <n v="46.64"/>
    <n v="1.089"/>
    <n v="6.8090000000000002"/>
    <n v="0.96699999999999997"/>
    <n v="1.287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"/>
    <x v="0"/>
    <x v="0"/>
    <x v="1"/>
    <x v="3"/>
    <x v="1"/>
    <n v="7.08"/>
    <x v="2"/>
    <n v="6.11"/>
    <n v="5.4710000000000001"/>
    <n v="10.458265139116206"/>
    <n v="22.725988700564972"/>
    <n v="2.0495719618519943"/>
    <n v="47.17"/>
    <n v="0.91"/>
    <n v="5.6870000000000003"/>
    <n v="0.82299999999999995"/>
    <n v="0.6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1"/>
    <x v="1"/>
    <x v="1"/>
    <x v="0"/>
    <x v="2"/>
    <x v="1"/>
    <n v="7"/>
    <x v="2"/>
    <n v="27.158000000000001"/>
    <n v="5.1909999999999998"/>
    <n v="80.885926798733337"/>
    <n v="25.842857142857145"/>
    <n v="2.0907432614382762"/>
    <n v="47.61"/>
    <n v="1.6830000000000001"/>
    <n v="10.52"/>
    <n v="0.35899999999999999"/>
    <n v="0.33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0"/>
    <x v="1"/>
    <x v="1"/>
    <x v="0"/>
    <x v="4"/>
    <x v="1"/>
    <n v="7.07"/>
    <x v="2"/>
    <n v="6.7270000000000003"/>
    <n v="5.2"/>
    <n v="22.699568901441953"/>
    <n v="26.449787835926454"/>
    <n v="2.0989613235491547"/>
    <n v="47.44"/>
    <n v="1.3220000000000001"/>
    <n v="8.2629999999999999"/>
    <n v="0.91"/>
    <n v="1.21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3"/>
    <x v="1"/>
    <x v="0"/>
    <x v="0"/>
    <x v="3"/>
    <x v="1"/>
    <n v="7.05"/>
    <x v="2"/>
    <n v="6.2850000000000001"/>
    <n v="5.5620000000000003"/>
    <n v="11.503579952267302"/>
    <n v="21.106382978723399"/>
    <n v="2.028829330240459"/>
    <n v="48.2"/>
    <n v="1.2050000000000001"/>
    <n v="7.5279999999999996"/>
    <n v="1.581"/>
    <n v="1.59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5"/>
    <x v="1"/>
    <x v="1"/>
    <x v="0"/>
    <x v="1"/>
    <x v="1"/>
    <n v="6.97"/>
    <x v="2"/>
    <n v="6.234"/>
    <n v="5.3979999999999997"/>
    <n v="13.410330445941614"/>
    <n v="22.553802008608322"/>
    <n v="2.0473461794046748"/>
    <n v="47.52"/>
    <n v="1.234"/>
    <n v="7.7110000000000003"/>
    <n v="1.0189999999999999"/>
    <n v="1.1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"/>
    <x v="1"/>
    <x v="0"/>
    <x v="0"/>
    <x v="2"/>
    <x v="1"/>
    <n v="7.02"/>
    <x v="2"/>
    <n v="6.7130000000000001"/>
    <n v="5.6040000000000001"/>
    <n v="16.520184716222257"/>
    <n v="20.170940170940167"/>
    <n v="2.0170420587910143"/>
    <n v="48"/>
    <n v="1.357"/>
    <n v="8.48"/>
    <n v="0.97099999999999997"/>
    <n v="1.0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9"/>
    <x v="1"/>
    <x v="0"/>
    <x v="0"/>
    <x v="1"/>
    <x v="1"/>
    <n v="7.02"/>
    <x v="2"/>
    <n v="6.2160000000000002"/>
    <n v="5.1289999999999996"/>
    <n v="17.487129987129997"/>
    <n v="26.93732193732194"/>
    <n v="2.1056119788586432"/>
    <n v="47.13"/>
    <n v="1.508"/>
    <n v="9.4269999999999996"/>
    <n v="0.76300000000000001"/>
    <n v="0.964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1"/>
    <x v="1"/>
    <x v="0"/>
    <x v="0"/>
    <x v="0"/>
    <x v="1"/>
    <n v="7.01"/>
    <x v="2"/>
    <n v="6.2560000000000002"/>
    <n v="5.1639999999999997"/>
    <n v="17.455242966751928"/>
    <n v="26.33380884450785"/>
    <n v="2.0973856972901577"/>
    <n v="46.25"/>
    <n v="1.2150000000000001"/>
    <n v="7.593"/>
    <n v="1.085"/>
    <n v="0.896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0"/>
    <x v="1"/>
    <x v="1"/>
    <x v="0"/>
    <x v="0"/>
    <x v="1"/>
    <n v="6.98"/>
    <x v="2"/>
    <n v="6.3360000000000003"/>
    <n v="5.2910000000000004"/>
    <n v="16.493055555555554"/>
    <n v="24.197707736389685"/>
    <n v="2.0688011220803415"/>
    <n v="47.09"/>
    <n v="1.0369999999999999"/>
    <n v="6.4790000000000001"/>
    <n v="1.4930000000000001"/>
    <n v="1.19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1"/>
    <x v="1"/>
    <x v="1"/>
    <x v="0"/>
    <x v="3"/>
    <x v="1"/>
    <n v="7.07"/>
    <x v="2"/>
    <n v="6.2949999999999999"/>
    <n v="5.3090000000000002"/>
    <n v="15.663224781572675"/>
    <n v="24.908062234794908"/>
    <n v="2.078216455535002"/>
    <n v="46.75"/>
    <n v="1.1539999999999999"/>
    <n v="7.2119999999999997"/>
    <n v="1.28"/>
    <n v="1.1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5"/>
    <x v="1"/>
    <x v="0"/>
    <x v="0"/>
    <x v="4"/>
    <x v="1"/>
    <n v="6.93"/>
    <x v="2"/>
    <n v="5.94"/>
    <n v="4.9130000000000003"/>
    <n v="17.289562289562291"/>
    <n v="29.105339105339102"/>
    <n v="2.1357345292433556"/>
    <n v="47.03"/>
    <n v="1.038"/>
    <n v="6.49"/>
    <n v="1.085"/>
    <n v="1.13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6"/>
    <x v="1"/>
    <x v="1"/>
    <x v="1"/>
    <x v="4"/>
    <x v="1"/>
    <n v="7.01"/>
    <x v="2"/>
    <n v="6.617"/>
    <n v="5.3380000000000001"/>
    <n v="19.329001057881214"/>
    <n v="23.851640513552063"/>
    <n v="2.0642461192922212"/>
    <n v="37.67"/>
    <n v="0.85499999999999998"/>
    <n v="5.343"/>
    <n v="0.49399999999999999"/>
    <n v="0.6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"/>
    <x v="1"/>
    <x v="0"/>
    <x v="1"/>
    <x v="2"/>
    <x v="1"/>
    <n v="6.97"/>
    <x v="2"/>
    <n v="6.9660000000000002"/>
    <n v="5.7469999999999999"/>
    <n v="17.499282227964404"/>
    <n v="17.546628407460542"/>
    <n v="1.9846967144748831"/>
    <n v="48.12"/>
    <n v="0.72"/>
    <n v="4.4989999999999997"/>
    <n v="0.876"/>
    <n v="1.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3"/>
    <x v="1"/>
    <x v="1"/>
    <x v="1"/>
    <x v="0"/>
    <x v="1"/>
    <n v="6.97"/>
    <x v="2"/>
    <n v="6.6479999999999997"/>
    <n v="5.5279999999999996"/>
    <n v="16.847172081829122"/>
    <n v="20.688665710186516"/>
    <n v="2.023548607535119"/>
    <n v="48.5"/>
    <n v="0.85399999999999998"/>
    <n v="5.335"/>
    <n v="0.55100000000000005"/>
    <n v="1.29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4"/>
    <x v="1"/>
    <x v="0"/>
    <x v="1"/>
    <x v="4"/>
    <x v="1"/>
    <n v="6.95"/>
    <x v="2"/>
    <n v="6.5449999999999999"/>
    <n v="5.375"/>
    <n v="17.876241405653172"/>
    <n v="22.661870503597122"/>
    <n v="2.0487425547910294"/>
    <n v="47.08"/>
    <n v="1"/>
    <n v="6.2489999999999997"/>
    <n v="0.67"/>
    <n v="0.7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6"/>
    <x v="1"/>
    <x v="1"/>
    <x v="1"/>
    <x v="2"/>
    <x v="1"/>
    <n v="6.94"/>
    <x v="2"/>
    <n v="17.437999999999999"/>
    <n v="5.1159999999999997"/>
    <n v="70.661773139121465"/>
    <n v="26.282420749279549"/>
    <n v="2.0966883600301718"/>
    <n v="44.78"/>
    <n v="1.083"/>
    <n v="6.7690000000000001"/>
    <n v="0.40899999999999997"/>
    <n v="0.457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7"/>
    <x v="1"/>
    <x v="0"/>
    <x v="1"/>
    <x v="1"/>
    <x v="1"/>
    <n v="6.98"/>
    <x v="2"/>
    <n v="6.5979999999999999"/>
    <n v="5.1040000000000001"/>
    <n v="22.643225219763565"/>
    <n v="26.876790830945563"/>
    <n v="2.1047838399598473"/>
    <n v="46.3"/>
    <n v="1.2"/>
    <n v="7.5"/>
    <n v="0.46800000000000003"/>
    <n v="0.49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2"/>
    <x v="1"/>
    <x v="0"/>
    <x v="1"/>
    <x v="3"/>
    <x v="1"/>
    <n v="6.98"/>
    <x v="2"/>
    <n v="6.3220000000000001"/>
    <n v="5.42"/>
    <n v="14.267636823789942"/>
    <n v="22.349570200573073"/>
    <n v="2.0447125705507814"/>
    <n v="46.39"/>
    <n v="0.96099999999999997"/>
    <n v="6.0060000000000002"/>
    <n v="0.626"/>
    <n v="1.15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6"/>
    <x v="1"/>
    <x v="1"/>
    <x v="1"/>
    <x v="3"/>
    <x v="1"/>
    <n v="6.99"/>
    <x v="2"/>
    <n v="7.4349999999999996"/>
    <n v="5.3330000000000002"/>
    <n v="28.271687962340273"/>
    <n v="23.705293276108726"/>
    <n v="2.0623260938553085"/>
    <n v="47.21"/>
    <n v="0.95899999999999996"/>
    <n v="5.9909999999999997"/>
    <n v="0.60499999999999998"/>
    <n v="0.842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6"/>
    <x v="1"/>
    <x v="0"/>
    <x v="1"/>
    <x v="0"/>
    <x v="1"/>
    <n v="7.02"/>
    <x v="2"/>
    <n v="6.827"/>
    <n v="5.4189999999999996"/>
    <n v="20.623992969093312"/>
    <n v="22.806267806267808"/>
    <n v="2.0506113906817975"/>
    <n v="47.05"/>
    <n v="0.9"/>
    <n v="5.6239999999999997"/>
    <n v="0.47299999999999998"/>
    <n v="0.833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8"/>
    <x v="1"/>
    <x v="1"/>
    <x v="1"/>
    <x v="1"/>
    <x v="1"/>
    <n v="7.09"/>
    <x v="2"/>
    <n v="6.556"/>
    <n v="5.7460000000000004"/>
    <n v="12.355094569859665"/>
    <n v="18.956276445698158"/>
    <n v="2.0019408492149933"/>
    <n v="47.99"/>
    <n v="1.26"/>
    <n v="7.8739999999999997"/>
    <n v="0.70899999999999996"/>
    <n v="1.3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1"/>
    <x v="2"/>
    <x v="0"/>
    <x v="0"/>
    <x v="1"/>
    <x v="1"/>
    <n v="6.9"/>
    <x v="2"/>
    <n v="6.7469999999999999"/>
    <n v="5.2610000000000001"/>
    <n v="77.975396472506304"/>
    <n v="23.753623188405797"/>
    <n v="2.0629597580825987"/>
    <n v="47.74"/>
    <n v="1.0580000000000001"/>
    <n v="6.6109999999999998"/>
    <n v="1.837"/>
    <n v="1.301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6"/>
    <x v="2"/>
    <x v="1"/>
    <x v="0"/>
    <x v="0"/>
    <x v="1"/>
    <n v="7.07"/>
    <x v="2"/>
    <n v="6.9240000000000004"/>
    <n v="5.681"/>
    <n v="82.047949162333907"/>
    <n v="19.64639321074965"/>
    <n v="2.0104926755615464"/>
    <n v="47.5"/>
    <n v="1.0149999999999999"/>
    <n v="6.3449999999999998"/>
    <n v="1.9850000000000001"/>
    <n v="1.65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4"/>
    <x v="2"/>
    <x v="0"/>
    <x v="0"/>
    <x v="4"/>
    <x v="1"/>
    <n v="7.04"/>
    <x v="2"/>
    <n v="6.3739999999999997"/>
    <n v="5.3479999999999999"/>
    <n v="83.903357389394415"/>
    <n v="24.03409090909091"/>
    <n v="2.0666449801583093"/>
    <n v="48.41"/>
    <n v="1.161"/>
    <n v="7.2590000000000003"/>
    <n v="2.105"/>
    <n v="2.10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2"/>
    <x v="2"/>
    <x v="1"/>
    <x v="0"/>
    <x v="3"/>
    <x v="1"/>
    <n v="6.92"/>
    <x v="2"/>
    <n v="6.9279999999999999"/>
    <n v="5.2149999999999999"/>
    <n v="75.274249422632792"/>
    <n v="24.638728323699425"/>
    <n v="2.0746361504048974"/>
    <n v="46.99"/>
    <n v="1.0589999999999999"/>
    <n v="6.6210000000000004"/>
    <n v="1.1080000000000001"/>
    <n v="0.85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2"/>
    <x v="2"/>
    <x v="1"/>
    <x v="0"/>
    <x v="1"/>
    <x v="1"/>
    <n v="6.99"/>
    <x v="2"/>
    <n v="6.8959999999999999"/>
    <n v="5.6210000000000004"/>
    <n v="81.511020881670532"/>
    <n v="19.585121602288979"/>
    <n v="2.0097304414538359"/>
    <n v="46.38"/>
    <n v="0.98399999999999999"/>
    <n v="6.1520000000000001"/>
    <n v="1.7170000000000001"/>
    <n v="1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4"/>
    <x v="2"/>
    <x v="0"/>
    <x v="0"/>
    <x v="3"/>
    <x v="1"/>
    <n v="6.9"/>
    <x v="2"/>
    <n v="6.6760000000000002"/>
    <n v="5.5579999999999998"/>
    <n v="83.253445176752535"/>
    <n v="19.449275362318847"/>
    <n v="2.0080425495109568"/>
    <n v="46.79"/>
    <n v="1.0509999999999999"/>
    <n v="6.5679999999999996"/>
    <n v="2.3069999999999999"/>
    <n v="1.82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6"/>
    <x v="2"/>
    <x v="1"/>
    <x v="0"/>
    <x v="4"/>
    <x v="1"/>
    <n v="6.97"/>
    <x v="2"/>
    <n v="6.5750000000000002"/>
    <n v="5.3929999999999998"/>
    <n v="82.022813688212921"/>
    <n v="22.625538020086083"/>
    <n v="2.0482728776453976"/>
    <n v="47.76"/>
    <n v="1.02"/>
    <n v="6.3769999999999998"/>
    <n v="1.8240000000000001"/>
    <n v="1.48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0"/>
    <x v="2"/>
    <x v="1"/>
    <x v="0"/>
    <x v="2"/>
    <x v="1"/>
    <n v="6.99"/>
    <x v="2"/>
    <n v="7.5049999999999999"/>
    <n v="5.694"/>
    <n v="75.869420386409061"/>
    <n v="18.540772532188846"/>
    <n v="1.9968270366179282"/>
    <n v="47.51"/>
    <n v="1.3360000000000001"/>
    <n v="8.3480000000000008"/>
    <n v="2.3370000000000002"/>
    <n v="1.90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4"/>
    <x v="2"/>
    <x v="0"/>
    <x v="0"/>
    <x v="2"/>
    <x v="1"/>
    <n v="6.97"/>
    <x v="2"/>
    <n v="6.782"/>
    <n v="5.556"/>
    <n v="81.92273665585374"/>
    <n v="20.286944045911042"/>
    <n v="2.0184962691083901"/>
    <n v="47.32"/>
    <n v="1.0720000000000001"/>
    <n v="6.7009999999999996"/>
    <n v="2.1150000000000002"/>
    <n v="1.42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3"/>
    <x v="2"/>
    <x v="0"/>
    <x v="0"/>
    <x v="0"/>
    <x v="1"/>
    <n v="7.04"/>
    <x v="2"/>
    <n v="6.7539999999999996"/>
    <n v="5.64"/>
    <n v="83.506070476754516"/>
    <n v="19.88636363636364"/>
    <n v="2.0134835738880388"/>
    <n v="47.83"/>
    <n v="1.095"/>
    <n v="6.8419999999999996"/>
    <n v="2.077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6"/>
    <x v="2"/>
    <x v="1"/>
    <x v="1"/>
    <x v="2"/>
    <x v="1"/>
    <n v="6.97"/>
    <x v="2"/>
    <n v="6.6189999999999998"/>
    <n v="5.415"/>
    <n v="81.809941078712797"/>
    <n v="22.309899569583926"/>
    <n v="2.0442018135475335"/>
    <n v="47.9"/>
    <n v="0.81499999999999995"/>
    <n v="5.0919999999999996"/>
    <n v="0.65"/>
    <n v="0.803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5"/>
    <x v="2"/>
    <x v="0"/>
    <x v="1"/>
    <x v="1"/>
    <x v="1"/>
    <n v="7"/>
    <x v="2"/>
    <n v="6.54"/>
    <n v="5.415"/>
    <n v="82.798165137614674"/>
    <n v="22.642857142857142"/>
    <n v="2.0484967378304146"/>
    <n v="47.43"/>
    <n v="0.93300000000000005"/>
    <n v="5.8330000000000002"/>
    <n v="0.68400000000000005"/>
    <n v="1.03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8"/>
    <x v="2"/>
    <x v="1"/>
    <x v="1"/>
    <x v="3"/>
    <x v="1"/>
    <n v="7.05"/>
    <x v="2"/>
    <n v="7.0019999999999998"/>
    <n v="5.444"/>
    <n v="77.749214510139964"/>
    <n v="22.780141843971631"/>
    <n v="2.0502730012630126"/>
    <n v="47.9"/>
    <n v="0.875"/>
    <n v="5.4710000000000001"/>
    <n v="0.72899999999999998"/>
    <n v="1.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3"/>
    <x v="2"/>
    <x v="0"/>
    <x v="1"/>
    <x v="1"/>
    <x v="1"/>
    <n v="6.9"/>
    <x v="2"/>
    <n v="6.1260000000000003"/>
    <n v="5.1159999999999997"/>
    <n v="83.512895853738158"/>
    <n v="25.855072463768124"/>
    <n v="2.0909079971146727"/>
    <n v="47.2"/>
    <n v="0.98299999999999998"/>
    <n v="6.1459999999999999"/>
    <n v="0.68100000000000005"/>
    <n v="0.6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6"/>
    <x v="2"/>
    <x v="0"/>
    <x v="1"/>
    <x v="3"/>
    <x v="1"/>
    <n v="6.91"/>
    <x v="2"/>
    <n v="6.4740000000000002"/>
    <n v="5.15"/>
    <n v="79.548965091133766"/>
    <n v="25.470332850940665"/>
    <n v="2.0857323923319888"/>
    <n v="47.71"/>
    <n v="0.82799999999999996"/>
    <n v="5.1760000000000002"/>
    <n v="0.97099999999999997"/>
    <n v="1.10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8"/>
    <x v="2"/>
    <x v="1"/>
    <x v="1"/>
    <x v="0"/>
    <x v="1"/>
    <n v="6.93"/>
    <x v="2"/>
    <n v="6.88"/>
    <n v="5.3040000000000003"/>
    <n v="77.093023255813961"/>
    <n v="23.463203463203456"/>
    <n v="2.0591580295463054"/>
    <n v="45.98"/>
    <n v="1.329"/>
    <n v="8.3059999999999992"/>
    <n v="0.91500000000000004"/>
    <n v="1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9"/>
    <x v="2"/>
    <x v="1"/>
    <x v="1"/>
    <x v="1"/>
    <x v="1"/>
    <n v="6.94"/>
    <x v="2"/>
    <n v="6.2910000000000004"/>
    <n v="5.1980000000000004"/>
    <n v="82.625973613098083"/>
    <n v="25.100864553314118"/>
    <n v="2.0807873075274697"/>
    <n v="45.98"/>
    <n v="1.236"/>
    <n v="7.7279999999999998"/>
    <n v="0.747"/>
    <n v="0.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6"/>
    <x v="2"/>
    <x v="1"/>
    <x v="1"/>
    <x v="4"/>
    <x v="1"/>
    <n v="6.96"/>
    <x v="2"/>
    <n v="7.2210000000000001"/>
    <n v="5.0250000000000004"/>
    <n v="69.588699626090573"/>
    <n v="27.801724137931028"/>
    <n v="2.1175134896292436"/>
    <n v="44.89"/>
    <n v="1.01"/>
    <n v="6.31"/>
    <n v="0.83"/>
    <n v="0.665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8"/>
    <x v="2"/>
    <x v="0"/>
    <x v="1"/>
    <x v="2"/>
    <x v="1"/>
    <n v="6.9"/>
    <x v="2"/>
    <n v="6.1909999999999998"/>
    <n v="5.1349999999999998"/>
    <n v="82.942981747698269"/>
    <n v="25.579710144927542"/>
    <n v="2.0872010374507473"/>
    <n v="47.9"/>
    <n v="1.0489999999999999"/>
    <n v="6.5540000000000003"/>
    <n v="0.9"/>
    <n v="1.10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9"/>
    <x v="2"/>
    <x v="0"/>
    <x v="1"/>
    <x v="0"/>
    <x v="1"/>
    <n v="7.03"/>
    <x v="2"/>
    <n v="6.6550000000000002"/>
    <n v="5.6360000000000001"/>
    <n v="84.688204357625835"/>
    <n v="19.829302987197725"/>
    <n v="2.0127715810141948"/>
    <n v="47.13"/>
    <n v="1.071"/>
    <n v="6.6950000000000003"/>
    <n v="1.097"/>
    <n v="1.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"/>
    <x v="0"/>
    <x v="0"/>
    <x v="0"/>
    <x v="2"/>
    <x v="1"/>
    <n v="6.99"/>
    <x v="3"/>
    <n v="17.684999999999999"/>
    <n v="4.1779999999999999"/>
    <n v="76.37545942889453"/>
    <n v="40.228898426323326"/>
    <n v="2.9995545428993453"/>
    <n v="44.96"/>
    <n v="1.3109999999999999"/>
    <n v="8.1940000000000008"/>
    <n v="1.054"/>
    <n v="0.47086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"/>
    <x v="0"/>
    <x v="1"/>
    <x v="0"/>
    <x v="1"/>
    <x v="1"/>
    <n v="6.98"/>
    <x v="3"/>
    <n v="18.338000000000001"/>
    <n v="3.97"/>
    <n v="78.350965208855925"/>
    <n v="43.123209169054441"/>
    <n v="3.0491894718631825"/>
    <n v="46.29"/>
    <n v="1.7669999999999999"/>
    <n v="11.047000000000001"/>
    <n v="0.68"/>
    <n v="0.565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"/>
    <x v="0"/>
    <x v="0"/>
    <x v="0"/>
    <x v="0"/>
    <x v="1"/>
    <n v="6.94"/>
    <x v="3"/>
    <n v="16.143000000000001"/>
    <n v="3.879"/>
    <n v="75.97100910611411"/>
    <n v="44.106628242074933"/>
    <n v="3.0666310358488835"/>
    <n v="46.35"/>
    <n v="1.752"/>
    <n v="10.952999999999999"/>
    <n v="1.03"/>
    <n v="0.55687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"/>
    <x v="0"/>
    <x v="1"/>
    <x v="0"/>
    <x v="2"/>
    <x v="1"/>
    <n v="7.04"/>
    <x v="3"/>
    <n v="22.119"/>
    <n v="5.1369999999999996"/>
    <n v="76.775622767756218"/>
    <n v="27.031250000000007"/>
    <n v="2.8000455684728207"/>
    <n v="45.45"/>
    <n v="1.0349999999999999"/>
    <n v="6.4660000000000002"/>
    <n v="0.44400000000000001"/>
    <n v="0.386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"/>
    <x v="0"/>
    <x v="1"/>
    <x v="0"/>
    <x v="4"/>
    <x v="1"/>
    <n v="6.99"/>
    <x v="3"/>
    <n v="20.507999999999999"/>
    <n v="4.625"/>
    <n v="77.447825238931145"/>
    <n v="33.834048640915597"/>
    <n v="2.8979108350693306"/>
    <n v="41.73"/>
    <n v="1.698"/>
    <n v="10.613"/>
    <n v="0.38500000000000001"/>
    <n v="0.163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"/>
    <x v="0"/>
    <x v="0"/>
    <x v="0"/>
    <x v="4"/>
    <x v="1"/>
    <n v="7.03"/>
    <x v="3"/>
    <n v="18.664999999999999"/>
    <n v="3.4"/>
    <n v="81.784087864987939"/>
    <n v="51.635846372688476"/>
    <n v="3.2113179239884584"/>
    <n v="44.75"/>
    <n v="1.798"/>
    <n v="11.24"/>
    <n v="0.52800000000000002"/>
    <n v="0.220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"/>
    <x v="0"/>
    <x v="1"/>
    <x v="0"/>
    <x v="3"/>
    <x v="1"/>
    <n v="6.99"/>
    <x v="3"/>
    <n v="17.861999999999998"/>
    <n v="3.4390000000000001"/>
    <n v="80.746836860373975"/>
    <n v="50.80114449213162"/>
    <n v="3.1942064745835901"/>
    <n v="44.96"/>
    <n v="1.7789999999999999"/>
    <n v="11.119"/>
    <n v="0.72899999999999998"/>
    <n v="0.404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"/>
    <x v="0"/>
    <x v="1"/>
    <x v="0"/>
    <x v="0"/>
    <x v="1"/>
    <n v="7"/>
    <x v="3"/>
    <n v="19.440000000000001"/>
    <n v="3.7589999999999999"/>
    <n v="80.663580246913583"/>
    <n v="46.300000000000004"/>
    <n v="3.1066638342612727"/>
    <n v="42.59"/>
    <n v="1.665"/>
    <n v="10.407"/>
    <n v="0.78300000000000003"/>
    <n v="0.51587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"/>
    <x v="0"/>
    <x v="0"/>
    <x v="0"/>
    <x v="3"/>
    <x v="1"/>
    <n v="7.03"/>
    <x v="3"/>
    <n v="20.728999999999999"/>
    <n v="3.7170000000000001"/>
    <n v="82.068599546529015"/>
    <n v="47.126600284495026"/>
    <n v="3.1221764642954586"/>
    <n v="46.41"/>
    <n v="1.847"/>
    <n v="11.547000000000001"/>
    <n v="0.754"/>
    <n v="0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"/>
    <x v="0"/>
    <x v="0"/>
    <x v="0"/>
    <x v="3"/>
    <x v="1"/>
    <n v="7.01"/>
    <x v="3"/>
    <n v="21.091000000000001"/>
    <n v="3.5339999999999998"/>
    <n v="83.24403774121663"/>
    <n v="49.586305278174038"/>
    <n v="3.1698139769369944"/>
    <n v="47.11"/>
    <n v="1.8819999999999999"/>
    <n v="11.762"/>
    <n v="0.69799999999999995"/>
    <n v="0.529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"/>
    <x v="0"/>
    <x v="0"/>
    <x v="0"/>
    <x v="1"/>
    <x v="1"/>
    <n v="7.01"/>
    <x v="3"/>
    <n v="16.163"/>
    <n v="3.839"/>
    <n v="76.248221246055806"/>
    <n v="45.235378031383739"/>
    <n v="3.0870324348158382"/>
    <n v="48.21"/>
    <n v="1.6379999999999999"/>
    <n v="10.239000000000001"/>
    <n v="0.8"/>
    <n v="0.450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"/>
    <x v="0"/>
    <x v="0"/>
    <x v="1"/>
    <x v="1"/>
    <x v="1"/>
    <n v="7.01"/>
    <x v="3"/>
    <n v="16.273"/>
    <n v="3.9390000000000001"/>
    <n v="75.794260431389418"/>
    <n v="43.808844507845933"/>
    <n v="3.0613174668457304"/>
    <n v="47.52"/>
    <n v="1.466"/>
    <n v="9.1609999999999996"/>
    <n v="0.505"/>
    <n v="0.28286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"/>
    <x v="0"/>
    <x v="0"/>
    <x v="1"/>
    <x v="4"/>
    <x v="1"/>
    <n v="6.96"/>
    <x v="3"/>
    <n v="18.783999999999999"/>
    <n v="3.907"/>
    <n v="79.200383304940374"/>
    <n v="43.864942528735625"/>
    <n v="3.0623163080613951"/>
    <n v="45.54"/>
    <n v="1.419"/>
    <n v="8.8689999999999998"/>
    <n v="0.57799999999999996"/>
    <n v="0.49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3"/>
    <x v="0"/>
    <x v="1"/>
    <x v="1"/>
    <x v="0"/>
    <x v="1"/>
    <n v="7.06"/>
    <x v="3"/>
    <n v="17.530999999999999"/>
    <n v="4.6520000000000001"/>
    <n v="73.464149221379259"/>
    <n v="34.107648725212456"/>
    <n v="2.9020544666367329"/>
    <n v="38.24"/>
    <n v="1.629"/>
    <n v="10.183999999999999"/>
    <n v="0.35799999999999998"/>
    <n v="0.133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5"/>
    <x v="0"/>
    <x v="0"/>
    <x v="1"/>
    <x v="0"/>
    <x v="1"/>
    <n v="7.06"/>
    <x v="3"/>
    <n v="14.94"/>
    <n v="4.5780000000000003"/>
    <n v="69.357429718875494"/>
    <n v="35.155807365439088"/>
    <n v="2.9180894797627759"/>
    <n v="45.3"/>
    <n v="1.357"/>
    <n v="8.4789999999999992"/>
    <n v="0.38100000000000001"/>
    <n v="0.25386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0"/>
    <x v="0"/>
    <x v="0"/>
    <x v="1"/>
    <x v="2"/>
    <x v="1"/>
    <n v="7.09"/>
    <x v="3"/>
    <n v="18.763000000000002"/>
    <n v="5.0209999999999999"/>
    <n v="73.239887011671897"/>
    <n v="29.181946403385052"/>
    <n v="2.8299628732794679"/>
    <n v="44.19"/>
    <n v="1.3959999999999999"/>
    <n v="8.7249999999999996"/>
    <n v="0.45300000000000001"/>
    <n v="6.386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7"/>
    <x v="0"/>
    <x v="1"/>
    <x v="1"/>
    <x v="3"/>
    <x v="1"/>
    <n v="6.99"/>
    <x v="3"/>
    <n v="16.321000000000002"/>
    <n v="3.8210000000000002"/>
    <n v="76.588444335518659"/>
    <n v="45.336194563662374"/>
    <n v="3.0888750375689562"/>
    <n v="44.18"/>
    <n v="1.234"/>
    <n v="7.7119999999999997"/>
    <n v="0.311"/>
    <n v="5.687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7"/>
    <x v="0"/>
    <x v="1"/>
    <x v="1"/>
    <x v="2"/>
    <x v="1"/>
    <n v="6.97"/>
    <x v="3"/>
    <n v="18.968"/>
    <n v="3.9990000000000001"/>
    <n v="78.917123576549969"/>
    <n v="42.625538020086076"/>
    <n v="3.0404775446957517"/>
    <n v="44.08"/>
    <n v="1.587"/>
    <n v="9.9190000000000005"/>
    <n v="0.38"/>
    <n v="0.773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2"/>
    <x v="1"/>
    <x v="0"/>
    <x v="0"/>
    <x v="3"/>
    <x v="1"/>
    <n v="6.98"/>
    <x v="3"/>
    <n v="21.507000000000001"/>
    <n v="4.0019999999999998"/>
    <n v="81.392104896080355"/>
    <n v="42.664756446991412"/>
    <n v="3.0411613304007399"/>
    <n v="47.5"/>
    <n v="1.651"/>
    <n v="10.316000000000001"/>
    <n v="0.58199999999999996"/>
    <n v="0.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4"/>
    <x v="1"/>
    <x v="1"/>
    <x v="0"/>
    <x v="1"/>
    <x v="1"/>
    <n v="6.99"/>
    <x v="3"/>
    <n v="18.765999999999998"/>
    <n v="3.8809999999999998"/>
    <n v="79.318981136097193"/>
    <n v="44.47782546494993"/>
    <n v="3.0732943536469501"/>
    <n v="47.13"/>
    <n v="1.9159999999999999"/>
    <n v="11.972"/>
    <n v="0.77100000000000002"/>
    <n v="0.101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6"/>
    <x v="1"/>
    <x v="1"/>
    <x v="0"/>
    <x v="2"/>
    <x v="1"/>
    <n v="6.99"/>
    <x v="3"/>
    <n v="20.731000000000002"/>
    <n v="4.0679999999999996"/>
    <n v="80.377212869615562"/>
    <n v="41.80257510729615"/>
    <n v="3.0262357278474057"/>
    <n v="45.85"/>
    <n v="1.5629999999999999"/>
    <n v="9.7710000000000008"/>
    <n v="0.56699999999999995"/>
    <n v="0.23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6"/>
    <x v="1"/>
    <x v="0"/>
    <x v="0"/>
    <x v="2"/>
    <x v="1"/>
    <n v="6.99"/>
    <x v="3"/>
    <n v="15.778"/>
    <n v="3.8490000000000002"/>
    <n v="75.605273165166693"/>
    <n v="44.935622317596561"/>
    <n v="3.08157383173211"/>
    <n v="46.11"/>
    <n v="1.627"/>
    <n v="10.166"/>
    <n v="0.76200000000000001"/>
    <n v="0.75887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5"/>
    <x v="1"/>
    <x v="1"/>
    <x v="0"/>
    <x v="4"/>
    <x v="1"/>
    <n v="6.97"/>
    <x v="3"/>
    <n v="20.335000000000001"/>
    <n v="3.7770000000000001"/>
    <n v="81.426112613720179"/>
    <n v="45.810616929698703"/>
    <n v="3.0975918308301127"/>
    <n v="40.119999999999997"/>
    <n v="1.696"/>
    <n v="10.6"/>
    <n v="0.51100000000000001"/>
    <n v="0.59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6"/>
    <x v="1"/>
    <x v="0"/>
    <x v="0"/>
    <x v="4"/>
    <x v="1"/>
    <n v="7.04"/>
    <x v="3"/>
    <n v="16.013999999999999"/>
    <n v="3.3359999999999999"/>
    <n v="79.168227800674401"/>
    <n v="52.61363636363636"/>
    <n v="3.2317423354614512"/>
    <n v="46.63"/>
    <n v="1.903"/>
    <n v="11.893000000000001"/>
    <n v="0.46200000000000002"/>
    <n v="0.23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8"/>
    <x v="1"/>
    <x v="0"/>
    <x v="0"/>
    <x v="1"/>
    <x v="1"/>
    <n v="7"/>
    <x v="3"/>
    <n v="23.914000000000001"/>
    <n v="3.605"/>
    <n v="84.925148448607516"/>
    <n v="48.5"/>
    <n v="3.1484950281064013"/>
    <n v="46.99"/>
    <n v="2.0459999999999998"/>
    <n v="12.786"/>
    <n v="0.39500000000000002"/>
    <n v="0.186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2"/>
    <x v="1"/>
    <x v="1"/>
    <x v="0"/>
    <x v="0"/>
    <x v="1"/>
    <n v="7.03"/>
    <x v="3"/>
    <n v="19.576000000000001"/>
    <n v="4.1239999999999997"/>
    <n v="78.933387821822649"/>
    <n v="41.337126600284499"/>
    <n v="3.0182697894558603"/>
    <n v="46.94"/>
    <n v="1.738"/>
    <n v="10.864000000000001"/>
    <n v="0.92600000000000005"/>
    <n v="0.5880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3"/>
    <x v="1"/>
    <x v="1"/>
    <x v="0"/>
    <x v="3"/>
    <x v="1"/>
    <n v="7.02"/>
    <x v="3"/>
    <n v="18.379000000000001"/>
    <n v="3.4049999999999998"/>
    <n v="81.473420751945156"/>
    <n v="51.495726495726487"/>
    <n v="3.2084249282242445"/>
    <n v="46.12"/>
    <n v="1.778"/>
    <n v="11.113"/>
    <n v="0.56699999999999995"/>
    <n v="0.5850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8"/>
    <x v="1"/>
    <x v="0"/>
    <x v="0"/>
    <x v="0"/>
    <x v="1"/>
    <n v="6.96"/>
    <x v="3"/>
    <n v="19.530999999999999"/>
    <n v="3.1930000000000001"/>
    <n v="83.651630740873472"/>
    <n v="54.1235632183908"/>
    <n v="3.2641252104016836"/>
    <n v="44.58"/>
    <n v="1.9379999999999999"/>
    <n v="12.112"/>
    <n v="0.629"/>
    <n v="0.20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3"/>
    <x v="1"/>
    <x v="1"/>
    <x v="1"/>
    <x v="0"/>
    <x v="1"/>
    <n v="6.99"/>
    <x v="3"/>
    <n v="14.423999999999999"/>
    <n v="4.3369999999999997"/>
    <n v="69.932057681641709"/>
    <n v="37.954220314735345"/>
    <n v="2.9622043411804904"/>
    <n v="46.77"/>
    <n v="1.4530000000000001"/>
    <n v="9.0809999999999995"/>
    <n v="0.61499999999999999"/>
    <n v="0.471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6"/>
    <x v="1"/>
    <x v="1"/>
    <x v="1"/>
    <x v="4"/>
    <x v="1"/>
    <n v="6.96"/>
    <x v="3"/>
    <n v="24.687999999999999"/>
    <n v="4.4539999999999997"/>
    <n v="81.958846403110812"/>
    <n v="36.005747126436781"/>
    <n v="2.9312835552991525"/>
    <n v="39.380000000000003"/>
    <n v="1.47"/>
    <n v="9.1869999999999994"/>
    <n v="0.30399999999999999"/>
    <n v="0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8"/>
    <x v="1"/>
    <x v="0"/>
    <x v="1"/>
    <x v="2"/>
    <x v="1"/>
    <n v="7.03"/>
    <x v="3"/>
    <n v="15.638"/>
    <n v="4.7"/>
    <n v="69.945005755211653"/>
    <n v="33.143669985775247"/>
    <n v="2.8875308468945611"/>
    <n v="46.23"/>
    <n v="1.373"/>
    <n v="8.5809999999999995"/>
    <n v="0.35799999999999998"/>
    <n v="0.30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9"/>
    <x v="1"/>
    <x v="1"/>
    <x v="1"/>
    <x v="3"/>
    <x v="1"/>
    <n v="7"/>
    <x v="3"/>
    <n v="18.916"/>
    <n v="4.3479999999999999"/>
    <n v="77.014167900190316"/>
    <n v="37.885714285714286"/>
    <n v="2.9611008295843506"/>
    <n v="46.78"/>
    <n v="1.5309999999999999"/>
    <n v="9.5690000000000008"/>
    <n v="0.497"/>
    <n v="0.46886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4"/>
    <x v="1"/>
    <x v="0"/>
    <x v="1"/>
    <x v="3"/>
    <x v="1"/>
    <n v="6.96"/>
    <x v="3"/>
    <n v="20.212"/>
    <n v="3.899"/>
    <n v="80.709479517118538"/>
    <n v="43.979885057471265"/>
    <n v="3.0643660141338684"/>
    <n v="46.46"/>
    <n v="1.274"/>
    <n v="7.9630000000000001"/>
    <n v="0.48899999999999999"/>
    <n v="0.443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2"/>
    <x v="1"/>
    <x v="1"/>
    <x v="1"/>
    <x v="1"/>
    <x v="1"/>
    <n v="6.92"/>
    <x v="3"/>
    <n v="20.859000000000002"/>
    <n v="4.2770000000000001"/>
    <n v="79.495661345222686"/>
    <n v="38.193641618497111"/>
    <n v="2.9660705901728068"/>
    <n v="47.59"/>
    <n v="1.637"/>
    <n v="10.23"/>
    <n v="0.376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4"/>
    <x v="1"/>
    <x v="0"/>
    <x v="1"/>
    <x v="0"/>
    <x v="1"/>
    <n v="7"/>
    <x v="3"/>
    <n v="22.498999999999999"/>
    <n v="4.5140000000000002"/>
    <n v="79.936886083825954"/>
    <n v="35.514285714285712"/>
    <n v="2.9236331204479695"/>
    <n v="47.12"/>
    <n v="1.4470000000000001"/>
    <n v="9.0429999999999993"/>
    <n v="0.317"/>
    <n v="0.136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x v="1"/>
    <x v="0"/>
    <x v="1"/>
    <x v="4"/>
    <x v="1"/>
    <n v="7.01"/>
    <x v="3"/>
    <n v="17.388999999999999"/>
    <n v="4.1020000000000003"/>
    <n v="76.410374374604629"/>
    <n v="41.483594864479315"/>
    <n v="3.0207696911843103"/>
    <n v="46.98"/>
    <n v="1.409"/>
    <n v="8.8059999999999992"/>
    <n v="0.40699999999999997"/>
    <n v="0.28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7"/>
    <x v="1"/>
    <x v="1"/>
    <x v="1"/>
    <x v="2"/>
    <x v="1"/>
    <n v="6.91"/>
    <x v="3"/>
    <n v="22.274999999999999"/>
    <n v="4.4340000000000002"/>
    <n v="80.094276094276083"/>
    <n v="35.832127351664255"/>
    <n v="2.9285741763734592"/>
    <n v="46.78"/>
    <n v="1.5660000000000001"/>
    <n v="9.7850000000000001"/>
    <n v="0.34100000000000003"/>
    <n v="0.194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9"/>
    <x v="2"/>
    <x v="1"/>
    <x v="0"/>
    <x v="4"/>
    <x v="1"/>
    <n v="6.98"/>
    <x v="3"/>
    <n v="14.869"/>
    <n v="3.2829999999999999"/>
    <n v="22.079494249781426"/>
    <n v="52.965616045845273"/>
    <n v="3.239197928042826"/>
    <n v="46.95"/>
    <n v="1.554"/>
    <n v="9.7129999999999992"/>
    <n v="0.94399999999999995"/>
    <n v="0.584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0"/>
    <x v="2"/>
    <x v="0"/>
    <x v="0"/>
    <x v="3"/>
    <x v="1"/>
    <n v="7.04"/>
    <x v="3"/>
    <n v="18.042000000000002"/>
    <n v="3.8969999999999998"/>
    <n v="21.599600931160623"/>
    <n v="44.644886363636367"/>
    <n v="3.0763077936013792"/>
    <n v="47.21"/>
    <n v="1.8220000000000001"/>
    <n v="11.387"/>
    <n v="0.77200000000000002"/>
    <n v="0.43686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9"/>
    <x v="2"/>
    <x v="1"/>
    <x v="0"/>
    <x v="0"/>
    <x v="1"/>
    <n v="7.04"/>
    <x v="3"/>
    <n v="19.204999999999998"/>
    <n v="4.3979999999999997"/>
    <n v="22.900286383754231"/>
    <n v="37.528409090909101"/>
    <n v="2.9553649278253822"/>
    <n v="44.4"/>
    <n v="1.41"/>
    <n v="8.8119999999999994"/>
    <n v="0.76400000000000001"/>
    <n v="0.78087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0"/>
    <x v="2"/>
    <x v="0"/>
    <x v="0"/>
    <x v="1"/>
    <x v="1"/>
    <n v="6.91"/>
    <x v="3"/>
    <n v="20.382999999999999"/>
    <n v="4.5590000000000002"/>
    <n v="22.366678114114706"/>
    <n v="34.02315484804631"/>
    <n v="2.9007729863362743"/>
    <n v="46.92"/>
    <n v="1.407"/>
    <n v="8.7959999999999994"/>
    <n v="1.0880000000000001"/>
    <n v="0.400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1"/>
    <x v="2"/>
    <x v="0"/>
    <x v="0"/>
    <x v="2"/>
    <x v="1"/>
    <n v="7.08"/>
    <x v="3"/>
    <n v="20.768000000000001"/>
    <n v="4.476"/>
    <n v="21.552388289676426"/>
    <n v="36.779661016949156"/>
    <n v="2.94345076704395"/>
    <n v="47.78"/>
    <n v="1.7210000000000001"/>
    <n v="10.753"/>
    <n v="0.97199999999999998"/>
    <n v="0.51387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3"/>
    <x v="2"/>
    <x v="0"/>
    <x v="0"/>
    <x v="4"/>
    <x v="1"/>
    <n v="7.05"/>
    <x v="3"/>
    <n v="18.670999999999999"/>
    <n v="3.944"/>
    <n v="21.123667719993573"/>
    <n v="44.056737588652481"/>
    <n v="3.0657388298717887"/>
    <n v="46.98"/>
    <n v="1.823"/>
    <n v="11.395"/>
    <n v="0.78100000000000003"/>
    <n v="5.886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6"/>
    <x v="2"/>
    <x v="0"/>
    <x v="0"/>
    <x v="0"/>
    <x v="1"/>
    <n v="6.97"/>
    <x v="3"/>
    <n v="14.916"/>
    <n v="4.3070000000000004"/>
    <n v="28.875033521051225"/>
    <n v="38.206599713055944"/>
    <n v="2.9662802684884593"/>
    <n v="47.53"/>
    <n v="1.5960000000000001"/>
    <n v="9.9779999999999998"/>
    <n v="1.6"/>
    <n v="0.848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1"/>
    <x v="2"/>
    <x v="1"/>
    <x v="0"/>
    <x v="3"/>
    <x v="1"/>
    <n v="6.96"/>
    <x v="3"/>
    <n v="23.120999999999999"/>
    <n v="5.149"/>
    <n v="22.26979801911682"/>
    <n v="26.020114942528732"/>
    <n v="2.7862836030703244"/>
    <n v="38.01"/>
    <n v="1.298"/>
    <n v="8.1150000000000002"/>
    <n v="0.46500000000000002"/>
    <n v="0.180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8"/>
    <x v="2"/>
    <x v="0"/>
    <x v="0"/>
    <x v="2"/>
    <x v="1"/>
    <n v="7.05"/>
    <x v="3"/>
    <n v="20.768000000000001"/>
    <n v="3.9769999999999999"/>
    <n v="19.149653312788907"/>
    <n v="43.588652482269502"/>
    <n v="3.057406500386624"/>
    <n v="46.2"/>
    <n v="1.5580000000000001"/>
    <n v="9.7390000000000008"/>
    <n v="0.65500000000000003"/>
    <n v="0.52787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00"/>
    <x v="2"/>
    <x v="1"/>
    <x v="0"/>
    <x v="2"/>
    <x v="1"/>
    <n v="7.07"/>
    <x v="3"/>
    <n v="16.491"/>
    <n v="3.2120000000000002"/>
    <n v="19.477290643381238"/>
    <n v="54.568599717114566"/>
    <n v="3.2738733336119665"/>
    <n v="46.53"/>
    <n v="1.954"/>
    <n v="12.211"/>
    <n v="0.97899999999999998"/>
    <n v="1.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4"/>
    <x v="2"/>
    <x v="1"/>
    <x v="1"/>
    <x v="4"/>
    <x v="1"/>
    <n v="6.92"/>
    <x v="3"/>
    <n v="18.231000000000002"/>
    <n v="4.6210000000000004"/>
    <n v="25.346936536668313"/>
    <n v="33.22254335260115"/>
    <n v="2.8887112875294489"/>
    <n v="47.38"/>
    <n v="1.5589999999999999"/>
    <n v="9.7409999999999997"/>
    <n v="0.41299999999999998"/>
    <n v="0.195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2"/>
    <x v="2"/>
    <x v="0"/>
    <x v="1"/>
    <x v="2"/>
    <x v="1"/>
    <n v="6.99"/>
    <x v="3"/>
    <n v="16.481000000000002"/>
    <n v="3.62"/>
    <n v="21.96468660882228"/>
    <n v="48.211731044349072"/>
    <n v="3.1429131801960395"/>
    <n v="46.9"/>
    <n v="1.589"/>
    <n v="9.9339999999999993"/>
    <n v="0.34499999999999997"/>
    <n v="0.156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7"/>
    <x v="2"/>
    <x v="0"/>
    <x v="1"/>
    <x v="0"/>
    <x v="1"/>
    <n v="7"/>
    <x v="3"/>
    <n v="17.381"/>
    <n v="3.8780000000000001"/>
    <n v="22.311719693918647"/>
    <n v="44.6"/>
    <n v="3.0754972420228537"/>
    <n v="47.06"/>
    <n v="1.7989999999999999"/>
    <n v="11.244999999999999"/>
    <n v="0.51400000000000001"/>
    <n v="1.870000000000000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6"/>
    <x v="2"/>
    <x v="0"/>
    <x v="1"/>
    <x v="3"/>
    <x v="1"/>
    <n v="6.92"/>
    <x v="3"/>
    <n v="15.885999999999999"/>
    <n v="3.871"/>
    <n v="24.367367493390407"/>
    <n v="44.060693641618499"/>
    <n v="3.0658095478220675"/>
    <n v="45.57"/>
    <n v="1.5309999999999999"/>
    <n v="9.5670000000000002"/>
    <n v="0.373"/>
    <n v="0.34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9"/>
    <x v="2"/>
    <x v="1"/>
    <x v="1"/>
    <x v="2"/>
    <x v="1"/>
    <n v="7.01"/>
    <x v="3"/>
    <n v="18.715"/>
    <n v="3.7530000000000001"/>
    <n v="20.053433075073471"/>
    <n v="46.462196861626239"/>
    <n v="3.1096888306816153"/>
    <n v="47.73"/>
    <n v="1.6359999999999999"/>
    <n v="10.228"/>
    <n v="0.315"/>
    <n v="0.164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2"/>
    <x v="2"/>
    <x v="1"/>
    <x v="1"/>
    <x v="0"/>
    <x v="1"/>
    <n v="6.93"/>
    <x v="3"/>
    <n v="20.026"/>
    <n v="3.8340000000000001"/>
    <n v="19.145111355238189"/>
    <n v="44.675324675324674"/>
    <n v="3.0768578183663591"/>
    <n v="45.74"/>
    <n v="2.0150000000000001"/>
    <n v="12.593"/>
    <n v="0.57699999999999996"/>
    <n v="9.486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5"/>
    <x v="2"/>
    <x v="0"/>
    <x v="1"/>
    <x v="4"/>
    <x v="1"/>
    <n v="6.96"/>
    <x v="3"/>
    <n v="19.356000000000002"/>
    <n v="4.3250000000000002"/>
    <n v="22.344492663773504"/>
    <n v="37.859195402298845"/>
    <n v="2.9606739837504858"/>
    <n v="46.04"/>
    <n v="1.591"/>
    <n v="9.9469999999999992"/>
    <n v="0.47099999999999997"/>
    <n v="0.246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9"/>
    <x v="2"/>
    <x v="0"/>
    <x v="1"/>
    <x v="1"/>
    <x v="1"/>
    <n v="7.05"/>
    <x v="3"/>
    <n v="20.404"/>
    <n v="3.887"/>
    <n v="19.050186237992548"/>
    <n v="44.865248226950357"/>
    <n v="3.0802966147420912"/>
    <n v="47.32"/>
    <n v="1.571"/>
    <n v="9.8190000000000008"/>
    <n v="0.42199999999999999"/>
    <n v="0.262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1"/>
    <x v="2"/>
    <x v="1"/>
    <x v="1"/>
    <x v="1"/>
    <x v="1"/>
    <n v="6.93"/>
    <x v="3"/>
    <n v="17.757000000000001"/>
    <n v="4.0960000000000001"/>
    <n v="23.066959508926054"/>
    <n v="40.894660894660888"/>
    <n v="3.0107555752526056"/>
    <n v="46.73"/>
    <n v="1.2210000000000001"/>
    <n v="7.633"/>
    <n v="0.438"/>
    <n v="0.5830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5"/>
    <x v="2"/>
    <x v="1"/>
    <x v="1"/>
    <x v="3"/>
    <x v="1"/>
    <n v="6.98"/>
    <x v="3"/>
    <n v="20.51"/>
    <n v="4.4119999999999999"/>
    <n v="21.511457825450996"/>
    <n v="36.790830945558746"/>
    <n v="2.9436274651710255"/>
    <n v="41.06"/>
    <n v="1.4850000000000001"/>
    <n v="9.2799999999999994"/>
    <n v="0.314"/>
    <n v="0.69799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4"/>
    <x v="0"/>
    <x v="1"/>
    <x v="1"/>
    <x v="1"/>
    <x v="1"/>
    <n v="7"/>
    <x v="3"/>
    <n v="16.898"/>
    <n v="3.927"/>
    <n v="76.760563380281681"/>
    <n v="43.9"/>
    <n v="3.0629410232474408"/>
    <n v="47.07"/>
    <n v="1.0980000000000001"/>
    <n v="6.8650000000000002"/>
    <n v="0.42299999999999999"/>
    <n v="0.184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5"/>
    <x v="0"/>
    <x v="1"/>
    <x v="1"/>
    <x v="4"/>
    <x v="1"/>
    <n v="7"/>
    <x v="3"/>
    <n v="21.645"/>
    <n v="5.2030000000000003"/>
    <n v="75.962115962115959"/>
    <n v="25.671428571428567"/>
    <n v="2.7815814165351473"/>
    <n v="28.88"/>
    <n v="1.2729999999999999"/>
    <n v="7.9539999999999997"/>
    <n v="0.187"/>
    <n v="0.2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"/>
    <x v="0"/>
    <x v="0"/>
    <x v="0"/>
    <x v="3"/>
    <x v="1"/>
    <n v="6.99"/>
    <x v="4"/>
    <n v="4.12"/>
    <n v="2.5779999999999998"/>
    <n v="37.427184466019426"/>
    <n v="63.118741058655239"/>
    <n v="3.8878384096248881"/>
    <n v="44.58"/>
    <n v="1.5249999999999999"/>
    <n v="9.5289999999999999"/>
    <n v="0.29399999999999998"/>
    <n v="0.255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"/>
    <x v="0"/>
    <x v="1"/>
    <x v="0"/>
    <x v="4"/>
    <x v="1"/>
    <n v="7.06"/>
    <x v="4"/>
    <n v="6.0250000000000004"/>
    <n v="2.3650000000000002"/>
    <n v="60.746887966804977"/>
    <n v="66.501416430594901"/>
    <n v="3.9840387874574192"/>
    <n v="44.09"/>
    <n v="1.9490000000000001"/>
    <n v="12.180999999999999"/>
    <n v="0.42299999999999999"/>
    <n v="0.38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"/>
    <x v="0"/>
    <x v="1"/>
    <x v="0"/>
    <x v="2"/>
    <x v="1"/>
    <n v="7"/>
    <x v="4"/>
    <n v="4.1452999999999998"/>
    <n v="3.4186999999999999"/>
    <n v="17.528285045714423"/>
    <n v="51.161428571428566"/>
    <n v="3.6070215450987928"/>
    <n v="45.57"/>
    <n v="1.6639999999999999"/>
    <n v="10.401999999999999"/>
    <n v="0.60299999999999998"/>
    <n v="0.60361999999999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"/>
    <x v="0"/>
    <x v="0"/>
    <x v="0"/>
    <x v="4"/>
    <x v="1"/>
    <n v="7.05"/>
    <x v="4"/>
    <n v="5.22"/>
    <n v="2.8359999999999999"/>
    <n v="45.670498084291189"/>
    <n v="59.773049645390074"/>
    <n v="3.8010047660504611"/>
    <n v="47.92"/>
    <n v="1.661"/>
    <n v="10.379"/>
    <n v="0.32400000000000001"/>
    <n v="0.25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"/>
    <x v="0"/>
    <x v="1"/>
    <x v="0"/>
    <x v="3"/>
    <x v="1"/>
    <n v="7.02"/>
    <x v="4"/>
    <n v="3.98"/>
    <n v="2.444"/>
    <n v="38.5929648241206"/>
    <n v="65.185185185185176"/>
    <n v="3.9454989346245357"/>
    <n v="44.54"/>
    <n v="2.0099999999999998"/>
    <n v="12.565"/>
    <n v="0.49399999999999999"/>
    <n v="0.396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"/>
    <x v="0"/>
    <x v="0"/>
    <x v="0"/>
    <x v="1"/>
    <x v="1"/>
    <n v="6.99"/>
    <x v="4"/>
    <n v="3.786"/>
    <n v="2.9134000000000002"/>
    <n v="23.048071843634439"/>
    <n v="58.320457796852644"/>
    <n v="3.7655315301091732"/>
    <n v="44.62"/>
    <n v="1.597"/>
    <n v="9.9789999999999992"/>
    <n v="0.313"/>
    <n v="0.50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"/>
    <x v="0"/>
    <x v="0"/>
    <x v="0"/>
    <x v="2"/>
    <x v="1"/>
    <n v="7.05"/>
    <x v="4"/>
    <n v="4.4347000000000003"/>
    <n v="3.7911000000000001"/>
    <n v="14.512819356438994"/>
    <n v="46.225531914893615"/>
    <n v="3.5107431602697341"/>
    <n v="47.63"/>
    <n v="1.591"/>
    <n v="9.9440000000000008"/>
    <n v="0.311"/>
    <n v="0.211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0"/>
    <x v="0"/>
    <x v="1"/>
    <x v="1"/>
    <x v="1"/>
    <x v="1"/>
    <n v="7.05"/>
    <x v="4"/>
    <n v="12.268000000000001"/>
    <n v="2.8279999999999998"/>
    <n v="76.948157808933814"/>
    <n v="59.88652482269503"/>
    <n v="3.8038296266860154"/>
    <n v="41.9"/>
    <n v="1.25"/>
    <n v="7.8140000000000001"/>
    <n v="0.21099999999999999"/>
    <n v="0.23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4"/>
    <x v="0"/>
    <x v="1"/>
    <x v="1"/>
    <x v="0"/>
    <x v="1"/>
    <n v="7.08"/>
    <x v="4"/>
    <n v="4.0381999999999998"/>
    <n v="2.7092999999999998"/>
    <n v="32.90822643752167"/>
    <n v="61.733050847457626"/>
    <n v="3.8509553666590675"/>
    <n v="37.979999999999997"/>
    <n v="1.6439999999999999"/>
    <n v="10.273999999999999"/>
    <n v="0.245"/>
    <n v="0.23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"/>
    <x v="0"/>
    <x v="0"/>
    <x v="1"/>
    <x v="2"/>
    <x v="1"/>
    <n v="6.99"/>
    <x v="4"/>
    <n v="5.0750000000000002"/>
    <n v="3.6459999999999999"/>
    <n v="28.157635467980302"/>
    <n v="47.839771101573682"/>
    <n v="3.5412216378854122"/>
    <n v="45.38"/>
    <n v="1.5009999999999999"/>
    <n v="9.3800000000000008"/>
    <n v="0.24299999999999999"/>
    <n v="6.361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8"/>
    <x v="0"/>
    <x v="0"/>
    <x v="1"/>
    <x v="0"/>
    <x v="1"/>
    <n v="7"/>
    <x v="4"/>
    <n v="7.0010000000000003"/>
    <n v="2.798"/>
    <n v="60.034280817026143"/>
    <n v="60.028571428571432"/>
    <n v="3.8073770307081887"/>
    <n v="46.89"/>
    <n v="1.893"/>
    <n v="11.832000000000001"/>
    <n v="0.317"/>
    <n v="0.293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1"/>
    <x v="0"/>
    <x v="0"/>
    <x v="1"/>
    <x v="3"/>
    <x v="1"/>
    <n v="7.02"/>
    <x v="4"/>
    <n v="4.2119999999999997"/>
    <n v="2.8069999999999999"/>
    <n v="33.357075023741686"/>
    <n v="60.014245014245006"/>
    <n v="3.8070186785541389"/>
    <n v="47.51"/>
    <n v="1.56"/>
    <n v="9.7490000000000006"/>
    <n v="0.32200000000000001"/>
    <n v="0.367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2"/>
    <x v="0"/>
    <x v="1"/>
    <x v="1"/>
    <x v="2"/>
    <x v="1"/>
    <n v="7.03"/>
    <x v="4"/>
    <n v="4.5434000000000001"/>
    <n v="3.4338000000000002"/>
    <n v="24.422238851961083"/>
    <n v="51.155049786628737"/>
    <n v="3.6068909440577634"/>
    <n v="43.43"/>
    <n v="1.4219999999999999"/>
    <n v="8.89"/>
    <n v="0.246"/>
    <n v="0.15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4"/>
    <x v="0"/>
    <x v="0"/>
    <x v="1"/>
    <x v="4"/>
    <x v="1"/>
    <n v="6.98"/>
    <x v="4"/>
    <n v="4.87"/>
    <n v="3.343"/>
    <n v="31.355236139630392"/>
    <n v="52.106017191977081"/>
    <n v="3.6265520672324842"/>
    <n v="47.43"/>
    <n v="1.1679999999999999"/>
    <n v="7.3"/>
    <n v="0.316"/>
    <n v="0.226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3"/>
    <x v="1"/>
    <x v="0"/>
    <x v="0"/>
    <x v="1"/>
    <x v="1"/>
    <n v="7.06"/>
    <x v="4"/>
    <n v="6.2767999999999997"/>
    <n v="2.7496999999999998"/>
    <n v="56.192645934234008"/>
    <n v="61.052407932011334"/>
    <n v="3.8333249945827723"/>
    <n v="47.12"/>
    <n v="1.873"/>
    <n v="11.706"/>
    <n v="0.20899999999999999"/>
    <n v="0.564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6"/>
    <x v="1"/>
    <x v="1"/>
    <x v="0"/>
    <x v="1"/>
    <x v="1"/>
    <n v="7.03"/>
    <x v="4"/>
    <n v="7.5119999999999996"/>
    <n v="4.1561000000000003"/>
    <n v="44.673855165069213"/>
    <n v="40.880512091038398"/>
    <n v="3.4159813291735426"/>
    <n v="45.92"/>
    <n v="1.8919999999999999"/>
    <n v="11.826000000000001"/>
    <n v="0.4"/>
    <n v="0.52461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"/>
    <x v="1"/>
    <x v="1"/>
    <x v="0"/>
    <x v="2"/>
    <x v="1"/>
    <n v="7.02"/>
    <x v="4"/>
    <n v="25.846"/>
    <n v="2"/>
    <n v="92.261858701539893"/>
    <n v="71.509971509971507"/>
    <n v="4.145987795373939"/>
    <n v="45.73"/>
    <n v="1.827"/>
    <n v="11.420999999999999"/>
    <n v="0.22700000000000001"/>
    <n v="0.105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0"/>
    <x v="1"/>
    <x v="0"/>
    <x v="0"/>
    <x v="2"/>
    <x v="1"/>
    <n v="7.01"/>
    <x v="4"/>
    <n v="7.2756999999999996"/>
    <n v="3.0716000000000001"/>
    <n v="57.782756298363033"/>
    <n v="56.182596291012828"/>
    <n v="3.7155108604684122"/>
    <n v="37.200000000000003"/>
    <n v="1.786"/>
    <n v="11.162000000000001"/>
    <n v="0.34699999999999998"/>
    <n v="0.341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3"/>
    <x v="1"/>
    <x v="0"/>
    <x v="0"/>
    <x v="0"/>
    <x v="1"/>
    <n v="7.01"/>
    <x v="4"/>
    <n v="10.6053"/>
    <n v="2.3628999999999998"/>
    <n v="77.719630750662404"/>
    <n v="66.292439372325248"/>
    <n v="3.9778197807192783"/>
    <n v="46.93"/>
    <n v="1.7070000000000001"/>
    <n v="10.666"/>
    <n v="0.35799999999999998"/>
    <n v="0.480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0"/>
    <x v="1"/>
    <x v="1"/>
    <x v="0"/>
    <x v="3"/>
    <x v="1"/>
    <n v="7.01"/>
    <x v="4"/>
    <n v="8.5434999999999999"/>
    <n v="2.7999000000000001"/>
    <n v="67.227716977819398"/>
    <n v="60.058487874465051"/>
    <n v="3.8081257566849898"/>
    <n v="46.18"/>
    <n v="1.726"/>
    <n v="10.788"/>
    <n v="0.16300000000000001"/>
    <n v="0.290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7"/>
    <x v="1"/>
    <x v="1"/>
    <x v="1"/>
    <x v="3"/>
    <x v="1"/>
    <n v="6.97"/>
    <x v="4"/>
    <n v="7.3247"/>
    <n v="3.8814000000000002"/>
    <n v="47.009433833467575"/>
    <n v="44.312769010043034"/>
    <n v="3.4757910693727396"/>
    <n v="47.55"/>
    <n v="1.2929999999999999"/>
    <n v="8.0790000000000006"/>
    <n v="0.28599999999999998"/>
    <n v="0.353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5"/>
    <x v="1"/>
    <x v="1"/>
    <x v="1"/>
    <x v="6"/>
    <x v="1"/>
    <n v="7.09"/>
    <x v="4"/>
    <n v="23.710999999999999"/>
    <n v="2.456"/>
    <n v="89.641938340854452"/>
    <n v="65.359661495063477"/>
    <n v="3.9505230881553048"/>
    <n v="44.96"/>
    <n v="1.48"/>
    <n v="9.2479999999999993"/>
    <n v="0.25"/>
    <n v="0.212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0"/>
    <x v="1"/>
    <x v="1"/>
    <x v="1"/>
    <x v="4"/>
    <x v="1"/>
    <n v="7.03"/>
    <x v="4"/>
    <n v="12.102399999999999"/>
    <n v="3.8773"/>
    <n v="67.962552882072984"/>
    <n v="44.846372688477956"/>
    <n v="3.4854194286065039"/>
    <n v="45.9"/>
    <n v="1.74"/>
    <n v="10.877000000000001"/>
    <n v="0.28899999999999998"/>
    <n v="0.29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7"/>
    <x v="1"/>
    <x v="0"/>
    <x v="1"/>
    <x v="0"/>
    <x v="1"/>
    <n v="7"/>
    <x v="4"/>
    <n v="9.3742999999999999"/>
    <n v="2.6974"/>
    <n v="71.225584843668315"/>
    <n v="61.465714285714292"/>
    <n v="3.843993560850858"/>
    <n v="45.94"/>
    <n v="1.6870000000000001"/>
    <n v="10.545999999999999"/>
    <n v="0.28599999999999998"/>
    <n v="0.230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2"/>
    <x v="1"/>
    <x v="1"/>
    <x v="1"/>
    <x v="0"/>
    <x v="1"/>
    <n v="7.01"/>
    <x v="4"/>
    <n v="5.0590999999999999"/>
    <n v="3.3264"/>
    <n v="34.249174754402958"/>
    <n v="52.547788873038513"/>
    <n v="3.635818820821052"/>
    <n v="47.01"/>
    <n v="1.508"/>
    <n v="9.4239999999999995"/>
    <n v="0.26900000000000002"/>
    <n v="0.191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3"/>
    <x v="1"/>
    <x v="0"/>
    <x v="1"/>
    <x v="1"/>
    <x v="1"/>
    <n v="6.98"/>
    <x v="4"/>
    <n v="9.3079999999999998"/>
    <n v="3.5206"/>
    <n v="62.176622260421141"/>
    <n v="49.561604584527224"/>
    <n v="3.5747892450407108"/>
    <n v="44.91"/>
    <n v="1.623"/>
    <n v="10.141999999999999"/>
    <n v="0.29799999999999999"/>
    <n v="0.29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0"/>
    <x v="1"/>
    <x v="1"/>
    <x v="1"/>
    <x v="1"/>
    <x v="1"/>
    <n v="6.92"/>
    <x v="4"/>
    <n v="16.217099999999999"/>
    <n v="4.1101999999999999"/>
    <n v="74.655147961102784"/>
    <n v="40.604046242774565"/>
    <n v="3.4113158384010602"/>
    <n v="46.21"/>
    <n v="1.9"/>
    <n v="11.875"/>
    <n v="0.66500000000000004"/>
    <n v="0.405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3"/>
    <x v="2"/>
    <x v="1"/>
    <x v="0"/>
    <x v="3"/>
    <x v="1"/>
    <n v="6.97"/>
    <x v="4"/>
    <n v="6.5140000000000002"/>
    <n v="2.6917"/>
    <n v="41.321768498618361"/>
    <n v="61.381635581061687"/>
    <n v="3.8418140184037379"/>
    <n v="44.57"/>
    <n v="1.5449999999999999"/>
    <n v="9.6530000000000005"/>
    <n v="0.26400000000000001"/>
    <n v="0.311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7"/>
    <x v="2"/>
    <x v="1"/>
    <x v="0"/>
    <x v="2"/>
    <x v="1"/>
    <n v="6.99"/>
    <x v="4"/>
    <n v="4.7830000000000004"/>
    <n v="2.4188000000000001"/>
    <n v="50.570771482333264"/>
    <n v="65.396280400572252"/>
    <n v="3.9515807647249628"/>
    <n v="45.37"/>
    <n v="1.47"/>
    <n v="9.1880000000000006"/>
    <n v="0.41099999999999998"/>
    <n v="0.354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0"/>
    <x v="2"/>
    <x v="1"/>
    <x v="0"/>
    <x v="4"/>
    <x v="1"/>
    <n v="6.99"/>
    <x v="4"/>
    <n v="4.2279999999999998"/>
    <n v="2.331"/>
    <n v="55.132450331125824"/>
    <n v="66.652360515021471"/>
    <n v="3.9885549540882637"/>
    <n v="44.81"/>
    <n v="1.8540000000000001"/>
    <n v="11.587"/>
    <n v="0.47199999999999998"/>
    <n v="0.32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2"/>
    <x v="2"/>
    <x v="1"/>
    <x v="0"/>
    <x v="0"/>
    <x v="1"/>
    <n v="6.95"/>
    <x v="4"/>
    <n v="4.6840000000000002"/>
    <n v="3.1177000000000001"/>
    <n v="66.560631938514092"/>
    <n v="55.141007194244608"/>
    <n v="3.6920178669890622"/>
    <n v="45.67"/>
    <n v="1.4359999999999999"/>
    <n v="8.9760000000000009"/>
    <n v="0.57299999999999995"/>
    <n v="0.69361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3"/>
    <x v="2"/>
    <x v="0"/>
    <x v="0"/>
    <x v="4"/>
    <x v="1"/>
    <n v="7.09"/>
    <x v="4"/>
    <n v="6.1280000000000001"/>
    <n v="2.2604000000000002"/>
    <n v="36.886422976501308"/>
    <n v="68.118476727785605"/>
    <n v="4.0335153096666492"/>
    <n v="44.55"/>
    <n v="1.9890000000000001"/>
    <n v="12.430999999999999"/>
    <n v="0.41399999999999998"/>
    <n v="0.34361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5"/>
    <x v="2"/>
    <x v="1"/>
    <x v="0"/>
    <x v="1"/>
    <x v="1"/>
    <n v="6.99"/>
    <x v="4"/>
    <n v="5.625"/>
    <n v="2.738"/>
    <n v="48.675555555555555"/>
    <n v="60.829756795422043"/>
    <n v="3.8276245872756265"/>
    <n v="43.82"/>
    <n v="1.7689999999999999"/>
    <n v="11.054"/>
    <n v="0.54700000000000004"/>
    <n v="0.62261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8"/>
    <x v="2"/>
    <x v="0"/>
    <x v="0"/>
    <x v="2"/>
    <x v="1"/>
    <n v="6.94"/>
    <x v="4"/>
    <n v="4.4850000000000003"/>
    <n v="3.0750999999999999"/>
    <n v="68.564102564102555"/>
    <n v="55.690201729106633"/>
    <n v="3.7043361113599675"/>
    <n v="45.51"/>
    <n v="1.7330000000000001"/>
    <n v="10.832000000000001"/>
    <n v="0.57299999999999995"/>
    <n v="0.42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3"/>
    <x v="2"/>
    <x v="0"/>
    <x v="0"/>
    <x v="0"/>
    <x v="1"/>
    <n v="7.07"/>
    <x v="4"/>
    <n v="4.1040000000000001"/>
    <n v="2.8109999999999999"/>
    <n v="68.494152046783626"/>
    <n v="60.240452616690241"/>
    <n v="3.8126919458802515"/>
    <n v="46.79"/>
    <n v="1.7350000000000001"/>
    <n v="10.843"/>
    <n v="0.57299999999999995"/>
    <n v="0.42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2"/>
    <x v="2"/>
    <x v="0"/>
    <x v="0"/>
    <x v="1"/>
    <x v="1"/>
    <n v="6.95"/>
    <x v="4"/>
    <n v="5.9349999999999996"/>
    <n v="3.5190000000000001"/>
    <n v="59.292333614153335"/>
    <n v="49.366906474820141"/>
    <n v="3.5709365591334175"/>
    <n v="44.92"/>
    <n v="1.6120000000000001"/>
    <n v="10.073"/>
    <n v="0.95899999999999996"/>
    <n v="0.80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7"/>
    <x v="2"/>
    <x v="0"/>
    <x v="0"/>
    <x v="3"/>
    <x v="1"/>
    <n v="6.98"/>
    <x v="4"/>
    <n v="5.4210000000000003"/>
    <n v="3.2262"/>
    <n v="59.513004980630882"/>
    <n v="53.779369627507165"/>
    <n v="3.6621157006088954"/>
    <n v="46.07"/>
    <n v="1.702"/>
    <n v="10.638"/>
    <n v="0.58099999999999996"/>
    <n v="0.56861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7"/>
    <x v="2"/>
    <x v="1"/>
    <x v="1"/>
    <x v="2"/>
    <x v="1"/>
    <n v="6.92"/>
    <x v="4"/>
    <n v="8.0310000000000006"/>
    <n v="2.9689999999999999"/>
    <n v="36.969244178807124"/>
    <n v="57.095375722543352"/>
    <n v="3.7365623317441203"/>
    <n v="45.24"/>
    <n v="1.425"/>
    <n v="8.9039999999999999"/>
    <n v="0.28699999999999998"/>
    <n v="0.256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8"/>
    <x v="2"/>
    <x v="0"/>
    <x v="1"/>
    <x v="2"/>
    <x v="1"/>
    <n v="6.93"/>
    <x v="4"/>
    <n v="5.85"/>
    <n v="3.9477000000000002"/>
    <n v="67.482051282051287"/>
    <n v="43.034632034632033"/>
    <n v="3.4530984402559088"/>
    <n v="46.15"/>
    <n v="1.512"/>
    <n v="9.4489999999999998"/>
    <n v="0.38700000000000001"/>
    <n v="0.35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1"/>
    <x v="2"/>
    <x v="0"/>
    <x v="1"/>
    <x v="4"/>
    <x v="1"/>
    <n v="6.92"/>
    <x v="4"/>
    <n v="5.5359999999999996"/>
    <n v="3.0019"/>
    <n v="54.225072254335259"/>
    <n v="56.619942196531795"/>
    <n v="3.7255421059952165"/>
    <n v="46.34"/>
    <n v="1.774"/>
    <n v="11.085000000000001"/>
    <n v="0.317"/>
    <n v="0.326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3"/>
    <x v="2"/>
    <x v="0"/>
    <x v="1"/>
    <x v="1"/>
    <x v="1"/>
    <n v="7.08"/>
    <x v="4"/>
    <n v="5.39"/>
    <n v="2.75"/>
    <n v="51.020408163265309"/>
    <n v="61.158192090395481"/>
    <n v="3.8360447539233133"/>
    <n v="47.14"/>
    <n v="1.4810000000000001"/>
    <n v="9.2590000000000003"/>
    <n v="0.434"/>
    <n v="4.162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9"/>
    <x v="2"/>
    <x v="0"/>
    <x v="1"/>
    <x v="0"/>
    <x v="1"/>
    <n v="6.91"/>
    <x v="4"/>
    <n v="6.35"/>
    <n v="2.6440000000000001"/>
    <n v="41.637795275590555"/>
    <n v="61.736613603473224"/>
    <n v="3.8510484736863035"/>
    <n v="46.69"/>
    <n v="1.5580000000000001"/>
    <n v="9.7360000000000007"/>
    <n v="0.38200000000000001"/>
    <n v="0.54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1"/>
    <x v="2"/>
    <x v="1"/>
    <x v="1"/>
    <x v="3"/>
    <x v="1"/>
    <n v="6.99"/>
    <x v="4"/>
    <n v="7.8319999999999999"/>
    <n v="2.6006"/>
    <n v="33.204800817160368"/>
    <n v="62.795422031473535"/>
    <n v="3.8791101265068013"/>
    <n v="44.99"/>
    <n v="1.363"/>
    <n v="8.52"/>
    <n v="0.24099999999999999"/>
    <n v="0.159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4"/>
    <x v="2"/>
    <x v="0"/>
    <x v="1"/>
    <x v="3"/>
    <x v="1"/>
    <n v="7.04"/>
    <x v="4"/>
    <n v="6.0780000000000003"/>
    <n v="3.4584000000000001"/>
    <n v="56.900296150049357"/>
    <n v="50.875"/>
    <n v="3.6011738736948309"/>
    <n v="41.38"/>
    <n v="1.4910000000000001"/>
    <n v="9.32"/>
    <n v="0.32100000000000001"/>
    <n v="0.337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2"/>
    <x v="2"/>
    <x v="1"/>
    <x v="1"/>
    <x v="4"/>
    <x v="1"/>
    <n v="6.98"/>
    <x v="4"/>
    <n v="5.6420000000000003"/>
    <n v="2.6555"/>
    <n v="47.066643034384967"/>
    <n v="61.95558739255015"/>
    <n v="3.856787713790129"/>
    <n v="45.54"/>
    <n v="1.5609999999999999"/>
    <n v="9.7550000000000008"/>
    <n v="0.36199999999999999"/>
    <n v="0.353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4"/>
    <x v="2"/>
    <x v="1"/>
    <x v="1"/>
    <x v="0"/>
    <x v="1"/>
    <n v="7.02"/>
    <x v="4"/>
    <n v="5.1440000000000001"/>
    <n v="2.8039999999999998"/>
    <n v="54.510108864696726"/>
    <n v="60.056980056980045"/>
    <n v="3.8080880067615408"/>
    <n v="46.65"/>
    <n v="1.4279999999999999"/>
    <n v="8.9220000000000006"/>
    <n v="0.45100000000000001"/>
    <n v="0.182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0"/>
    <x v="2"/>
    <x v="1"/>
    <x v="1"/>
    <x v="1"/>
    <x v="1"/>
    <n v="6.96"/>
    <x v="4"/>
    <n v="6.28"/>
    <n v="2.3359000000000001"/>
    <n v="37.195859872611464"/>
    <n v="66.438218390804607"/>
    <n v="3.9821539764119884"/>
    <n v="44.61"/>
    <n v="1.903"/>
    <n v="11.891"/>
    <n v="0.35199999999999998"/>
    <n v="0.38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P3"/>
    <x v="0"/>
    <x v="1"/>
    <x v="0"/>
    <x v="0"/>
    <x v="1"/>
    <n v="7"/>
    <x v="4"/>
    <n v="6.1989999999999998"/>
    <n v="3.109"/>
    <n v="49.846749475721893"/>
    <n v="55.585714285714282"/>
    <n v="3.7019807758748615"/>
    <n v="40.71"/>
    <n v="1.728"/>
    <n v="10.8"/>
    <n v="0.32"/>
    <n v="0.318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P4"/>
    <x v="0"/>
    <x v="1"/>
    <x v="0"/>
    <x v="1"/>
    <x v="1"/>
    <n v="7"/>
    <x v="4"/>
    <n v="14.0335"/>
    <n v="2.9097"/>
    <n v="79.266041970997961"/>
    <n v="58.432857142857145"/>
    <n v="3.7682319238660082"/>
    <n v="43.1"/>
    <n v="1.5580000000000001"/>
    <n v="9.7390000000000008"/>
    <n v="0.26800000000000002"/>
    <n v="0.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2"/>
    <x v="0"/>
    <x v="1"/>
    <x v="1"/>
    <x v="3"/>
    <x v="1"/>
    <n v="6.92"/>
    <x v="4"/>
    <n v="5"/>
    <n v="2.9660000000000002"/>
    <n v="40.679999999999993"/>
    <n v="57.138728323699418"/>
    <n v="3.7375732838100024"/>
    <n v="46.41"/>
    <n v="1.6339999999999999"/>
    <n v="10.214"/>
    <n v="0.36199999999999999"/>
    <n v="0.336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5"/>
    <x v="0"/>
    <x v="1"/>
    <x v="1"/>
    <x v="4"/>
    <x v="1"/>
    <n v="7"/>
    <x v="4"/>
    <n v="4.2610000000000001"/>
    <n v="2.9020000000000001"/>
    <n v="31.893921614644448"/>
    <n v="58.542857142857144"/>
    <n v="3.770881752489482"/>
    <n v="45.73"/>
    <n v="1.615"/>
    <n v="10.093"/>
    <n v="0.29399999999999998"/>
    <n v="0.263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UP3"/>
    <x v="0"/>
    <x v="0"/>
    <x v="0"/>
    <x v="0"/>
    <x v="1"/>
    <n v="7"/>
    <x v="4"/>
    <n v="7.6390000000000002"/>
    <n v="2.9710000000000001"/>
    <n v="61.107474800366532"/>
    <n v="57.55714285714285"/>
    <n v="3.7473833104710073"/>
    <n v="43.73"/>
    <n v="1.964"/>
    <n v="12.276"/>
    <n v="0.32400000000000001"/>
    <n v="0.400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UR4"/>
    <x v="0"/>
    <x v="0"/>
    <x v="1"/>
    <x v="1"/>
    <x v="1"/>
    <n v="7"/>
    <x v="4"/>
    <n v="3.661"/>
    <n v="2.6"/>
    <n v="28.981152690521711"/>
    <n v="62.857142857142868"/>
    <n v="3.8807704619240417"/>
    <n v="46.01"/>
    <n v="1.5249999999999999"/>
    <n v="9.5289999999999999"/>
    <n v="0.30399999999999999"/>
    <n v="0.285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FLP5"/>
    <x v="1"/>
    <x v="1"/>
    <x v="0"/>
    <x v="4"/>
    <x v="1"/>
    <n v="7"/>
    <x v="4"/>
    <n v="14.5121"/>
    <n v="3.2248999999999999"/>
    <n v="77.777854342238555"/>
    <n v="53.93"/>
    <n v="3.6653799649364305"/>
    <n v="37.270000000000003"/>
    <n v="1.38"/>
    <n v="8.6229999999999993"/>
    <n v="0.24"/>
    <n v="0.10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2"/>
    <x v="1"/>
    <x v="0"/>
    <x v="7"/>
    <x v="2"/>
    <s v="NA"/>
    <x v="5"/>
    <s v="NA"/>
    <s v="NA"/>
    <s v="NA"/>
    <s v="NA"/>
    <s v="NA"/>
    <n v="48.231827111984103"/>
    <n v="0.69599999999999995"/>
    <n v="4.3470000000000004"/>
    <n v="2.0009999999999999"/>
    <n v="2.946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0"/>
    <x v="1"/>
    <x v="0"/>
    <x v="7"/>
    <x v="2"/>
    <s v="NA"/>
    <x v="5"/>
    <s v="NA"/>
    <s v="NA"/>
    <s v="NA"/>
    <s v="NA"/>
    <s v="NA"/>
    <n v="47.188755020080364"/>
    <n v="0.71199999999999997"/>
    <n v="4.4509999999999996"/>
    <n v="2.0529999999999999"/>
    <n v="2.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1"/>
    <x v="1"/>
    <x v="0"/>
    <x v="7"/>
    <x v="2"/>
    <s v="NA"/>
    <x v="5"/>
    <s v="NA"/>
    <s v="NA"/>
    <s v="NA"/>
    <s v="NA"/>
    <s v="NA"/>
    <n v="47.834645669291291"/>
    <n v="0.97499999999999998"/>
    <n v="6.0919999999999996"/>
    <n v="2.5379999999999998"/>
    <n v="1.3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2"/>
    <x v="0"/>
    <x v="1"/>
    <x v="7"/>
    <x v="2"/>
    <s v="NA"/>
    <x v="5"/>
    <s v="NA"/>
    <s v="NA"/>
    <s v="NA"/>
    <s v="NA"/>
    <s v="NA"/>
    <n v="48.712871287128536"/>
    <n v="0.71399999999999997"/>
    <n v="14.86"/>
    <n v="3.843"/>
    <n v="2.968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0"/>
    <x v="0"/>
    <x v="1"/>
    <x v="7"/>
    <x v="2"/>
    <s v="NA"/>
    <x v="5"/>
    <s v="NA"/>
    <s v="NA"/>
    <s v="NA"/>
    <s v="NA"/>
    <s v="NA"/>
    <n v="47.900000000000091"/>
    <n v="0.83899999999999997"/>
    <n v="5.2460000000000004"/>
    <n v="2.6789999999999998"/>
    <n v="2.498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x v="1"/>
    <x v="0"/>
    <x v="1"/>
    <x v="7"/>
    <x v="2"/>
    <s v="NA"/>
    <x v="5"/>
    <s v="NA"/>
    <s v="NA"/>
    <s v="NA"/>
    <s v="NA"/>
    <s v="NA"/>
    <n v="47.590361445783039"/>
    <n v="0.66200000000000003"/>
    <n v="4.1349999999999998"/>
    <n v="2.3769999999999998"/>
    <n v="2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3"/>
    <x v="2"/>
    <x v="2"/>
    <x v="5"/>
    <x v="3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n v="2"/>
    <s v="HH"/>
    <x v="0"/>
    <x v="0"/>
    <n v="3"/>
    <x v="0"/>
    <n v="6.99"/>
    <x v="0"/>
    <n v="22.623000000000001"/>
    <n v="5.9889999999999999"/>
    <n v="73.526941608097957"/>
    <n v="14.320457796852651"/>
    <n v="0.15455610296339356"/>
    <n v="48.46"/>
    <n v="0.90400000000000003"/>
    <n v="5.6509999999999998"/>
    <n v="3.55"/>
    <n v="1.77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"/>
    <s v="HH"/>
    <x v="1"/>
    <x v="0"/>
    <n v="4"/>
    <x v="0"/>
    <n v="7.02"/>
    <x v="0"/>
    <n v="21.009"/>
    <n v="6.1109999999999998"/>
    <n v="70.91246608596316"/>
    <n v="12.948717948717947"/>
    <n v="0.13867279212494127"/>
    <n v="48.08"/>
    <n v="0.92100000000000004"/>
    <n v="5.7569999999999997"/>
    <n v="2.6619999999999999"/>
    <n v="1.607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0"/>
    <n v="7"/>
    <n v="0"/>
    <n v="1"/>
    <n v="7"/>
    <n v="0"/>
    <n v="0"/>
    <n v="0"/>
    <n v="1"/>
  </r>
  <r>
    <n v="10"/>
    <s v="HH"/>
    <x v="1"/>
    <x v="0"/>
    <n v="3"/>
    <x v="0"/>
    <n v="6.95"/>
    <x v="0"/>
    <n v="22.902999999999999"/>
    <n v="6.1740000000000004"/>
    <n v="73.042832816661573"/>
    <n v="11.165467625899279"/>
    <n v="0.11839473349673311"/>
    <n v="48.4"/>
    <n v="0.94099999999999995"/>
    <n v="5.8819999999999997"/>
    <n v="2.3039999999999998"/>
    <n v="1.787000000000000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</r>
  <r>
    <n v="17"/>
    <s v="HH"/>
    <x v="1"/>
    <x v="0"/>
    <n v="1"/>
    <x v="0"/>
    <n v="7.02"/>
    <x v="0"/>
    <n v="22.751000000000001"/>
    <n v="6.1760000000000002"/>
    <n v="72.853940486132487"/>
    <n v="12.022792022792016"/>
    <n v="0.12809240531524463"/>
    <n v="47.83"/>
    <n v="0.88900000000000001"/>
    <n v="5.556"/>
    <n v="1.585"/>
    <n v="1.7528888888888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9"/>
    <s v="HH"/>
    <x v="0"/>
    <x v="0"/>
    <n v="1"/>
    <x v="0"/>
    <n v="7.08"/>
    <x v="0"/>
    <n v="23.952000000000002"/>
    <n v="6.2489999999999997"/>
    <n v="73.910320641282567"/>
    <n v="11.737288135593225"/>
    <n v="0.12485245675868384"/>
    <n v="48.01"/>
    <n v="0.83899999999999997"/>
    <n v="5.242"/>
    <n v="2.6989999999999998"/>
    <n v="2.14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"/>
    <s v="HH"/>
    <x v="1"/>
    <x v="0"/>
    <n v="2"/>
    <x v="0"/>
    <n v="6.9799999999999995"/>
    <x v="0"/>
    <n v="23.552"/>
    <n v="6.109"/>
    <n v="74.061650815217376"/>
    <n v="12.47851002865329"/>
    <n v="0.13328582310665113"/>
    <n v="48.69"/>
    <n v="1.02"/>
    <n v="6.375"/>
    <n v="2.4129999999999998"/>
    <n v="1.73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"/>
    <s v="HH"/>
    <x v="0"/>
    <x v="0"/>
    <n v="4"/>
    <x v="0"/>
    <n v="7"/>
    <x v="0"/>
    <n v="20.486999999999998"/>
    <n v="5.7670000000000003"/>
    <n v="71.850441743544692"/>
    <n v="17.61428571428571"/>
    <n v="0.19375813442203763"/>
    <n v="48.08"/>
    <n v="0.92200000000000004"/>
    <n v="5.7619999999999996"/>
    <n v="3.036"/>
    <n v="2.29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"/>
    <s v="HH"/>
    <x v="0"/>
    <x v="0"/>
    <n v="2"/>
    <x v="0"/>
    <n v="7.03"/>
    <x v="0"/>
    <n v="21.471"/>
    <n v="6.0810000000000004"/>
    <n v="71.678077406734658"/>
    <n v="13.499288762446653"/>
    <n v="0.1450175496846009"/>
    <n v="48.01"/>
    <n v="0.88600000000000001"/>
    <n v="5.5389999999999997"/>
    <n v="2.73"/>
    <n v="2.19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3"/>
    <s v="HH"/>
    <x v="1"/>
    <x v="0"/>
    <n v="5"/>
    <x v="0"/>
    <n v="7.0600000000000005"/>
    <x v="0"/>
    <n v="25.106999999999999"/>
    <n v="5.8559999999999999"/>
    <n v="76.675827458477713"/>
    <n v="17.053824362606239"/>
    <n v="0.18697827484614038"/>
    <n v="48.09"/>
    <n v="0.90700000000000003"/>
    <n v="5.67"/>
    <n v="1.93"/>
    <n v="1.48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1"/>
    <s v="HH"/>
    <x v="0"/>
    <x v="0"/>
    <n v="5"/>
    <x v="0"/>
    <n v="7"/>
    <x v="0"/>
    <n v="23.167000000000002"/>
    <n v="6.07"/>
    <n v="73.798938144774894"/>
    <n v="13.285714285714281"/>
    <n v="0.14255154398390632"/>
    <n v="48.48"/>
    <n v="0.877"/>
    <n v="5.4809999999999999"/>
    <n v="2.8340000000000001"/>
    <n v="2.406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5"/>
    <s v="HH"/>
    <x v="1"/>
    <x v="1"/>
    <n v="3"/>
    <x v="0"/>
    <n v="7.01"/>
    <x v="0"/>
    <n v="25.106999999999999"/>
    <n v="5.9390000000000001"/>
    <n v="76.345242362687699"/>
    <n v="15.278174037089867"/>
    <n v="0.16579693201277548"/>
    <n v="47.26"/>
    <n v="0.73199999999999998"/>
    <n v="4.577"/>
    <n v="1.25"/>
    <n v="1.536"/>
    <n v="0"/>
    <n v="0"/>
    <n v="0"/>
    <n v="0"/>
    <n v="0"/>
    <n v="0"/>
    <n v="0"/>
    <n v="0"/>
    <n v="0"/>
    <n v="4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0"/>
    <n v="6"/>
    <n v="0"/>
    <n v="1"/>
    <n v="6"/>
    <n v="0"/>
    <n v="0"/>
    <n v="0"/>
    <n v="1"/>
  </r>
  <r>
    <n v="127"/>
    <s v="HH"/>
    <x v="1"/>
    <x v="1"/>
    <n v="1"/>
    <x v="0"/>
    <n v="7.03"/>
    <x v="0"/>
    <n v="17.065999999999999"/>
    <n v="6.2430000000000003"/>
    <n v="63.418492909879291"/>
    <n v="11.194879089615931"/>
    <n v="0.11872586974296642"/>
    <n v="47.83"/>
    <n v="0.54900000000000004"/>
    <n v="3.4289999999999998"/>
    <n v="1.869"/>
    <n v="1.3952222222222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  <n v="2"/>
    <n v="0"/>
    <n v="1"/>
    <n v="1"/>
    <n v="2"/>
    <n v="1"/>
    <n v="0"/>
    <n v="0"/>
    <n v="1"/>
    <n v="1"/>
  </r>
  <r>
    <n v="132"/>
    <s v="HH"/>
    <x v="0"/>
    <x v="1"/>
    <n v="4"/>
    <x v="0"/>
    <n v="7.05"/>
    <x v="0"/>
    <n v="25.042999999999999"/>
    <n v="6.1660000000000004"/>
    <n v="75.378349239308378"/>
    <n v="12.539007092198574"/>
    <n v="0.13397728736021858"/>
    <n v="48.54"/>
    <n v="0.69299999999999995"/>
    <n v="4.3310000000000004"/>
    <n v="0.86"/>
    <n v="0.806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8"/>
    <s v="HH"/>
    <x v="1"/>
    <x v="1"/>
    <n v="4"/>
    <x v="0"/>
    <n v="6.99"/>
    <x v="0"/>
    <n v="22.42"/>
    <n v="6.1420000000000003"/>
    <n v="72.604817127564687"/>
    <n v="12.131616595135906"/>
    <n v="0.12933013422708825"/>
    <n v="48.17"/>
    <n v="0.71699999999999997"/>
    <n v="4.4800000000000004"/>
    <n v="1.4650000000000001"/>
    <n v="1.5370000000000001"/>
    <n v="0"/>
    <n v="0"/>
    <n v="0"/>
    <n v="0"/>
    <n v="0"/>
    <n v="0"/>
    <n v="0"/>
    <n v="0"/>
    <n v="0"/>
    <n v="0"/>
    <n v="0"/>
    <n v="0"/>
    <n v="0"/>
    <n v="0"/>
    <n v="4"/>
    <n v="1"/>
    <n v="0"/>
    <n v="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4"/>
    <n v="0"/>
    <n v="15"/>
    <n v="1"/>
    <n v="2"/>
    <n v="16"/>
    <n v="0"/>
    <n v="0"/>
    <n v="0"/>
    <n v="1"/>
  </r>
  <r>
    <n v="151"/>
    <s v="HH"/>
    <x v="0"/>
    <x v="1"/>
    <n v="1"/>
    <x v="0"/>
    <n v="6.98"/>
    <x v="0"/>
    <n v="22.975000000000001"/>
    <n v="6.1710000000000003"/>
    <n v="73.140369967355824"/>
    <n v="11.590257879656161"/>
    <n v="0.12318801743535132"/>
    <n v="48.21"/>
    <n v="0.67100000000000004"/>
    <n v="4.1950000000000003"/>
    <n v="1.6859999999999999"/>
    <n v="0.971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156"/>
    <s v="HH"/>
    <x v="0"/>
    <x v="1"/>
    <n v="5"/>
    <x v="0"/>
    <n v="6.99"/>
    <x v="0"/>
    <n v="22.917000000000002"/>
    <n v="5.9790000000000001"/>
    <n v="73.910197669852082"/>
    <n v="14.463519313304724"/>
    <n v="0.15622722634695149"/>
    <n v="47.6"/>
    <n v="0.83"/>
    <n v="5.1849999999999996"/>
    <n v="1.0229999999999999"/>
    <n v="1.213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4"/>
    <s v="HH"/>
    <x v="0"/>
    <x v="1"/>
    <n v="2"/>
    <x v="0"/>
    <n v="7.09"/>
    <x v="0"/>
    <n v="20.623999999999999"/>
    <n v="6.2439999999999998"/>
    <n v="69.724592707525218"/>
    <n v="11.932299012693937"/>
    <n v="0.1270643378908505"/>
    <n v="47.87"/>
    <n v="0.80900000000000005"/>
    <n v="5.0570000000000004"/>
    <n v="1.0269999999999999"/>
    <n v="1.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1"/>
    <n v="1"/>
    <n v="0"/>
    <n v="0"/>
    <n v="0"/>
    <n v="1"/>
    <n v="0"/>
  </r>
  <r>
    <n v="165"/>
    <s v="HH"/>
    <x v="0"/>
    <x v="1"/>
    <n v="3"/>
    <x v="0"/>
    <n v="6.97"/>
    <x v="0"/>
    <n v="19.972999999999999"/>
    <n v="5.9189999999999996"/>
    <n v="70.364992740199256"/>
    <n v="15.078909612625541"/>
    <n v="0.16344770906384462"/>
    <n v="47.91"/>
    <n v="0.73199999999999998"/>
    <n v="4.5780000000000003"/>
    <n v="0.85799999999999998"/>
    <n v="1.106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0"/>
    <s v="HH"/>
    <x v="1"/>
    <x v="1"/>
    <n v="1"/>
    <x v="0"/>
    <n v="7.05"/>
    <x v="0"/>
    <n v="22.440999999999999"/>
    <n v="6.1580000000000004"/>
    <n v="72.55915511786462"/>
    <n v="12.65248226950354"/>
    <n v="0.13527556732186857"/>
    <n v="48.2"/>
    <n v="0.72899999999999998"/>
    <n v="4.5549999999999997"/>
    <n v="2.16"/>
    <n v="2.0859999999999999"/>
    <n v="0"/>
    <n v="0"/>
    <n v="0"/>
    <n v="0"/>
    <n v="0"/>
    <n v="0"/>
    <n v="0"/>
    <n v="0"/>
    <n v="0"/>
    <n v="0"/>
    <n v="0"/>
    <n v="0"/>
    <n v="0"/>
    <n v="0"/>
    <n v="3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3"/>
    <n v="0"/>
    <n v="42"/>
    <n v="0"/>
    <n v="1"/>
    <n v="42"/>
    <n v="0"/>
    <n v="0"/>
    <n v="0"/>
    <n v="1"/>
  </r>
  <r>
    <n v="172"/>
    <s v="HH"/>
    <x v="1"/>
    <x v="1"/>
    <n v="2"/>
    <x v="0"/>
    <n v="7"/>
    <x v="0"/>
    <n v="21.731000000000002"/>
    <n v="6.0979999999999999"/>
    <n v="71.938705075698323"/>
    <n v="12.885714285714286"/>
    <n v="0.1379493004892503"/>
    <n v="48.59"/>
    <n v="0.66400000000000003"/>
    <n v="4.1479999999999997"/>
    <n v="0.86799999999999999"/>
    <n v="1.224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4"/>
    <n v="1"/>
    <n v="2"/>
    <n v="5"/>
    <n v="0"/>
    <n v="0"/>
    <n v="0"/>
    <n v="1"/>
  </r>
  <r>
    <n v="251"/>
    <s v="SB"/>
    <x v="0"/>
    <x v="0"/>
    <n v="5"/>
    <x v="0"/>
    <n v="6.9600000000000009"/>
    <x v="0"/>
    <n v="36.487299999999998"/>
    <n v="5.8516000000000004"/>
    <n v="83.962639055232913"/>
    <n v="15.925287356321844"/>
    <n v="0.17346434622453441"/>
    <n v="47.89"/>
    <n v="1.1859999999999999"/>
    <n v="7.4119999999999999"/>
    <n v="1.274"/>
    <n v="1.173999999999999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2"/>
    <n v="0"/>
    <n v="0"/>
    <n v="1"/>
    <n v="1"/>
  </r>
  <r>
    <n v="263"/>
    <s v="SB"/>
    <x v="0"/>
    <x v="0"/>
    <n v="4"/>
    <x v="0"/>
    <n v="7.07"/>
    <x v="0"/>
    <n v="36.5548"/>
    <n v="6.1051000000000002"/>
    <n v="83.298773348506899"/>
    <n v="13.647807637906647"/>
    <n v="0.1467359924635844"/>
    <n v="48.39"/>
    <n v="1.32"/>
    <n v="8.2509999999999994"/>
    <n v="2.14"/>
    <n v="1.9729999999999999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0"/>
    <n v="3"/>
    <n v="3"/>
    <n v="2"/>
    <n v="5"/>
    <n v="0"/>
    <n v="0"/>
    <n v="1"/>
    <n v="1"/>
  </r>
  <r>
    <n v="264"/>
    <s v="SB"/>
    <x v="0"/>
    <x v="0"/>
    <n v="3"/>
    <x v="0"/>
    <n v="6.9499999999999993"/>
    <x v="0"/>
    <n v="33.957999999999998"/>
    <n v="5.8372000000000002"/>
    <n v="82.810530655515635"/>
    <n v="16.011510791366895"/>
    <n v="0.17449042976524706"/>
    <n v="48.52"/>
    <n v="1.0449999999999999"/>
    <n v="6.5289999999999999"/>
    <n v="1.333"/>
    <n v="1.16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6"/>
    <n v="0"/>
    <n v="1"/>
    <n v="6"/>
    <n v="0"/>
    <n v="0"/>
    <n v="0"/>
    <n v="1"/>
  </r>
  <r>
    <n v="267"/>
    <s v="SB"/>
    <x v="1"/>
    <x v="0"/>
    <n v="3"/>
    <x v="0"/>
    <n v="7.08"/>
    <x v="0"/>
    <n v="35.299799999999998"/>
    <n v="6.056"/>
    <n v="82.844095433968462"/>
    <n v="14.463276836158192"/>
    <n v="0.15622439157048071"/>
    <n v="48.66"/>
    <n v="1.3120000000000001"/>
    <n v="8.1999999999999993"/>
    <n v="2.6829999999999998"/>
    <n v="2.234999999999999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71"/>
    <s v="SB"/>
    <x v="1"/>
    <x v="0"/>
    <n v="5"/>
    <x v="0"/>
    <n v="6.99"/>
    <x v="0"/>
    <n v="32.6357"/>
    <n v="5.9353999999999996"/>
    <n v="81.813167788648627"/>
    <n v="15.087267525035774"/>
    <n v="0.16354613365649776"/>
    <n v="48.39"/>
    <n v="1.111"/>
    <n v="6.9420000000000002"/>
    <n v="1.3959999999999999"/>
    <n v="1.637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3"/>
    <n v="0"/>
    <n v="0"/>
    <n v="0"/>
    <n v="1"/>
  </r>
  <r>
    <n v="277"/>
    <s v="SB"/>
    <x v="1"/>
    <x v="0"/>
    <n v="2"/>
    <x v="0"/>
    <n v="6.96"/>
    <x v="0"/>
    <n v="32.385199999999998"/>
    <n v="5.8314000000000004"/>
    <n v="81.993626718377527"/>
    <n v="16.215517241379303"/>
    <n v="0.17692236559098537"/>
    <n v="47.68"/>
    <n v="1.054"/>
    <n v="6.5869999999999997"/>
    <n v="1.3089999999999999"/>
    <n v="1.282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54"/>
    <n v="5"/>
    <n v="48"/>
    <n v="3"/>
    <n v="3"/>
    <n v="3"/>
    <n v="52"/>
    <n v="0"/>
    <n v="0"/>
    <n v="2"/>
    <n v="1"/>
  </r>
  <r>
    <n v="283"/>
    <s v="SB"/>
    <x v="0"/>
    <x v="0"/>
    <n v="2"/>
    <x v="0"/>
    <n v="7.02"/>
    <x v="0"/>
    <n v="37.941099999999999"/>
    <n v="5.8851000000000004"/>
    <n v="84.488852458152238"/>
    <n v="16.166666666666654"/>
    <n v="0.17633948511640699"/>
    <n v="48.1"/>
    <n v="1.1639999999999999"/>
    <n v="7.2759999999999998"/>
    <n v="1.27"/>
    <n v="1.401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0"/>
    <n v="0"/>
    <n v="0"/>
    <n v="1"/>
    <n v="0"/>
  </r>
  <r>
    <n v="288"/>
    <s v="SB"/>
    <x v="1"/>
    <x v="0"/>
    <n v="4"/>
    <x v="0"/>
    <n v="7"/>
    <x v="0"/>
    <n v="35.551200000000001"/>
    <n v="5.7542"/>
    <n v="83.814329755395036"/>
    <n v="17.797142857142859"/>
    <n v="0.1959801261010983"/>
    <n v="48.96"/>
    <n v="1.2589999999999999"/>
    <n v="7.8710000000000004"/>
    <n v="1.421"/>
    <n v="0.59899999999999998"/>
    <n v="0"/>
    <n v="0"/>
    <n v="0"/>
    <n v="0"/>
    <n v="1"/>
    <n v="1"/>
    <n v="0"/>
    <n v="0"/>
    <n v="0"/>
    <n v="0"/>
    <n v="0"/>
    <n v="1"/>
    <n v="0"/>
    <n v="0"/>
    <n v="0"/>
    <n v="0"/>
    <n v="0"/>
    <n v="2"/>
    <n v="3"/>
    <n v="0"/>
    <n v="0"/>
    <n v="0"/>
    <n v="0"/>
    <n v="0"/>
    <n v="2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2"/>
    <n v="8"/>
    <n v="11"/>
    <n v="7"/>
    <n v="4"/>
    <n v="3"/>
    <n v="20"/>
    <n v="0"/>
    <n v="0"/>
    <n v="2"/>
    <n v="1"/>
  </r>
  <r>
    <n v="296"/>
    <s v="SB"/>
    <x v="0"/>
    <x v="0"/>
    <n v="1"/>
    <x v="0"/>
    <n v="6.8999999999999995"/>
    <x v="0"/>
    <n v="32.920999999999999"/>
    <n v="5.7897999999999996"/>
    <n v="82.413049421341995"/>
    <n v="16.08985507246377"/>
    <n v="0.17542366292924433"/>
    <n v="48.15"/>
    <n v="1.081"/>
    <n v="6.7539999999999996"/>
    <n v="1.427"/>
    <n v="1.48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4"/>
    <n v="6"/>
    <n v="2"/>
    <n v="3"/>
    <n v="12"/>
    <n v="0"/>
    <n v="0"/>
    <n v="0"/>
    <n v="1"/>
  </r>
  <r>
    <n v="297"/>
    <s v="SB"/>
    <x v="0"/>
    <x v="0"/>
    <n v="1"/>
    <x v="0"/>
    <n v="6.92"/>
    <x v="0"/>
    <n v="37.179400000000001"/>
    <n v="5.8532000000000002"/>
    <n v="84.256873429910101"/>
    <n v="15.416184971098263"/>
    <n v="0.16742724939344383"/>
    <n v="48.09"/>
    <n v="1.1160000000000001"/>
    <n v="6.9740000000000002"/>
    <n v="1.401"/>
    <n v="1.270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1"/>
    <s v="SB"/>
    <x v="0"/>
    <x v="1"/>
    <n v="5"/>
    <x v="0"/>
    <n v="7.08"/>
    <x v="0"/>
    <n v="30.854700000000001"/>
    <n v="6.0297999999999998"/>
    <n v="80.457434361701772"/>
    <n v="14.833333333333337"/>
    <n v="0.16056006501244191"/>
    <n v="47.37"/>
    <n v="0.71299999999999997"/>
    <n v="4.4539999999999997"/>
    <n v="1.474"/>
    <n v="1.726"/>
    <n v="0"/>
    <n v="0"/>
    <n v="0"/>
    <n v="0"/>
    <n v="1"/>
    <n v="0"/>
    <n v="0"/>
    <n v="0"/>
    <n v="0"/>
    <n v="0"/>
    <n v="0"/>
    <n v="0"/>
    <n v="0"/>
    <n v="0"/>
    <n v="0"/>
    <n v="1"/>
    <n v="0"/>
    <n v="1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5"/>
    <n v="0"/>
    <n v="17"/>
    <n v="1"/>
    <n v="2"/>
    <n v="18"/>
    <n v="0"/>
    <n v="0"/>
    <n v="0"/>
    <n v="1"/>
  </r>
  <r>
    <n v="368"/>
    <s v="SB"/>
    <x v="1"/>
    <x v="1"/>
    <n v="5"/>
    <x v="0"/>
    <n v="6.94"/>
    <x v="0"/>
    <n v="24.490500000000001"/>
    <n v="5.7718999999999996"/>
    <n v="76.432085910863407"/>
    <n v="16.831412103746406"/>
    <n v="0.18430045877449375"/>
    <n v="48.9"/>
    <n v="0.68"/>
    <n v="4.2489999999999997"/>
    <n v="0.69899999999999995"/>
    <n v="1.742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3"/>
    <s v="SB"/>
    <x v="0"/>
    <x v="1"/>
    <n v="2"/>
    <x v="0"/>
    <n v="6.98"/>
    <x v="0"/>
    <n v="22.206099999999999"/>
    <n v="5.7480000000000002"/>
    <n v="74.11522059253987"/>
    <n v="17.650429799426938"/>
    <n v="0.19419694855750264"/>
    <n v="48.34"/>
    <n v="0.80200000000000005"/>
    <n v="5.0119999999999996"/>
    <n v="1.1839999999999999"/>
    <n v="2.0049999999999999"/>
    <n v="1"/>
    <n v="0"/>
    <n v="0"/>
    <n v="0"/>
    <n v="0"/>
    <n v="0"/>
    <n v="0"/>
    <n v="0"/>
    <n v="0"/>
    <n v="0"/>
    <n v="0"/>
    <n v="0"/>
    <n v="0"/>
    <n v="0"/>
    <n v="1"/>
    <n v="6"/>
    <n v="0"/>
    <n v="0"/>
    <n v="0"/>
    <n v="0"/>
    <n v="0"/>
    <n v="0"/>
    <n v="0"/>
    <n v="0"/>
    <n v="0"/>
    <n v="0"/>
    <n v="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4"/>
    <n v="70"/>
    <n v="8"/>
    <n v="0"/>
    <n v="2"/>
    <n v="78"/>
    <n v="0"/>
    <n v="0"/>
    <n v="0"/>
    <n v="1"/>
  </r>
  <r>
    <n v="375"/>
    <s v="SB"/>
    <x v="1"/>
    <x v="1"/>
    <n v="4"/>
    <x v="0"/>
    <n v="6.99"/>
    <x v="0"/>
    <n v="28.273700000000002"/>
    <n v="5.9707999999999997"/>
    <n v="21.117858646020856"/>
    <n v="14.580829756795429"/>
    <n v="0.15759963446877145"/>
    <n v="48.43"/>
    <n v="0.872"/>
    <n v="5.4509999999999996"/>
    <n v="1.0329999999999999"/>
    <n v="1.6460000000000001"/>
    <n v="0"/>
    <n v="0"/>
    <n v="0"/>
    <n v="0"/>
    <n v="0"/>
    <n v="0"/>
    <n v="0"/>
    <n v="0"/>
    <n v="0"/>
    <n v="0"/>
    <n v="0"/>
    <n v="0"/>
    <n v="0"/>
    <n v="0"/>
    <n v="12"/>
    <n v="1"/>
    <n v="0"/>
    <n v="0"/>
    <n v="0"/>
    <n v="0"/>
    <n v="0"/>
    <n v="0"/>
    <n v="0"/>
    <n v="0"/>
    <n v="1"/>
    <n v="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n v="4"/>
    <n v="73"/>
    <n v="14"/>
    <n v="0"/>
    <n v="2"/>
    <n v="87"/>
    <n v="0"/>
    <n v="0"/>
    <n v="0"/>
    <n v="1"/>
  </r>
  <r>
    <n v="378"/>
    <s v="SB"/>
    <x v="0"/>
    <x v="1"/>
    <n v="3"/>
    <x v="0"/>
    <n v="6.06"/>
    <x v="0"/>
    <n v="24.304500000000001"/>
    <n v="5.9808000000000003"/>
    <n v="75.392211318891569"/>
    <n v="1.306930693069295"/>
    <n v="1.3155461802116337E-2"/>
    <n v="48.61"/>
    <n v="0.67300000000000004"/>
    <n v="4.2039999999999997"/>
    <n v="1.1950000000000001"/>
    <n v="1.4419999999999999"/>
    <n v="1"/>
    <n v="0"/>
    <n v="0"/>
    <n v="0"/>
    <n v="0"/>
    <n v="0"/>
    <n v="0"/>
    <n v="0"/>
    <n v="0"/>
    <n v="1"/>
    <n v="0"/>
    <n v="0"/>
    <n v="0"/>
    <n v="0"/>
    <n v="15"/>
    <n v="0"/>
    <n v="0"/>
    <n v="0"/>
    <n v="1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7"/>
    <n v="15"/>
    <n v="17"/>
    <n v="3"/>
    <n v="3"/>
    <n v="33"/>
    <n v="0"/>
    <n v="0"/>
    <n v="2"/>
    <n v="1"/>
  </r>
  <r>
    <n v="384"/>
    <s v="SB"/>
    <x v="1"/>
    <x v="1"/>
    <n v="3"/>
    <x v="0"/>
    <n v="6.97"/>
    <x v="0"/>
    <n v="22.343"/>
    <n v="5.9115000000000002"/>
    <n v="73.5420489638813"/>
    <n v="15.186513629842175"/>
    <n v="0.16471561845140148"/>
    <n v="47.48"/>
    <n v="0.84"/>
    <n v="5.2519999999999998"/>
    <n v="1.129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5"/>
    <s v="SB"/>
    <x v="1"/>
    <x v="1"/>
    <n v="2"/>
    <x v="0"/>
    <n v="7.02"/>
    <x v="0"/>
    <n v="25.083500000000001"/>
    <n v="5.9382999999999999"/>
    <n v="76.325871588893108"/>
    <n v="15.408831908831905"/>
    <n v="0.16734032091104797"/>
    <n v="47.57"/>
    <n v="0.747"/>
    <n v="4.6719999999999997"/>
    <n v="1.383"/>
    <n v="1.95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403"/>
    <s v="SB"/>
    <x v="0"/>
    <x v="1"/>
    <n v="1"/>
    <x v="0"/>
    <n v="6.96"/>
    <x v="0"/>
    <n v="27.4483"/>
    <n v="5.7461000000000002"/>
    <n v="79.06573448993197"/>
    <n v="17.441091954022987"/>
    <n v="0.19165811052959941"/>
    <n v="47.04"/>
    <n v="0.85299999999999998"/>
    <n v="5.3289999999999997"/>
    <n v="0.72599999999999998"/>
    <n v="1.21"/>
    <n v="0"/>
    <n v="0"/>
    <n v="0"/>
    <n v="0"/>
    <n v="16"/>
    <n v="0"/>
    <n v="0"/>
    <n v="0"/>
    <n v="0"/>
    <n v="22"/>
    <n v="0"/>
    <n v="0"/>
    <n v="0"/>
    <n v="0"/>
    <n v="0"/>
    <n v="2"/>
    <n v="0"/>
    <n v="0"/>
    <n v="0"/>
    <n v="0"/>
    <n v="1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5"/>
    <n v="19"/>
    <n v="41"/>
    <n v="0"/>
    <n v="2"/>
    <n v="60"/>
    <n v="0"/>
    <n v="0"/>
    <n v="0"/>
    <n v="1"/>
  </r>
  <r>
    <n v="408"/>
    <s v="SB"/>
    <x v="0"/>
    <x v="1"/>
    <n v="4"/>
    <x v="0"/>
    <n v="6.93"/>
    <x v="0"/>
    <n v="21.4681"/>
    <n v="5.9249999999999998"/>
    <n v="72.400911119288608"/>
    <n v="14.502164502164502"/>
    <n v="0.15667912618061702"/>
    <n v="47.99"/>
    <n v="0.79700000000000004"/>
    <n v="4.9829999999999997"/>
    <n v="0.78200000000000003"/>
    <n v="1.4689999999999999"/>
    <n v="1"/>
    <n v="0"/>
    <n v="0"/>
    <n v="0"/>
    <n v="0"/>
    <n v="0"/>
    <n v="0"/>
    <n v="0"/>
    <n v="0"/>
    <n v="0"/>
    <n v="0"/>
    <n v="1"/>
    <n v="0"/>
    <n v="0"/>
    <n v="1"/>
    <n v="0"/>
    <n v="0"/>
    <n v="0"/>
    <n v="2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3"/>
    <n v="2"/>
    <n v="3"/>
    <n v="5"/>
    <n v="0"/>
    <n v="0"/>
    <n v="1"/>
    <n v="1"/>
  </r>
  <r>
    <n v="415"/>
    <s v="SB"/>
    <x v="0"/>
    <x v="1"/>
    <n v="1"/>
    <x v="0"/>
    <n v="7.05"/>
    <x v="0"/>
    <n v="24.71"/>
    <n v="6.0137"/>
    <n v="75.662889518413607"/>
    <n v="14.69929078014184"/>
    <n v="0.15898741710699013"/>
    <n v="47.89"/>
    <n v="0.56999999999999995"/>
    <n v="3.56"/>
    <n v="1.2450000000000001"/>
    <n v="1.6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9"/>
    <s v="BC"/>
    <x v="0"/>
    <x v="0"/>
    <n v="4"/>
    <x v="0"/>
    <n v="6.91"/>
    <x v="0"/>
    <n v="31.959"/>
    <n v="5.9139999999999997"/>
    <n v="18.504959479332893"/>
    <n v="14.413892908827791"/>
    <n v="0.15564721634929318"/>
    <n v="48.34"/>
    <n v="0.75800000000000001"/>
    <n v="4.74"/>
    <n v="3.2690000000000001"/>
    <n v="2.373000000000000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5"/>
    <n v="0"/>
    <n v="1"/>
    <n v="5"/>
    <n v="0"/>
    <n v="0"/>
    <n v="0"/>
    <n v="1"/>
  </r>
  <r>
    <n v="497"/>
    <s v="BC"/>
    <x v="1"/>
    <x v="0"/>
    <n v="4"/>
    <x v="0"/>
    <n v="7.03"/>
    <x v="0"/>
    <n v="28.12"/>
    <n v="5.9249999999999998"/>
    <n v="21.070412517780937"/>
    <n v="15.718349928876249"/>
    <n v="0.17100601880137875"/>
    <n v="49.01"/>
    <n v="0.77400000000000002"/>
    <n v="4.835"/>
    <n v="3.3820000000000001"/>
    <n v="2.318000000000000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498"/>
    <s v="BC"/>
    <x v="1"/>
    <x v="0"/>
    <n v="2"/>
    <x v="0"/>
    <n v="6.9"/>
    <x v="0"/>
    <n v="24.141999999999999"/>
    <n v="5.6130000000000004"/>
    <n v="23.249937867616605"/>
    <n v="18.652173913043477"/>
    <n v="0.20643607564315145"/>
    <n v="48.64"/>
    <n v="0.72299999999999998"/>
    <n v="4.5170000000000003"/>
    <n v="2.9129999999999998"/>
    <n v="1.97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7"/>
    <s v="BC"/>
    <x v="0"/>
    <x v="0"/>
    <n v="1"/>
    <x v="0"/>
    <n v="7.01"/>
    <x v="0"/>
    <n v="23.687000000000001"/>
    <n v="5.9139999999999997"/>
    <n v="24.967281631274535"/>
    <n v="15.634807417974326"/>
    <n v="0.17001527961621332"/>
    <n v="48.37"/>
    <n v="0.752"/>
    <n v="4.702"/>
    <n v="2.8919999999999999"/>
    <n v="1.998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508"/>
    <s v="BC"/>
    <x v="1"/>
    <x v="0"/>
    <n v="1"/>
    <x v="0"/>
    <n v="7.08"/>
    <x v="0"/>
    <n v="21.074000000000002"/>
    <n v="5.8540000000000001"/>
    <n v="27.778305020404286"/>
    <n v="17.316384180790962"/>
    <n v="0.19014871943593423"/>
    <n v="47.75"/>
    <n v="0.90300000000000002"/>
    <n v="5.6429999999999998"/>
    <n v="2.7069999999999999"/>
    <n v="1.95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0"/>
    <n v="1"/>
    <n v="3"/>
    <n v="0"/>
    <n v="0"/>
    <n v="0"/>
    <n v="1"/>
  </r>
  <r>
    <n v="514"/>
    <s v="BC"/>
    <x v="1"/>
    <x v="0"/>
    <n v="3"/>
    <x v="0"/>
    <n v="6.92"/>
    <x v="0"/>
    <n v="36.938000000000002"/>
    <n v="5.6680000000000001"/>
    <n v="15.344631544750662"/>
    <n v="18.092485549132945"/>
    <n v="0.19957944780114412"/>
    <n v="49.1"/>
    <n v="0.60399999999999998"/>
    <n v="3.7730000000000001"/>
    <n v="2.9489999999999998"/>
    <n v="2.1760000000000002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3"/>
    <n v="1"/>
    <n v="2"/>
    <n v="5"/>
    <n v="0"/>
    <n v="0"/>
    <n v="0"/>
    <n v="1"/>
  </r>
  <r>
    <n v="517"/>
    <s v="BC"/>
    <x v="0"/>
    <x v="0"/>
    <n v="2"/>
    <x v="0"/>
    <n v="7.02"/>
    <x v="0"/>
    <n v="27.510999999999999"/>
    <n v="5.89"/>
    <n v="21.40961797099342"/>
    <n v="16.096866096866098"/>
    <n v="0.17550722037422434"/>
    <n v="48.54"/>
    <n v="0.8"/>
    <n v="4.9989999999999997"/>
    <n v="2.782"/>
    <n v="2.0893333333333333"/>
    <n v="0"/>
    <n v="0"/>
    <n v="0"/>
    <n v="0"/>
    <n v="0"/>
    <n v="0"/>
    <n v="0"/>
    <n v="0"/>
    <n v="0"/>
    <n v="0"/>
    <n v="0"/>
    <n v="1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4"/>
    <n v="0"/>
    <n v="0"/>
    <n v="1"/>
    <n v="1"/>
  </r>
  <r>
    <n v="528"/>
    <s v="BC"/>
    <x v="0"/>
    <x v="0"/>
    <n v="5"/>
    <x v="0"/>
    <n v="7.06"/>
    <x v="0"/>
    <n v="28.091000000000001"/>
    <n v="6.2720000000000002"/>
    <n v="22.327435833540992"/>
    <n v="11.161473087818688"/>
    <n v="0.11834976845704386"/>
    <n v="48.47"/>
    <n v="0.94299999999999995"/>
    <n v="5.8959999999999999"/>
    <n v="3.605"/>
    <n v="2.12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531"/>
    <s v="BC"/>
    <x v="0"/>
    <x v="0"/>
    <n v="3"/>
    <x v="0"/>
    <n v="7.01"/>
    <x v="0"/>
    <n v="19.359000000000002"/>
    <n v="6.0720000000000001"/>
    <n v="31.365256469858977"/>
    <n v="13.380884450784588"/>
    <n v="0.14364966095316989"/>
    <n v="48.01"/>
    <n v="0.85599999999999998"/>
    <n v="5.3470000000000004"/>
    <n v="3.819"/>
    <n v="2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2"/>
    <n v="1"/>
    <n v="1"/>
    <n v="0"/>
    <n v="0"/>
    <n v="1"/>
    <n v="1"/>
  </r>
  <r>
    <n v="532"/>
    <s v="BC"/>
    <x v="1"/>
    <x v="0"/>
    <n v="5"/>
    <x v="0"/>
    <n v="7"/>
    <x v="0"/>
    <n v="29.29"/>
    <n v="6.0540000000000003"/>
    <n v="20.669170365312397"/>
    <n v="13.514285714285709"/>
    <n v="0.14519093845578637"/>
    <n v="47.45"/>
    <n v="0.872"/>
    <n v="5.45"/>
    <n v="2.7330000000000001"/>
    <n v="2.625"/>
    <n v="8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0"/>
    <n v="11"/>
    <n v="0"/>
    <n v="1"/>
    <n v="11"/>
    <n v="0"/>
    <n v="0"/>
    <n v="0"/>
    <n v="1"/>
  </r>
  <r>
    <n v="601"/>
    <s v="BC"/>
    <x v="1"/>
    <x v="1"/>
    <n v="4"/>
    <x v="0"/>
    <n v="6.99"/>
    <x v="0"/>
    <n v="18.712"/>
    <n v="4.992"/>
    <n v="26.678067550235145"/>
    <n v="28.583690987124466"/>
    <n v="0.33664392517859237"/>
    <n v="47"/>
    <n v="2.266"/>
    <n v="14.164999999999999"/>
    <n v="1.0620000000000001"/>
    <n v="2.135000000000000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603"/>
    <s v="BC"/>
    <x v="0"/>
    <x v="1"/>
    <n v="2"/>
    <x v="0"/>
    <n v="7.05"/>
    <x v="0"/>
    <n v="31.292000000000002"/>
    <n v="5.2409999999999997"/>
    <n v="16.748689760961266"/>
    <n v="25.659574468085111"/>
    <n v="0.29651529700414814"/>
    <n v="48.81"/>
    <n v="2.3559999999999999"/>
    <n v="14.727"/>
    <n v="0.88300000000000001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7"/>
    <s v="BC"/>
    <x v="1"/>
    <x v="1"/>
    <n v="2"/>
    <x v="0"/>
    <n v="6.92"/>
    <x v="0"/>
    <n v="23.422000000000001"/>
    <n v="5.1669999999999998"/>
    <n v="22.060455981555801"/>
    <n v="25.332369942196532"/>
    <n v="0.29212352032453065"/>
    <n v="47.94"/>
    <n v="2.1869999999999998"/>
    <n v="13.672000000000001"/>
    <n v="0.93899999999999995"/>
    <n v="1.44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20"/>
    <s v="BC"/>
    <x v="1"/>
    <x v="1"/>
    <n v="1"/>
    <x v="0"/>
    <n v="7.07"/>
    <x v="0"/>
    <n v="27.097999999999999"/>
    <n v="5.8579999999999997"/>
    <n v="21.617831574285926"/>
    <n v="17.142857142857153"/>
    <n v="0.18805223150293973"/>
    <n v="48.09"/>
    <n v="0.80400000000000005"/>
    <n v="5.0259999999999998"/>
    <n v="1.081"/>
    <n v="1.4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622"/>
    <s v="BC"/>
    <x v="1"/>
    <x v="1"/>
    <n v="3"/>
    <x v="0"/>
    <n v="6.98"/>
    <x v="0"/>
    <n v="35.853999999999999"/>
    <n v="5.8319999999999999"/>
    <n v="16.265967535003067"/>
    <n v="16.44699140401147"/>
    <n v="0.17968892206792417"/>
    <n v="47.69"/>
    <n v="0.80600000000000005"/>
    <n v="5.0350000000000001"/>
    <n v="1.726"/>
    <n v="2.47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4"/>
    <n v="0"/>
    <n v="1"/>
    <n v="4"/>
    <n v="0"/>
    <n v="0"/>
    <n v="0"/>
    <n v="1"/>
  </r>
  <r>
    <n v="624"/>
    <s v="BC"/>
    <x v="0"/>
    <x v="1"/>
    <n v="1"/>
    <x v="0"/>
    <n v="7"/>
    <x v="0"/>
    <n v="23.481999999999999"/>
    <n v="5.8689999999999998"/>
    <n v="24.993612128438805"/>
    <n v="16.157142857142862"/>
    <n v="0.17622588747911588"/>
    <n v="48.32"/>
    <n v="0.86699999999999999"/>
    <n v="5.4210000000000003"/>
    <n v="1.4610000000000001"/>
    <n v="1.39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629"/>
    <s v="BC"/>
    <x v="1"/>
    <x v="1"/>
    <n v="5"/>
    <x v="0"/>
    <n v="6.93"/>
    <x v="0"/>
    <n v="21.82"/>
    <n v="5.915"/>
    <n v="27.108157653528874"/>
    <n v="14.646464646464644"/>
    <n v="0.15836831577146171"/>
    <n v="48.59"/>
    <n v="0.66800000000000004"/>
    <n v="4.173"/>
    <n v="1.5129999999999999"/>
    <n v="1.179"/>
    <n v="2"/>
    <n v="0"/>
    <n v="0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0"/>
    <n v="7"/>
    <n v="0"/>
    <n v="1"/>
    <n v="7"/>
    <n v="0"/>
    <n v="0"/>
    <n v="0"/>
    <n v="1"/>
  </r>
  <r>
    <n v="637"/>
    <s v="BC"/>
    <x v="0"/>
    <x v="1"/>
    <n v="4"/>
    <x v="0"/>
    <n v="6.99"/>
    <x v="0"/>
    <n v="27.923999999999999"/>
    <n v="5.1820000000000004"/>
    <n v="18.557513250250683"/>
    <n v="25.865522174535048"/>
    <n v="0.29928947410580065"/>
    <n v="49.08"/>
    <n v="1.589"/>
    <n v="9.93"/>
    <n v="1.427"/>
    <n v="2.11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643"/>
    <s v="BC"/>
    <x v="0"/>
    <x v="1"/>
    <n v="5"/>
    <x v="0"/>
    <n v="6.91"/>
    <x v="0"/>
    <n v="18.286000000000001"/>
    <n v="6.048"/>
    <n v="33.074483211199826"/>
    <n v="12.474674384949349"/>
    <n v="0.13324199890234664"/>
    <n v="48.81"/>
    <n v="1.097"/>
    <n v="6.8579999999999997"/>
    <n v="1.752"/>
    <n v="2.8959999999999999"/>
    <n v="0"/>
    <n v="0"/>
    <n v="0"/>
    <n v="0"/>
    <n v="0"/>
    <n v="0"/>
    <n v="0"/>
    <n v="0"/>
    <n v="0"/>
    <n v="1"/>
    <n v="0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n v="647"/>
    <s v="BC"/>
    <x v="0"/>
    <x v="1"/>
    <n v="3"/>
    <x v="0"/>
    <n v="6.96"/>
    <x v="0"/>
    <n v="23.213999999999999"/>
    <n v="5.5780000000000003"/>
    <n v="24.02860342896528"/>
    <n v="19.856321839080454"/>
    <n v="0.22134918514103108"/>
    <n v="48.17"/>
    <n v="1.796"/>
    <n v="11.225"/>
    <n v="1.4359999999999999"/>
    <n v="3.0379999999999998"/>
    <n v="0"/>
    <n v="0"/>
    <n v="0"/>
    <n v="0"/>
    <n v="0"/>
    <n v="0"/>
    <n v="0"/>
    <n v="0"/>
    <n v="0"/>
    <n v="0"/>
    <n v="0"/>
    <n v="0"/>
    <n v="0"/>
    <n v="0"/>
    <n v="5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0"/>
    <n v="6"/>
    <n v="4"/>
    <n v="2"/>
    <n v="10"/>
    <n v="0"/>
    <n v="0"/>
    <n v="0"/>
    <n v="1"/>
  </r>
  <r>
    <n v="4"/>
    <s v="HH"/>
    <x v="1"/>
    <x v="0"/>
    <n v="4"/>
    <x v="0"/>
    <n v="7.03"/>
    <x v="1"/>
    <n v="7.9046000000000003"/>
    <n v="5.5782999999999996"/>
    <n v="29.429699162512975"/>
    <n v="20.650071123755342"/>
    <n v="0.92444981590564024"/>
    <n v="47.93"/>
    <n v="0.91700000000000004"/>
    <n v="5.7309999999999999"/>
    <n v="1.8740000000000001"/>
    <n v="1.496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2"/>
    <n v="3"/>
    <n v="0"/>
    <n v="0"/>
    <n v="1"/>
    <n v="1"/>
  </r>
  <r>
    <n v="8"/>
    <s v="HH"/>
    <x v="0"/>
    <x v="0"/>
    <n v="3"/>
    <x v="0"/>
    <n v="6.93"/>
    <x v="1"/>
    <n v="6.7068000000000003"/>
    <n v="5.6029"/>
    <n v="16.459414325758935"/>
    <n v="19.150072150072148"/>
    <n v="0.90572267291953235"/>
    <n v="47.54"/>
    <n v="0.85799999999999998"/>
    <n v="5.3650000000000002"/>
    <n v="2.5609999999999999"/>
    <n v="4.7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0"/>
    <n v="4"/>
    <n v="1"/>
    <n v="4"/>
    <n v="0"/>
    <n v="0"/>
    <n v="0"/>
    <n v="1"/>
  </r>
  <r>
    <n v="13"/>
    <s v="HH"/>
    <x v="1"/>
    <x v="0"/>
    <n v="2"/>
    <x v="0"/>
    <n v="6.99"/>
    <x v="1"/>
    <n v="7.4600999999999997"/>
    <n v="5.7262000000000004"/>
    <n v="23.242315786651645"/>
    <n v="18.080114449213159"/>
    <n v="0.89257560234293654"/>
    <n v="47.8"/>
    <n v="0.746"/>
    <n v="4.6630000000000003"/>
    <n v="3.0630000000000002"/>
    <n v="1.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"/>
    <s v="HH"/>
    <x v="0"/>
    <x v="0"/>
    <n v="2"/>
    <x v="0"/>
    <n v="7.03"/>
    <x v="1"/>
    <n v="6.9678000000000004"/>
    <n v="5.6416000000000004"/>
    <n v="19.033267315364963"/>
    <n v="19.749644381223323"/>
    <n v="0.91316617316110482"/>
    <n v="47.5"/>
    <n v="0.93700000000000006"/>
    <n v="5.8540000000000001"/>
    <n v="1.998"/>
    <n v="1.6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0"/>
    <n v="0"/>
    <n v="4"/>
    <n v="1"/>
    <n v="3"/>
    <n v="0"/>
    <n v="0"/>
    <n v="1"/>
    <n v="1"/>
  </r>
  <r>
    <n v="30"/>
    <s v="HH"/>
    <x v="1"/>
    <x v="0"/>
    <n v="1"/>
    <x v="0"/>
    <n v="7"/>
    <x v="1"/>
    <n v="6.8299000000000003"/>
    <n v="5.4911000000000003"/>
    <n v="19.602043953791416"/>
    <n v="21.555714285714281"/>
    <n v="0.93592872986533959"/>
    <n v="47.87"/>
    <n v="0.89500000000000002"/>
    <n v="5.5940000000000003"/>
    <n v="2.4089999999999998"/>
    <n v="0.661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2"/>
    <s v="HH"/>
    <x v="0"/>
    <x v="0"/>
    <n v="4"/>
    <x v="0"/>
    <n v="6.9699999999999989"/>
    <x v="1"/>
    <n v="7.5350000000000001"/>
    <n v="5.6852"/>
    <n v="24.549435965494361"/>
    <n v="18.433285509325668"/>
    <n v="0.89689609844965801"/>
    <n v="47.7"/>
    <n v="0.96099999999999997"/>
    <n v="6.008"/>
    <n v="2.1019999999999999"/>
    <n v="1.506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0"/>
    <n v="5"/>
    <n v="1"/>
    <n v="5"/>
    <n v="0"/>
    <n v="0"/>
    <n v="0"/>
    <n v="1"/>
  </r>
  <r>
    <n v="33"/>
    <s v="HH"/>
    <x v="0"/>
    <x v="0"/>
    <n v="1"/>
    <x v="0"/>
    <n v="6.9499999999999993"/>
    <x v="1"/>
    <n v="6.8251999999999997"/>
    <n v="5.7850000000000001"/>
    <n v="15.24057903065111"/>
    <n v="16.762589928057544"/>
    <n v="0.87662047949100608"/>
    <n v="47.6"/>
    <n v="1.01"/>
    <n v="6.3120000000000003"/>
    <n v="2.738"/>
    <n v="1.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"/>
    <s v="HH"/>
    <x v="1"/>
    <x v="0"/>
    <n v="3"/>
    <x v="0"/>
    <n v="6.9200000000000008"/>
    <x v="1"/>
    <n v="6.8631000000000002"/>
    <n v="5.5964"/>
    <n v="18.456674097710948"/>
    <n v="19.127167630057812"/>
    <n v="0.90543941631252989"/>
    <n v="46.22"/>
    <n v="0.90500000000000003"/>
    <n v="5.657"/>
    <n v="2.165"/>
    <n v="1.6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"/>
    <n v="3"/>
    <n v="0"/>
    <n v="1"/>
    <n v="2"/>
    <n v="2"/>
    <n v="2"/>
    <n v="0"/>
    <n v="0"/>
    <n v="1"/>
    <n v="1"/>
  </r>
  <r>
    <n v="55"/>
    <s v="HH"/>
    <x v="0"/>
    <x v="0"/>
    <n v="5"/>
    <x v="0"/>
    <n v="7.0600000000000005"/>
    <x v="1"/>
    <n v="6.9166999999999996"/>
    <n v="5.6868999999999996"/>
    <n v="17.780155276360116"/>
    <n v="19.449008498583581"/>
    <n v="0.90942694785845857"/>
    <n v="48.69"/>
    <n v="0.96799999999999997"/>
    <n v="6.05"/>
    <n v="1.456"/>
    <n v="1.467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4"/>
    <n v="3"/>
    <n v="0"/>
    <n v="0"/>
    <n v="2"/>
    <n v="1"/>
    <n v="3"/>
    <n v="0"/>
    <n v="0"/>
    <n v="1"/>
    <n v="1"/>
  </r>
  <r>
    <n v="56"/>
    <s v="HH"/>
    <x v="1"/>
    <x v="0"/>
    <n v="5"/>
    <x v="0"/>
    <n v="6.94"/>
    <x v="1"/>
    <n v="83847"/>
    <n v="5.4279000000000002"/>
    <n v="99.993526423127847"/>
    <n v="21.788184438040346"/>
    <n v="0.93889663626763509"/>
    <n v="46.89"/>
    <n v="0.90600000000000003"/>
    <n v="5.6619999999999999"/>
    <n v="1.7949999999999999"/>
    <n v="1.272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1"/>
  </r>
  <r>
    <n v="131"/>
    <s v="HH"/>
    <x v="0"/>
    <x v="1"/>
    <n v="5"/>
    <x v="0"/>
    <n v="7.01"/>
    <x v="1"/>
    <n v="6.9288999999999996"/>
    <n v="5.7317"/>
    <n v="17.278355871783397"/>
    <n v="18.235378031383735"/>
    <n v="0.89447271076315238"/>
    <n v="49.29"/>
    <n v="0.77800000000000002"/>
    <n v="4.8600000000000003"/>
    <n v="1.2370000000000001"/>
    <n v="1.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134"/>
    <s v="HH"/>
    <x v="1"/>
    <x v="1"/>
    <n v="3"/>
    <x v="0"/>
    <n v="7.01"/>
    <x v="1"/>
    <n v="7.0986000000000002"/>
    <n v="5.8638000000000003"/>
    <n v="17.394979291691318"/>
    <n v="16.350927246790292"/>
    <n v="0.87168702401573595"/>
    <n v="47.77"/>
    <n v="0.71"/>
    <n v="4.4370000000000003"/>
    <n v="1.6679999999999999"/>
    <n v="1.6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136"/>
    <s v="HH"/>
    <x v="1"/>
    <x v="1"/>
    <n v="5"/>
    <x v="0"/>
    <n v="7.04"/>
    <x v="1"/>
    <n v="8.2467000000000006"/>
    <n v="5.7625999999999999"/>
    <n v="30.122351971091472"/>
    <n v="18.144886363636363"/>
    <n v="0.89336658897852539"/>
    <n v="47.39"/>
    <n v="0.8"/>
    <n v="4.9969999999999999"/>
    <n v="3.3780000000000001"/>
    <n v="1.67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1"/>
    <s v="HH"/>
    <x v="1"/>
    <x v="1"/>
    <n v="4"/>
    <x v="0"/>
    <n v="7.01"/>
    <x v="1"/>
    <n v="6.6052"/>
    <n v="5.4640000000000004"/>
    <n v="17.27729667534669"/>
    <n v="22.054208273894428"/>
    <n v="0.94230375933795496"/>
    <n v="46.92"/>
    <n v="0.71299999999999997"/>
    <n v="4.4569999999999999"/>
    <n v="1.2709999999999999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1"/>
    <n v="1"/>
    <n v="0"/>
    <n v="0"/>
    <n v="0"/>
    <n v="1"/>
    <n v="0"/>
  </r>
  <r>
    <n v="145"/>
    <s v="HH"/>
    <x v="0"/>
    <x v="1"/>
    <n v="4"/>
    <x v="0"/>
    <n v="7.07"/>
    <x v="1"/>
    <n v="8.1168999999999993"/>
    <n v="5.8346"/>
    <n v="28.117877514814765"/>
    <n v="17.473833097595477"/>
    <n v="0.8852019489220232"/>
    <n v="47.3"/>
    <n v="0.68"/>
    <n v="4.2510000000000003"/>
    <n v="1.2330000000000001"/>
    <n v="1.60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146"/>
    <s v="HH"/>
    <x v="0"/>
    <x v="1"/>
    <n v="3"/>
    <x v="0"/>
    <n v="7.06"/>
    <x v="1"/>
    <n v="6.8513000000000002"/>
    <n v="5.7987000000000002"/>
    <n v="15.36350765548144"/>
    <n v="17.865439093484412"/>
    <n v="0.88995847756641688"/>
    <n v="47.74"/>
    <n v="0.71799999999999997"/>
    <n v="4.4850000000000003"/>
    <n v="1.46"/>
    <n v="1.0940000000000001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"/>
    <n v="0"/>
    <n v="16"/>
    <n v="0"/>
    <n v="1"/>
    <n v="16"/>
    <n v="0"/>
    <n v="0"/>
    <n v="0"/>
    <n v="1"/>
  </r>
  <r>
    <n v="160"/>
    <s v="HH"/>
    <x v="0"/>
    <x v="1"/>
    <n v="2"/>
    <x v="0"/>
    <n v="7.02"/>
    <x v="1"/>
    <n v="7.8555000000000001"/>
    <n v="5.7233999999999998"/>
    <n v="27.141493221309915"/>
    <n v="18.470085470085468"/>
    <n v="0.89734736420058459"/>
    <n v="47.34"/>
    <n v="0.69899999999999995"/>
    <n v="4.3689999999999998"/>
    <n v="0.96"/>
    <n v="1.223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9"/>
    <s v="HH"/>
    <x v="1"/>
    <x v="1"/>
    <n v="1"/>
    <x v="0"/>
    <n v="6.99"/>
    <x v="1"/>
    <n v="8.1526999999999994"/>
    <n v="5.8483999999999998"/>
    <n v="28.264256013345268"/>
    <n v="16.331902718168816"/>
    <n v="0.87145961724451848"/>
    <n v="47.87"/>
    <n v="0.73499999999999999"/>
    <n v="4.5960000000000001"/>
    <n v="1.0609999999999999"/>
    <n v="0.357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1"/>
    <s v="HH"/>
    <x v="0"/>
    <x v="1"/>
    <n v="1"/>
    <x v="0"/>
    <n v="6.96"/>
    <x v="1"/>
    <n v="7.1483999999999996"/>
    <n v="5.8657000000000004"/>
    <n v="17.943875552571196"/>
    <n v="15.72270114942528"/>
    <n v="0.86420482783406705"/>
    <n v="47.7"/>
    <n v="0.76400000000000001"/>
    <n v="4.7759999999999998"/>
    <n v="1.9890000000000001"/>
    <n v="2.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9"/>
    <s v="HH"/>
    <x v="1"/>
    <x v="1"/>
    <n v="2"/>
    <x v="0"/>
    <n v="6.97"/>
    <x v="1"/>
    <n v="7.8971999999999998"/>
    <n v="5.5762999999999998"/>
    <n v="29.388897330699486"/>
    <n v="19.995695839311335"/>
    <n v="0.91623693131282291"/>
    <n v="47.2"/>
    <n v="0.748"/>
    <n v="4.6769999999999996"/>
    <n v="0.85099999999999998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2"/>
    <s v="SB"/>
    <x v="0"/>
    <x v="0"/>
    <n v="5"/>
    <x v="0"/>
    <n v="6.95"/>
    <x v="1"/>
    <n v="11.480499999999999"/>
    <n v="5.7907999999999999"/>
    <n v="49.559688166891682"/>
    <n v="16.679136690647482"/>
    <n v="0.87561838883889476"/>
    <n v="47.72"/>
    <n v="1.0620000000000001"/>
    <n v="6.6349999999999998"/>
    <n v="1.2130000000000001"/>
    <n v="1.6930000000000001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3"/>
    <n v="0"/>
    <n v="25"/>
    <n v="2"/>
    <n v="2"/>
    <n v="27"/>
    <n v="0"/>
    <n v="0"/>
    <n v="0"/>
    <n v="1"/>
  </r>
  <r>
    <n v="249"/>
    <s v="SB"/>
    <x v="1"/>
    <x v="0"/>
    <n v="5"/>
    <x v="0"/>
    <n v="7.12"/>
    <x v="1"/>
    <n v="14.1335"/>
    <n v="5.8495999999999997"/>
    <n v="58.611808823009156"/>
    <n v="17.842696629213489"/>
    <n v="0.88968162314619059"/>
    <n v="47.15"/>
    <n v="1.2030000000000001"/>
    <n v="7.52"/>
    <n v="1.343"/>
    <n v="1.17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0"/>
    <n v="2"/>
    <n v="2"/>
    <n v="2"/>
    <n v="4"/>
    <n v="0"/>
    <n v="0"/>
    <n v="0"/>
    <n v="1"/>
  </r>
  <r>
    <n v="254"/>
    <s v="SB"/>
    <x v="1"/>
    <x v="0"/>
    <n v="3"/>
    <x v="0"/>
    <n v="6.95"/>
    <x v="1"/>
    <n v="6.8921000000000001"/>
    <n v="5.81"/>
    <n v="15.700584727441571"/>
    <n v="16.402877697841735"/>
    <n v="0.87230826927282634"/>
    <n v="47.9"/>
    <n v="1.175"/>
    <n v="7.343"/>
    <n v="1.863"/>
    <n v="1.92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5"/>
    <s v="SB"/>
    <x v="1"/>
    <x v="0"/>
    <n v="4"/>
    <x v="0"/>
    <n v="7.0399999999999991"/>
    <x v="1"/>
    <n v="9.1104000000000003"/>
    <n v="5.8442999999999996"/>
    <n v="35.850237091675453"/>
    <n v="16.984374999999996"/>
    <n v="0.87928852345676523"/>
    <n v="47.97"/>
    <n v="1.1559999999999999"/>
    <n v="7.2240000000000002"/>
    <n v="1.6870000000000001"/>
    <n v="1.859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1"/>
    <n v="5"/>
    <n v="0"/>
    <n v="5"/>
    <n v="6"/>
    <n v="2"/>
    <n v="9"/>
    <n v="0"/>
    <n v="0"/>
    <n v="2"/>
    <n v="1"/>
  </r>
  <r>
    <n v="272"/>
    <s v="SB"/>
    <x v="0"/>
    <x v="0"/>
    <n v="3"/>
    <x v="0"/>
    <n v="7.0699999999999994"/>
    <x v="1"/>
    <n v="8.3759999999999994"/>
    <n v="5.7588999999999997"/>
    <n v="31.245224450811843"/>
    <n v="18.544554455445542"/>
    <n v="0.89826117622036572"/>
    <n v="47.49"/>
    <n v="1.202"/>
    <n v="7.5140000000000002"/>
    <n v="1.4630000000000001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80"/>
    <s v="SB"/>
    <x v="1"/>
    <x v="0"/>
    <n v="2"/>
    <x v="0"/>
    <n v="7"/>
    <x v="1"/>
    <n v="8.4754000000000005"/>
    <n v="5.6139999999999999"/>
    <n v="33.761238407626784"/>
    <n v="19.8"/>
    <n v="0.91379385167556793"/>
    <n v="47.59"/>
    <n v="1.0529999999999999"/>
    <n v="6.5839999999999996"/>
    <n v="1.9850000000000001"/>
    <n v="1.421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8"/>
    <n v="4"/>
    <n v="3"/>
    <n v="4"/>
    <n v="1"/>
    <n v="3"/>
    <n v="6"/>
    <n v="0"/>
    <n v="0"/>
    <n v="2"/>
    <n v="1"/>
  </r>
  <r>
    <n v="285"/>
    <s v="SB"/>
    <x v="0"/>
    <x v="0"/>
    <n v="2"/>
    <x v="0"/>
    <n v="7.04"/>
    <x v="1"/>
    <n v="6.9785000000000004"/>
    <n v="5.8155000000000001"/>
    <n v="16.665472522748445"/>
    <n v="17.393465909090907"/>
    <n v="0.8842285839329399"/>
    <n v="48.32"/>
    <n v="1.143"/>
    <n v="7.1440000000000001"/>
    <n v="1.6519999999999999"/>
    <n v="1.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92"/>
    <s v="SB"/>
    <x v="0"/>
    <x v="0"/>
    <n v="1"/>
    <x v="0"/>
    <n v="6.96"/>
    <x v="1"/>
    <n v="8.6277000000000008"/>
    <n v="5.4526000000000003"/>
    <n v="36.801233237131562"/>
    <n v="21.65804597701149"/>
    <n v="0.93723409576989358"/>
    <n v="48.61"/>
    <n v="1.161"/>
    <n v="7.2549999999999999"/>
    <n v="1.0649999999999999"/>
    <n v="1.0069999999999999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3"/>
    <n v="0"/>
    <n v="0"/>
    <n v="0"/>
    <n v="1"/>
  </r>
  <r>
    <n v="295"/>
    <s v="SB"/>
    <x v="1"/>
    <x v="0"/>
    <n v="1"/>
    <x v="0"/>
    <n v="6.93"/>
    <x v="1"/>
    <n v="10.9261"/>
    <n v="5.7152000000000003"/>
    <n v="47.692223208647185"/>
    <n v="17.529581529581524"/>
    <n v="0.88587770150176881"/>
    <n v="48.08"/>
    <n v="1.2490000000000001"/>
    <n v="7.8040000000000003"/>
    <n v="1.226"/>
    <n v="1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65"/>
    <s v="SB"/>
    <x v="0"/>
    <x v="1"/>
    <n v="1"/>
    <x v="0"/>
    <n v="7.01"/>
    <x v="1"/>
    <n v="7.8771000000000004"/>
    <n v="5.8121"/>
    <n v="26.215231493823872"/>
    <n v="17.08844507845934"/>
    <n v="0.88054293026528274"/>
    <n v="47.64"/>
    <n v="0.69899999999999995"/>
    <n v="4.3719999999999999"/>
    <n v="1.196"/>
    <n v="1.33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370"/>
    <s v="SB"/>
    <x v="0"/>
    <x v="1"/>
    <n v="5"/>
    <x v="0"/>
    <n v="7.02"/>
    <x v="1"/>
    <n v="11.051500000000001"/>
    <n v="5.9127999999999998"/>
    <n v="46.49776048500204"/>
    <n v="15.772079772079769"/>
    <n v="0.86479090610912512"/>
    <n v="46.82"/>
    <n v="0.72699999999999998"/>
    <n v="4.5460000000000003"/>
    <n v="0.77900000000000003"/>
    <n v="1.58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381"/>
    <s v="SB"/>
    <x v="1"/>
    <x v="1"/>
    <n v="4"/>
    <x v="0"/>
    <n v="7.06"/>
    <x v="1"/>
    <n v="9.1570999999999998"/>
    <n v="5.8738999999999999"/>
    <n v="35.854145963241635"/>
    <n v="16.800283286118976"/>
    <n v="0.87707342360790808"/>
    <n v="47.22"/>
    <n v="0.73399999999999999"/>
    <n v="4.5869999999999997"/>
    <n v="1.0109999999999999"/>
    <n v="1.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3"/>
    <n v="3"/>
    <n v="0"/>
    <n v="0"/>
    <n v="3"/>
    <n v="1"/>
    <n v="1"/>
    <n v="0"/>
    <n v="0"/>
    <n v="2"/>
    <n v="1"/>
  </r>
  <r>
    <n v="387"/>
    <s v="SB"/>
    <x v="1"/>
    <x v="1"/>
    <n v="3"/>
    <x v="0"/>
    <n v="7"/>
    <x v="1"/>
    <n v="7.7935999999999996"/>
    <n v="5.7827999999999999"/>
    <n v="25.800656949291721"/>
    <n v="17.388571428571428"/>
    <n v="0.88416933516310836"/>
    <n v="47.33"/>
    <n v="0.96399999999999997"/>
    <n v="6.0259999999999998"/>
    <n v="1.288"/>
    <n v="1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0"/>
    <n v="1"/>
    <n v="0"/>
  </r>
  <r>
    <n v="391"/>
    <s v="SB"/>
    <x v="1"/>
    <x v="1"/>
    <n v="2"/>
    <x v="0"/>
    <n v="7.04"/>
    <x v="1"/>
    <n v="8.9225999999999992"/>
    <n v="5.7130999999999998"/>
    <n v="35.970457041669462"/>
    <n v="18.848011363636367"/>
    <n v="0.90199356720237689"/>
    <n v="47.59"/>
    <n v="0.83499999999999996"/>
    <n v="5.2160000000000002"/>
    <n v="2.5190000000000001"/>
    <n v="1.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392"/>
    <s v="SB"/>
    <x v="0"/>
    <x v="1"/>
    <n v="4"/>
    <x v="0"/>
    <n v="7.03"/>
    <x v="1"/>
    <n v="11.7834"/>
    <n v="5.9680999999999997"/>
    <n v="49.351630259517634"/>
    <n v="15.105263157894743"/>
    <n v="0.85690526758926833"/>
    <n v="47.83"/>
    <n v="0.72199999999999998"/>
    <n v="4.5140000000000002"/>
    <n v="0.65700000000000003"/>
    <n v="1.385999999999999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2"/>
    <n v="0"/>
    <n v="4"/>
    <n v="9"/>
    <n v="2"/>
    <n v="13"/>
    <n v="0"/>
    <n v="0"/>
    <n v="0"/>
    <n v="1"/>
  </r>
  <r>
    <n v="393"/>
    <s v="SB"/>
    <x v="1"/>
    <x v="1"/>
    <n v="5"/>
    <x v="0"/>
    <n v="7"/>
    <x v="1"/>
    <n v="11.9572"/>
    <n v="5.9653"/>
    <n v="50.111230053858769"/>
    <n v="14.78142857142857"/>
    <n v="0.85309798195201014"/>
    <n v="46.84"/>
    <n v="0.71599999999999997"/>
    <n v="4.4740000000000002"/>
    <n v="0.91200000000000003"/>
    <n v="1.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97"/>
    <s v="SB"/>
    <x v="0"/>
    <x v="1"/>
    <n v="4"/>
    <x v="0"/>
    <n v="6.91"/>
    <x v="1"/>
    <n v="12.7012"/>
    <n v="5.7309999999999999"/>
    <n v="54.878279217711714"/>
    <n v="17.062228654124461"/>
    <n v="0.88022678276992339"/>
    <n v="48"/>
    <n v="0.76"/>
    <n v="4.7510000000000003"/>
    <n v="1.05"/>
    <n v="1.64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12"/>
    <s v="SB"/>
    <x v="0"/>
    <x v="1"/>
    <n v="2"/>
    <x v="0"/>
    <n v="7.06"/>
    <x v="1"/>
    <n v="7.0172999999999996"/>
    <n v="5.7858000000000001"/>
    <n v="17.549484844598346"/>
    <n v="18.048158640226625"/>
    <n v="0.89218559230283923"/>
    <n v="48.38"/>
    <n v="0.69299999999999995"/>
    <n v="4.3330000000000002"/>
    <n v="0.90100000000000002"/>
    <n v="1.08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419"/>
    <s v="SB"/>
    <x v="0"/>
    <x v="1"/>
    <n v="3"/>
    <x v="0"/>
    <n v="6.94"/>
    <x v="1"/>
    <n v="9.1515000000000004"/>
    <n v="5.6719999999999997"/>
    <n v="38.021089438889803"/>
    <n v="18.270893371757936"/>
    <n v="0.89490716584883223"/>
    <n v="47.37"/>
    <n v="0.80100000000000005"/>
    <n v="5.0049999999999999"/>
    <n v="1.2170000000000001"/>
    <n v="1.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420"/>
    <s v="SB"/>
    <x v="1"/>
    <x v="1"/>
    <n v="1"/>
    <x v="0"/>
    <n v="6.96"/>
    <x v="1"/>
    <n v="11.142899999999999"/>
    <n v="5.7328000000000001"/>
    <n v="48.551992748745832"/>
    <n v="17.632183908045977"/>
    <n v="0.8871225873377212"/>
    <n v="46.84"/>
    <n v="0.86299999999999999"/>
    <n v="5.3920000000000003"/>
    <n v="0.97199999999999998"/>
    <n v="1.67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491"/>
    <s v="BC"/>
    <x v="0"/>
    <x v="0"/>
    <n v="2"/>
    <x v="0"/>
    <n v="6.97"/>
    <x v="1"/>
    <n v="12.6061"/>
    <n v="5.7727000000000004"/>
    <n v="45.792909781772323"/>
    <n v="17.17790530846484"/>
    <n v="0.88162249665271109"/>
    <n v="46.91"/>
    <n v="0.81699999999999995"/>
    <n v="5.1079999999999997"/>
    <n v="2.94"/>
    <n v="2.266999999999999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492"/>
    <s v="BC"/>
    <x v="1"/>
    <x v="0"/>
    <n v="2"/>
    <x v="0"/>
    <n v="7.08"/>
    <x v="1"/>
    <n v="13.604699999999999"/>
    <n v="5.5481999999999996"/>
    <n v="40.781494630532094"/>
    <n v="21.63559322033899"/>
    <n v="0.93694753743606285"/>
    <n v="48.37"/>
    <n v="0.93700000000000006"/>
    <n v="5.8570000000000002"/>
    <n v="2.1589999999999998"/>
    <n v="1.4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96"/>
    <s v="BC"/>
    <x v="1"/>
    <x v="0"/>
    <n v="4"/>
    <x v="0"/>
    <n v="7.03"/>
    <x v="1"/>
    <n v="10.9597"/>
    <n v="5.4912000000000001"/>
    <n v="50.103561228865757"/>
    <n v="21.889046941678522"/>
    <n v="0.9401870755110675"/>
    <n v="48.33"/>
    <n v="0.76700000000000002"/>
    <n v="4.7910000000000004"/>
    <n v="2.415"/>
    <n v="2.28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3"/>
    <s v="BC"/>
    <x v="0"/>
    <x v="0"/>
    <n v="1"/>
    <x v="0"/>
    <n v="7.06"/>
    <x v="1"/>
    <n v="9.3439999999999994"/>
    <n v="5.7649999999999997"/>
    <n v="61.697345890410958"/>
    <n v="18.342776203966004"/>
    <n v="0.89578707834407367"/>
    <n v="49.01"/>
    <n v="0.85599999999999998"/>
    <n v="5.3529999999999998"/>
    <n v="3.0179999999999998"/>
    <n v="2.1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  <n v="1"/>
    <n v="0"/>
    <n v="0"/>
    <n v="0"/>
    <n v="1"/>
    <n v="0"/>
  </r>
  <r>
    <n v="511"/>
    <s v="BC"/>
    <x v="0"/>
    <x v="0"/>
    <n v="4"/>
    <x v="0"/>
    <n v="7.07"/>
    <x v="1"/>
    <n v="11.8621"/>
    <n v="5.5041000000000002"/>
    <n v="46.400721626019006"/>
    <n v="22.14851485148515"/>
    <n v="0.94351439139778004"/>
    <n v="48.39"/>
    <n v="0.89800000000000002"/>
    <n v="5.61"/>
    <n v="2.6339999999999999"/>
    <n v="2.145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"/>
    <n v="0"/>
    <n v="15"/>
    <n v="0"/>
    <n v="1"/>
    <n v="15"/>
    <n v="0"/>
    <n v="0"/>
    <n v="0"/>
    <n v="1"/>
  </r>
  <r>
    <n v="516"/>
    <s v="BC"/>
    <x v="1"/>
    <x v="0"/>
    <n v="3"/>
    <x v="0"/>
    <n v="6.95"/>
    <x v="1"/>
    <n v="12.857100000000001"/>
    <n v="5.4420999999999999"/>
    <n v="42.327585536396228"/>
    <n v="21.696402877697846"/>
    <n v="0.9377238243472138"/>
    <n v="47.73"/>
    <n v="0.94499999999999995"/>
    <n v="5.9059999999999997"/>
    <n v="2.286"/>
    <n v="1.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2"/>
    <n v="0"/>
    <n v="0"/>
    <n v="0"/>
    <n v="1"/>
  </r>
  <r>
    <n v="522"/>
    <s v="BC"/>
    <x v="0"/>
    <x v="0"/>
    <n v="3"/>
    <x v="0"/>
    <n v="7.07"/>
    <x v="1"/>
    <n v="8.6791"/>
    <n v="5.8181000000000003"/>
    <n v="67.03575255498842"/>
    <n v="17.707213578500706"/>
    <n v="0.88803391250600316"/>
    <n v="48.4"/>
    <n v="0.98499999999999999"/>
    <n v="6.1550000000000002"/>
    <n v="3.161"/>
    <n v="1.7889999999999999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534"/>
    <s v="BC"/>
    <x v="0"/>
    <x v="0"/>
    <n v="5"/>
    <x v="0"/>
    <n v="7.04"/>
    <x v="1"/>
    <n v="13.4589"/>
    <n v="5.6740000000000004"/>
    <n v="42.15797724925514"/>
    <n v="19.403409090909086"/>
    <n v="0.90886101434323663"/>
    <n v="48.68"/>
    <n v="1.0289999999999999"/>
    <n v="6.4329999999999998"/>
    <n v="2.0110000000000001"/>
    <n v="2.1680000000000001"/>
    <n v="13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5"/>
    <n v="0"/>
    <n v="14"/>
    <n v="2"/>
    <n v="2"/>
    <n v="30"/>
    <n v="0"/>
    <n v="1"/>
    <n v="0"/>
    <n v="1"/>
  </r>
  <r>
    <n v="535"/>
    <s v="BC"/>
    <x v="1"/>
    <x v="0"/>
    <n v="5"/>
    <x v="0"/>
    <n v="7.02"/>
    <x v="1"/>
    <n v="11.8911"/>
    <n v="5.7130999999999998"/>
    <n v="48.045176644717479"/>
    <n v="18.616809116809112"/>
    <n v="0.89914861507014565"/>
    <n v="47.78"/>
    <n v="0.84799999999999998"/>
    <n v="5.3"/>
    <n v="2.5419999999999998"/>
    <n v="1.798"/>
    <n v="8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0"/>
    <n v="3"/>
    <n v="0"/>
    <n v="9"/>
    <n v="1"/>
    <n v="2"/>
    <n v="9"/>
    <n v="0"/>
    <n v="0"/>
    <n v="1"/>
    <n v="1"/>
  </r>
  <r>
    <n v="605"/>
    <s v="BC"/>
    <x v="1"/>
    <x v="1"/>
    <n v="1"/>
    <x v="0"/>
    <n v="7.01"/>
    <x v="1"/>
    <n v="9.8770000000000007"/>
    <n v="4.8959999999999999"/>
    <n v="49.569707401032694"/>
    <n v="30.156918687589158"/>
    <n v="1.0520663363964191"/>
    <n v="47.34"/>
    <n v="2.2909999999999999"/>
    <n v="14.321999999999999"/>
    <n v="0.77600000000000002"/>
    <n v="0.914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06"/>
    <s v="BC"/>
    <x v="1"/>
    <x v="1"/>
    <n v="4"/>
    <x v="0"/>
    <n v="6.98"/>
    <x v="1"/>
    <n v="8.3082999999999991"/>
    <n v="5.0007000000000001"/>
    <n v="60.189208381979476"/>
    <n v="28.356733524355306"/>
    <n v="1.0266181946992115"/>
    <n v="49.3"/>
    <n v="1.056"/>
    <n v="5.8949999999999996"/>
    <n v="0.68700000000000006"/>
    <n v="1.0149999999999999"/>
    <n v="14"/>
    <n v="0"/>
    <n v="0"/>
    <n v="0"/>
    <n v="0"/>
    <n v="0"/>
    <n v="0"/>
    <n v="0"/>
    <n v="0"/>
    <n v="0"/>
    <n v="0"/>
    <n v="0"/>
    <n v="0"/>
    <n v="0"/>
    <n v="0"/>
    <n v="3"/>
    <n v="0"/>
    <n v="0"/>
    <n v="2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4"/>
    <n v="0"/>
    <n v="18"/>
    <n v="2"/>
    <n v="2"/>
    <n v="20"/>
    <n v="0"/>
    <n v="0"/>
    <n v="0"/>
    <n v="1"/>
  </r>
  <r>
    <n v="616"/>
    <s v="BC"/>
    <x v="1"/>
    <x v="1"/>
    <n v="3"/>
    <x v="0"/>
    <n v="6.98"/>
    <x v="1"/>
    <n v="13.4589"/>
    <n v="5.5312999999999999"/>
    <n v="41.097712294466859"/>
    <n v="20.755014326647572"/>
    <n v="0.9257732280529577"/>
    <n v="47.02"/>
    <n v="1.022"/>
    <n v="6.3849999999999998"/>
    <n v="0.98899999999999999"/>
    <n v="1.185000000000000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2"/>
    <n v="0"/>
    <n v="0"/>
    <n v="0"/>
    <n v="1"/>
  </r>
  <r>
    <n v="621"/>
    <s v="BC"/>
    <x v="0"/>
    <x v="1"/>
    <n v="1"/>
    <x v="0"/>
    <n v="7.06"/>
    <x v="1"/>
    <n v="9.4079999999999995"/>
    <n v="5.7359999999999998"/>
    <n v="60.969387755102048"/>
    <n v="18.753541076487252"/>
    <n v="0.90083012876777668"/>
    <n v="48.43"/>
    <n v="0.84899999999999998"/>
    <n v="5.3040000000000003"/>
    <n v="1.2410000000000001"/>
    <n v="1.82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641"/>
    <s v="BC"/>
    <x v="0"/>
    <x v="1"/>
    <n v="4"/>
    <x v="0"/>
    <n v="7.07"/>
    <x v="1"/>
    <n v="9.0215999999999994"/>
    <n v="4.9465000000000003"/>
    <n v="54.829520262481168"/>
    <n v="30.035360678925034"/>
    <n v="1.0503274046872866"/>
    <n v="48.4"/>
    <n v="2.508"/>
    <n v="15.675000000000001"/>
    <n v="0.73699999999999999"/>
    <n v="1.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2"/>
    <s v="BC"/>
    <x v="1"/>
    <x v="0"/>
    <n v="1"/>
    <x v="0"/>
    <n v="7.09"/>
    <x v="1"/>
    <n v="11.807"/>
    <n v="5.2169999999999996"/>
    <n v="44.185652578978569"/>
    <n v="26.417489421720735"/>
    <n v="0.99990999706372585"/>
    <n v="48.2"/>
    <n v="2.214"/>
    <n v="13.837"/>
    <n v="0.68799999999999994"/>
    <n v="0.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6"/>
    <s v="BC"/>
    <x v="0"/>
    <x v="1"/>
    <n v="5"/>
    <x v="0"/>
    <n v="6.94"/>
    <x v="1"/>
    <n v="7.8813000000000004"/>
    <n v="4.9541000000000004"/>
    <n v="62.858919213835286"/>
    <n v="28.615273775216139"/>
    <n v="1.0302334385067009"/>
    <n v="47.89"/>
    <n v="1.3080000000000001"/>
    <n v="8.1769999999999996"/>
    <n v="0.91700000000000004"/>
    <n v="1.6659999999999999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0"/>
    <n v="1"/>
    <n v="2"/>
    <n v="0"/>
    <n v="0"/>
    <n v="0"/>
    <n v="1"/>
  </r>
  <r>
    <n v="648"/>
    <s v="BC"/>
    <x v="0"/>
    <x v="1"/>
    <n v="3"/>
    <x v="0"/>
    <n v="7.03"/>
    <x v="1"/>
    <n v="8.2789000000000001"/>
    <n v="5.5218999999999996"/>
    <n v="66.698474435009487"/>
    <n v="21.452347083926039"/>
    <n v="0.93461188241919224"/>
    <n v="47.91"/>
    <n v="2.1850000000000001"/>
    <n v="13.657999999999999"/>
    <n v="0.80600000000000005"/>
    <n v="1.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0"/>
    <n v="2"/>
    <n v="1"/>
    <n v="2"/>
    <n v="0"/>
    <n v="0"/>
    <n v="0"/>
    <n v="1"/>
  </r>
  <r>
    <n v="652"/>
    <s v="BC"/>
    <x v="1"/>
    <x v="1"/>
    <n v="5"/>
    <x v="0"/>
    <n v="7.01"/>
    <x v="1"/>
    <n v="10.2684"/>
    <n v="5.8518999999999997"/>
    <n v="56.989404386272447"/>
    <n v="16.520684736091301"/>
    <n v="0.87371848676955355"/>
    <n v="47.72"/>
    <n v="0.92800000000000005"/>
    <n v="5.8"/>
    <n v="0.94499999999999995"/>
    <n v="1.0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1"/>
    <n v="2"/>
    <n v="0"/>
    <n v="0"/>
    <n v="0"/>
    <n v="1"/>
  </r>
  <r>
    <n v="657"/>
    <s v="BC"/>
    <x v="0"/>
    <x v="1"/>
    <n v="2"/>
    <x v="0"/>
    <n v="6.95"/>
    <x v="1"/>
    <n v="11.879799999999999"/>
    <n v="5.9615999999999998"/>
    <n v="50.182663007794744"/>
    <n v="14.221582733812955"/>
    <n v="0.84654993871151385"/>
    <n v="47.83"/>
    <n v="0.85499999999999998"/>
    <n v="5.3440000000000003"/>
    <n v="1.099"/>
    <n v="0.81200000000000006"/>
    <n v="0"/>
    <n v="0"/>
    <n v="0"/>
    <n v="0"/>
    <n v="0"/>
    <n v="0"/>
    <n v="0"/>
    <n v="0"/>
    <n v="0"/>
    <n v="0"/>
    <n v="0"/>
    <n v="3"/>
    <n v="0"/>
    <n v="0"/>
    <n v="3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5"/>
    <n v="0"/>
    <n v="8"/>
    <n v="3"/>
    <n v="2"/>
    <n v="8"/>
    <n v="0"/>
    <n v="0"/>
    <n v="3"/>
    <n v="1"/>
  </r>
  <r>
    <n v="660"/>
    <s v="BC"/>
    <x v="0"/>
    <x v="1"/>
    <n v="2"/>
    <x v="0"/>
    <n v="7.09"/>
    <x v="1"/>
    <n v="11.943199999999999"/>
    <n v="5.7904"/>
    <n v="48.482818675061964"/>
    <n v="18.330042313117065"/>
    <n v="0.8956311472766405"/>
    <n v="47.92"/>
    <n v="0.75700000000000001"/>
    <n v="4.734"/>
    <n v="0.95699999999999996"/>
    <n v="0.916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1"/>
    <n v="1"/>
    <n v="2"/>
    <n v="0"/>
    <n v="0"/>
    <n v="0"/>
    <n v="1"/>
  </r>
  <r>
    <n v="9"/>
    <s v="HH"/>
    <x v="0"/>
    <x v="0"/>
    <n v="3"/>
    <x v="0"/>
    <n v="6.93"/>
    <x v="2"/>
    <n v="6.3006000000000002"/>
    <n v="5.4789000000000003"/>
    <n v="13.041615084277685"/>
    <n v="20.939393939393934"/>
    <n v="2.0267149315458979"/>
    <n v="48"/>
    <n v="1.175"/>
    <n v="7.3460000000000001"/>
    <n v="1.6950000000000001"/>
    <n v="1.8740000000000001"/>
    <n v="6"/>
    <n v="1"/>
    <n v="0"/>
    <n v="0"/>
    <n v="0"/>
    <n v="1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4"/>
    <n v="6"/>
    <n v="0"/>
    <n v="21"/>
    <n v="3"/>
    <n v="2"/>
    <n v="22"/>
    <n v="0"/>
    <n v="0"/>
    <n v="2"/>
    <n v="1"/>
  </r>
  <r>
    <n v="12"/>
    <s v="HH"/>
    <x v="1"/>
    <x v="0"/>
    <n v="2"/>
    <x v="0"/>
    <n v="6.99"/>
    <x v="2"/>
    <n v="6.5397999999999996"/>
    <n v="5.3394000000000004"/>
    <n v="18.355301385363457"/>
    <n v="23.613733905579394"/>
    <n v="2.0611267383650396"/>
    <n v="47.49"/>
    <n v="0.91"/>
    <n v="5.6870000000000003"/>
    <n v="2.6709999999999998"/>
    <n v="1.795999999999999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1"/>
    <s v="HH"/>
    <x v="0"/>
    <x v="0"/>
    <n v="2"/>
    <x v="0"/>
    <n v="6.9499999999999993"/>
    <x v="2"/>
    <n v="5.8028000000000004"/>
    <n v="5.0663999999999998"/>
    <n v="12.690425311918393"/>
    <n v="27.102158273381288"/>
    <n v="2.1078706225846724"/>
    <n v="47.51"/>
    <n v="1.246"/>
    <n v="7.7850000000000001"/>
    <n v="1.4330000000000001"/>
    <n v="1.10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7"/>
    <s v="HH"/>
    <x v="1"/>
    <x v="0"/>
    <n v="1"/>
    <x v="0"/>
    <n v="7.05"/>
    <x v="2"/>
    <n v="5.8532000000000002"/>
    <n v="5.1673999999999998"/>
    <n v="11.716667805644782"/>
    <n v="26.703546099290783"/>
    <n v="2.102417425383158"/>
    <n v="48.11"/>
    <n v="1.3069999999999999"/>
    <n v="8.1660000000000004"/>
    <n v="1.3380000000000001"/>
    <n v="1.2269999999999999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44"/>
    <s v="HH"/>
    <x v="1"/>
    <x v="0"/>
    <n v="5"/>
    <x v="0"/>
    <n v="7.06"/>
    <x v="2"/>
    <n v="6.0739999999999998"/>
    <n v="4.9717000000000002"/>
    <n v="18.14784326638129"/>
    <n v="29.579320113314438"/>
    <n v="2.1424426867973412"/>
    <n v="47.8"/>
    <n v="1.121"/>
    <n v="7.0039999999999996"/>
    <n v="1.262"/>
    <n v="1.157"/>
    <n v="1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0"/>
    <n v="9"/>
    <n v="0"/>
    <n v="1"/>
    <n v="9"/>
    <n v="0"/>
    <n v="0"/>
    <n v="0"/>
    <n v="1"/>
  </r>
  <r>
    <n v="46"/>
    <s v="HH"/>
    <x v="1"/>
    <x v="0"/>
    <n v="4"/>
    <x v="0"/>
    <n v="6.98"/>
    <x v="2"/>
    <n v="8.0637000000000008"/>
    <n v="5.2488000000000001"/>
    <n v="34.908292719223191"/>
    <n v="24.802292263610319"/>
    <n v="2.0768089069538056"/>
    <n v="44.99"/>
    <n v="1.1200000000000001"/>
    <n v="7"/>
    <n v="0.6989999999999999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49"/>
    <s v="HH"/>
    <x v="0"/>
    <x v="0"/>
    <n v="1"/>
    <x v="0"/>
    <n v="6.9300000000000006"/>
    <x v="2"/>
    <n v="6.0578000000000003"/>
    <n v="5.2534999999999998"/>
    <n v="13.277097296048076"/>
    <n v="24.191919191919201"/>
    <n v="2.0687247612831738"/>
    <n v="48.21"/>
    <n v="1.0609999999999999"/>
    <n v="6.63"/>
    <n v="1.8420000000000001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"/>
    <s v="HH"/>
    <x v="0"/>
    <x v="0"/>
    <n v="4"/>
    <x v="0"/>
    <n v="6.9500000000000011"/>
    <x v="2"/>
    <n v="5.8727"/>
    <n v="4.9980000000000002"/>
    <n v="14.894341614589537"/>
    <n v="28.086330935251809"/>
    <n v="2.1214632963919953"/>
    <n v="47.25"/>
    <n v="1.2070000000000001"/>
    <n v="7.5419999999999998"/>
    <n v="1.252"/>
    <n v="0.84599999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58"/>
    <s v="HH"/>
    <x v="0"/>
    <x v="0"/>
    <n v="5"/>
    <x v="0"/>
    <n v="7.0200000000000005"/>
    <x v="2"/>
    <n v="6.1505999999999998"/>
    <n v="5.2689000000000004"/>
    <n v="14.335186811042815"/>
    <n v="24.944444444444443"/>
    <n v="2.0787010751521122"/>
    <n v="47.3"/>
    <n v="1.034"/>
    <n v="6.4619999999999997"/>
    <n v="1.1519999999999999"/>
    <n v="0.968999999999999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122"/>
    <s v="HH"/>
    <x v="1"/>
    <x v="1"/>
    <n v="5"/>
    <x v="0"/>
    <n v="7.08"/>
    <x v="2"/>
    <n v="7.1124000000000001"/>
    <n v="5.3857999999999997"/>
    <n v="24.275912490861039"/>
    <n v="23.92937853107345"/>
    <n v="2.0652675165423124"/>
    <n v="48.4"/>
    <n v="1.0169999999999999"/>
    <n v="6.3540000000000001"/>
    <n v="0.56299999999999994"/>
    <n v="1.2150000000000001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0"/>
    <n v="8"/>
    <n v="1"/>
    <n v="2"/>
    <n v="9"/>
    <n v="0"/>
    <n v="0"/>
    <n v="0"/>
    <n v="1"/>
  </r>
  <r>
    <n v="128"/>
    <s v="HH"/>
    <x v="1"/>
    <x v="1"/>
    <n v="4"/>
    <x v="0"/>
    <n v="7.06"/>
    <x v="2"/>
    <n v="9.2081"/>
    <n v="5.8403"/>
    <n v="36.574320435268945"/>
    <n v="17.27620396600566"/>
    <n v="1.9814223553494426"/>
    <n v="39.340000000000003"/>
    <n v="1.1910000000000001"/>
    <n v="7.4420000000000002"/>
    <n v="0.51"/>
    <n v="0.51600000000000001"/>
    <n v="0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4"/>
    <n v="0"/>
    <n v="1"/>
    <n v="4"/>
    <n v="3"/>
    <n v="0"/>
    <n v="0"/>
    <n v="2"/>
  </r>
  <r>
    <n v="147"/>
    <s v="HH"/>
    <x v="0"/>
    <x v="1"/>
    <n v="3"/>
    <x v="0"/>
    <n v="6.99"/>
    <x v="2"/>
    <n v="6.2760999999999996"/>
    <n v="5.3148999999999997"/>
    <n v="15.315243542964579"/>
    <n v="23.964234620886987"/>
    <n v="2.0657258285323077"/>
    <n v="47.06"/>
    <n v="0.97499999999999998"/>
    <n v="6.0949999999999998"/>
    <n v="0.624"/>
    <n v="0.59399999999999997"/>
    <n v="0"/>
    <n v="0"/>
    <n v="0"/>
    <n v="0"/>
    <n v="0"/>
    <n v="0"/>
    <n v="0"/>
    <n v="0"/>
    <n v="0"/>
    <n v="1"/>
    <n v="0"/>
    <n v="1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4"/>
    <n v="5"/>
    <n v="0"/>
    <n v="12"/>
    <n v="2"/>
    <n v="2"/>
    <n v="11"/>
    <n v="0"/>
    <n v="0"/>
    <n v="3"/>
    <n v="1"/>
  </r>
  <r>
    <n v="149"/>
    <s v="HH"/>
    <x v="0"/>
    <x v="1"/>
    <n v="5"/>
    <x v="0"/>
    <n v="7.01"/>
    <x v="2"/>
    <n v="6.0053000000000001"/>
    <n v="5.1062000000000003"/>
    <n v="14.971774932143269"/>
    <n v="27.15834522111269"/>
    <n v="2.1086416826179835"/>
    <n v="47.25"/>
    <n v="1.008"/>
    <n v="6.298"/>
    <n v="0.58199999999999996"/>
    <n v="0.45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0"/>
    <s v="HH"/>
    <x v="1"/>
    <x v="1"/>
    <n v="3"/>
    <x v="0"/>
    <n v="7.04"/>
    <x v="2"/>
    <n v="6.4962"/>
    <n v="5.4965999999999999"/>
    <n v="15.387457282719128"/>
    <n v="21.923295454545453"/>
    <n v="2.0392379201309252"/>
    <n v="47.23"/>
    <n v="0.84"/>
    <n v="5.2510000000000003"/>
    <n v="0.64200000000000002"/>
    <n v="1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1"/>
  </r>
  <r>
    <n v="152"/>
    <s v="HH"/>
    <x v="0"/>
    <x v="1"/>
    <n v="2"/>
    <x v="0"/>
    <n v="7.02"/>
    <x v="2"/>
    <n v="6.1037999999999997"/>
    <n v="5.2537000000000003"/>
    <n v="13.927389495068637"/>
    <n v="25.160968660968653"/>
    <n v="2.0815900969855305"/>
    <n v="47.15"/>
    <n v="1.044"/>
    <n v="6.5220000000000002"/>
    <n v="0.625"/>
    <n v="0.73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4"/>
    <s v="HH"/>
    <x v="0"/>
    <x v="1"/>
    <n v="4"/>
    <x v="0"/>
    <n v="7.07"/>
    <x v="2"/>
    <n v="6.4123999999999999"/>
    <n v="5.5590999999999999"/>
    <n v="13.307030129124819"/>
    <n v="21.370579915134375"/>
    <n v="2.0321837244800864"/>
    <n v="48.31"/>
    <n v="0.70499999999999996"/>
    <n v="4.4039999999999999"/>
    <n v="1.2150000000000001"/>
    <n v="1.4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61"/>
    <s v="HH"/>
    <x v="1"/>
    <x v="1"/>
    <n v="1"/>
    <x v="0"/>
    <n v="7.07"/>
    <x v="2"/>
    <n v="6.9043999999999999"/>
    <n v="5.5198999999999998"/>
    <n v="20.052430334279592"/>
    <n v="21.925035360678933"/>
    <n v="2.0392602049536572"/>
    <n v="47.27"/>
    <n v="0.68300000000000005"/>
    <n v="4.2670000000000003"/>
    <n v="0.74099999999999999"/>
    <n v="0.76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"/>
    <n v="3"/>
    <n v="0"/>
    <n v="1"/>
    <n v="162"/>
    <n v="2"/>
    <n v="0"/>
    <n v="0"/>
    <n v="0"/>
    <n v="2"/>
    <n v="0"/>
  </r>
  <r>
    <n v="167"/>
    <s v="HH"/>
    <x v="0"/>
    <x v="1"/>
    <n v="1"/>
    <x v="0"/>
    <n v="6.99"/>
    <x v="2"/>
    <n v="6.0449000000000002"/>
    <n v="5.3064999999999998"/>
    <n v="12.215255835497699"/>
    <n v="24.084406294706728"/>
    <n v="2.0673075412540336"/>
    <n v="48.23"/>
    <n v="0.89200000000000002"/>
    <n v="5.5720000000000001"/>
    <n v="0.78900000000000003"/>
    <n v="0.742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"/>
  </r>
  <r>
    <n v="180"/>
    <s v="HH"/>
    <x v="1"/>
    <x v="1"/>
    <n v="2"/>
    <x v="0"/>
    <n v="7.06"/>
    <x v="2"/>
    <n v="6.9192"/>
    <n v="5.4637000000000002"/>
    <n v="21.035668863452418"/>
    <n v="22.610481586402258"/>
    <n v="2.048078304803667"/>
    <n v="47.38"/>
    <n v="0.94"/>
    <n v="5.8730000000000002"/>
    <n v="0.61699999999999999"/>
    <n v="0.59099999999999997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0"/>
    <n v="9"/>
    <n v="0"/>
    <n v="1"/>
    <n v="9"/>
    <n v="0"/>
    <n v="0"/>
    <n v="0"/>
    <n v="1"/>
  </r>
  <r>
    <n v="245"/>
    <s v="SB"/>
    <x v="1"/>
    <x v="0"/>
    <n v="5"/>
    <x v="0"/>
    <n v="6.9699999999999989"/>
    <x v="2"/>
    <n v="6.7293000000000003"/>
    <n v="5.2988"/>
    <n v="21.257783127516984"/>
    <n v="23.977044476327105"/>
    <n v="2.0658943141725179"/>
    <n v="47.2"/>
    <n v="1.4750000000000001"/>
    <n v="9.2189999999999994"/>
    <n v="0.98299999999999998"/>
    <n v="0.98799999999999999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4"/>
    <n v="4"/>
    <n v="0"/>
    <n v="2"/>
    <n v="2"/>
    <n v="2"/>
    <n v="2"/>
    <n v="0"/>
    <n v="0"/>
    <n v="2"/>
    <n v="1"/>
  </r>
  <r>
    <n v="248"/>
    <s v="SB"/>
    <x v="0"/>
    <x v="0"/>
    <n v="4"/>
    <x v="0"/>
    <n v="7.0799999999999992"/>
    <x v="2"/>
    <n v="6.7751000000000001"/>
    <n v="5.5092999999999996"/>
    <n v="18.683119068353239"/>
    <n v="22.185028248587564"/>
    <n v="2.0425958035816327"/>
    <n v="48.17"/>
    <n v="1.4770000000000001"/>
    <n v="9.2289999999999992"/>
    <n v="0.77900000000000003"/>
    <n v="0.681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55"/>
    <s v="SB"/>
    <x v="0"/>
    <x v="0"/>
    <n v="5"/>
    <x v="0"/>
    <n v="6.9499999999999993"/>
    <x v="2"/>
    <n v="6.7332000000000001"/>
    <n v="5.2293000000000003"/>
    <n v="22.335590803778288"/>
    <n v="24.758273381294952"/>
    <n v="2.0762237028979631"/>
    <n v="46.96"/>
    <n v="1.5629999999999999"/>
    <n v="9.7680000000000007"/>
    <n v="0.68799999999999994"/>
    <n v="0.68500000000000005"/>
    <n v="0"/>
    <n v="0"/>
    <n v="0"/>
    <n v="0"/>
    <n v="0"/>
    <n v="0"/>
    <n v="0"/>
    <n v="0"/>
    <n v="2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0"/>
    <n v="3"/>
    <n v="1"/>
    <n v="2"/>
    <n v="4"/>
    <n v="0"/>
    <n v="0"/>
    <n v="0"/>
    <n v="1"/>
  </r>
  <r>
    <n v="261"/>
    <s v="SB"/>
    <x v="0"/>
    <x v="0"/>
    <n v="3"/>
    <x v="0"/>
    <n v="6.97"/>
    <x v="2"/>
    <n v="6.5052000000000003"/>
    <n v="5.1692999999999998"/>
    <n v="20.535878989116409"/>
    <n v="25.835007173601149"/>
    <n v="2.0906374111654609"/>
    <n v="47.28"/>
    <n v="1.5629999999999999"/>
    <n v="9.7680000000000007"/>
    <n v="0.76800000000000002"/>
    <n v="0.82699999999999996"/>
    <n v="5"/>
    <n v="1"/>
    <n v="0"/>
    <n v="0"/>
    <n v="0"/>
    <n v="0"/>
    <n v="0"/>
    <n v="0"/>
    <n v="0"/>
    <n v="2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4"/>
    <n v="0"/>
    <n v="27"/>
    <n v="0"/>
    <n v="1"/>
    <n v="27"/>
    <n v="11"/>
    <n v="0"/>
    <n v="0"/>
    <n v="2"/>
  </r>
  <r>
    <n v="262"/>
    <s v="SB"/>
    <x v="1"/>
    <x v="0"/>
    <n v="4"/>
    <x v="0"/>
    <n v="7.0299999999999994"/>
    <x v="2"/>
    <n v="8.5045000000000002"/>
    <n v="5.3700999999999999"/>
    <n v="36.85578223293551"/>
    <n v="23.611664295874817"/>
    <n v="2.0610996447293126"/>
    <n v="48.68"/>
    <n v="1.5309999999999999"/>
    <n v="9.5679999999999996"/>
    <n v="0.80700000000000005"/>
    <n v="0.754"/>
    <n v="3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1"/>
    <n v="5"/>
    <n v="0"/>
    <n v="8"/>
    <n v="3"/>
    <n v="2"/>
    <n v="9"/>
    <n v="0"/>
    <n v="1"/>
    <n v="1"/>
    <n v="1"/>
  </r>
  <r>
    <n v="279"/>
    <s v="SB"/>
    <x v="1"/>
    <x v="0"/>
    <n v="3"/>
    <x v="0"/>
    <n v="6.9399999999999995"/>
    <x v="2"/>
    <n v="6.7671999999999999"/>
    <n v="5.2171000000000003"/>
    <n v="22.906076368365049"/>
    <n v="24.825648414985583"/>
    <n v="2.0771195517859433"/>
    <n v="48.64"/>
    <n v="1.36"/>
    <n v="8.5009999999999994"/>
    <n v="1.2629999999999999"/>
    <n v="1.4119999999999999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2"/>
    <n v="1"/>
    <n v="2"/>
    <n v="2"/>
    <n v="1"/>
    <n v="0"/>
    <n v="1"/>
    <n v="2"/>
  </r>
  <r>
    <n v="284"/>
    <s v="SB"/>
    <x v="0"/>
    <x v="0"/>
    <n v="2"/>
    <x v="0"/>
    <n v="6.99"/>
    <x v="2"/>
    <n v="6.3775000000000004"/>
    <n v="5.1409000000000002"/>
    <n v="19.390043120344963"/>
    <n v="26.453505007153073"/>
    <n v="2.0990118640581743"/>
    <n v="47.98"/>
    <n v="1.304"/>
    <n v="8.1530000000000005"/>
    <n v="1.1890000000000001"/>
    <n v="1.1419999999999999"/>
    <n v="4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0"/>
    <n v="10"/>
    <n v="1"/>
    <n v="2"/>
    <n v="11"/>
    <n v="0"/>
    <n v="0"/>
    <n v="0"/>
    <n v="1"/>
  </r>
  <r>
    <n v="286"/>
    <s v="SB"/>
    <x v="1"/>
    <x v="0"/>
    <n v="2"/>
    <x v="0"/>
    <n v="7.0100000000000007"/>
    <x v="2"/>
    <n v="6.2054"/>
    <n v="5.1162000000000001"/>
    <n v="17.55245431398459"/>
    <n v="27.015691868758925"/>
    <n v="2.1066851942806317"/>
    <n v="47.63"/>
    <n v="1.3859999999999999"/>
    <n v="8.6639999999999997"/>
    <n v="1.165"/>
    <n v="1.034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3"/>
    <n v="0"/>
    <n v="1"/>
    <n v="3"/>
    <n v="0"/>
    <n v="0"/>
    <n v="0"/>
    <n v="1"/>
  </r>
  <r>
    <n v="291"/>
    <s v="SB"/>
    <x v="1"/>
    <x v="0"/>
    <n v="1"/>
    <x v="0"/>
    <n v="7.0200000000000005"/>
    <x v="2"/>
    <n v="8.3793000000000006"/>
    <n v="4.2907000000000002"/>
    <n v="48.794052009117713"/>
    <n v="38.878917378917386"/>
    <n v="2.284072797473482"/>
    <n v="44.9"/>
    <n v="1.621"/>
    <n v="10.132999999999999"/>
    <n v="0.77600000000000002"/>
    <n v="0.189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9"/>
    <n v="6"/>
    <n v="0"/>
    <n v="3"/>
    <n v="6"/>
    <n v="2"/>
    <n v="8"/>
    <n v="0"/>
    <n v="0"/>
    <n v="1"/>
    <n v="1"/>
  </r>
  <r>
    <n v="293"/>
    <s v="SB"/>
    <x v="0"/>
    <x v="0"/>
    <n v="1"/>
    <x v="0"/>
    <n v="6.96"/>
    <x v="2"/>
    <n v="8.8411000000000008"/>
    <n v="5.1871"/>
    <n v="41.329698793136608"/>
    <n v="25.472701149425287"/>
    <n v="2.0857641694243094"/>
    <n v="47.43"/>
    <n v="1.4710000000000001"/>
    <n v="9.1940000000000008"/>
    <n v="1.3"/>
    <n v="0.92600000000000005"/>
    <n v="5"/>
    <n v="0"/>
    <n v="1"/>
    <n v="0"/>
    <n v="0"/>
    <n v="0"/>
    <n v="0"/>
    <n v="0"/>
    <n v="0"/>
    <n v="0"/>
    <n v="0"/>
    <n v="0"/>
    <n v="0"/>
    <n v="1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18"/>
    <n v="10"/>
    <n v="0"/>
    <n v="9"/>
    <n v="9"/>
    <n v="2"/>
    <n v="10"/>
    <n v="0"/>
    <n v="0"/>
    <n v="5"/>
    <n v="1"/>
  </r>
  <r>
    <n v="367"/>
    <s v="SB"/>
    <x v="1"/>
    <x v="1"/>
    <n v="5"/>
    <x v="0"/>
    <n v="7"/>
    <x v="2"/>
    <n v="6.5681000000000003"/>
    <n v="5.2135999999999996"/>
    <n v="20.622402216775029"/>
    <n v="25.520000000000003"/>
    <n v="2.0863990222473348"/>
    <n v="46.47"/>
    <n v="1.236"/>
    <n v="7.7240000000000002"/>
    <n v="0.48699999999999999"/>
    <n v="0.58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79"/>
    <s v="SB"/>
    <x v="0"/>
    <x v="1"/>
    <n v="2"/>
    <x v="0"/>
    <n v="7"/>
    <x v="2"/>
    <n v="6.7603"/>
    <n v="5.3318000000000003"/>
    <n v="21.130719050929688"/>
    <n v="23.831428571428567"/>
    <n v="2.0639807260477445"/>
    <n v="47.26"/>
    <n v="0.83399999999999996"/>
    <n v="5.2119999999999997"/>
    <n v="0.54200000000000004"/>
    <n v="0.75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0"/>
    <n v="1"/>
    <n v="3"/>
    <n v="0"/>
    <n v="0"/>
    <n v="0"/>
    <n v="1"/>
  </r>
  <r>
    <n v="382"/>
    <s v="SB"/>
    <x v="0"/>
    <x v="1"/>
    <n v="4"/>
    <x v="0"/>
    <n v="6.93"/>
    <x v="2"/>
    <n v="6.6277999999999997"/>
    <n v="5.1505999999999998"/>
    <n v="22.287938682519083"/>
    <n v="25.676767676767675"/>
    <n v="2.0885060696860167"/>
    <n v="47.49"/>
    <n v="1.306"/>
    <n v="8.1609999999999996"/>
    <n v="0.65100000000000002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0"/>
    <n v="0"/>
    <n v="9"/>
    <n v="1"/>
    <n v="0"/>
    <n v="0"/>
    <n v="0"/>
    <n v="0"/>
    <n v="0"/>
  </r>
  <r>
    <n v="383"/>
    <s v="SB"/>
    <x v="1"/>
    <x v="1"/>
    <n v="3"/>
    <x v="0"/>
    <n v="6.94"/>
    <x v="2"/>
    <n v="7.0574000000000003"/>
    <n v="5.4131999999999998"/>
    <n v="23.297531668886563"/>
    <n v="22.000000000000007"/>
    <n v="2.0402208285265546"/>
    <n v="45.82"/>
    <n v="1.0640000000000001"/>
    <n v="6.6470000000000002"/>
    <n v="0.58299999999999996"/>
    <n v="0.93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89"/>
    <s v="SB"/>
    <x v="0"/>
    <x v="1"/>
    <n v="1"/>
    <x v="0"/>
    <n v="7"/>
    <x v="2"/>
    <n v="6.8273999999999999"/>
    <n v="5.4301000000000004"/>
    <n v="20.466063215865475"/>
    <n v="22.427142857142851"/>
    <n v="2.0457120683008392"/>
    <n v="47.92"/>
    <n v="0.93400000000000005"/>
    <n v="5.8360000000000003"/>
    <n v="0.68500000000000005"/>
    <n v="0.87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2"/>
    <n v="0"/>
    <n v="3"/>
    <n v="1"/>
    <n v="2"/>
    <n v="3"/>
    <n v="0"/>
    <n v="0"/>
    <n v="1"/>
    <n v="1"/>
  </r>
  <r>
    <n v="399"/>
    <s v="SB"/>
    <x v="1"/>
    <x v="1"/>
    <n v="2"/>
    <x v="0"/>
    <n v="7.05"/>
    <x v="2"/>
    <n v="6.5617000000000001"/>
    <n v="5.4025999999999996"/>
    <n v="17.664629592940862"/>
    <n v="23.367375886524826"/>
    <n v="2.0579067668755378"/>
    <n v="47.3"/>
    <n v="1.0149999999999999"/>
    <n v="6.3419999999999996"/>
    <n v="0.438"/>
    <n v="0.662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01"/>
    <s v="SB"/>
    <x v="1"/>
    <x v="1"/>
    <n v="4"/>
    <x v="0"/>
    <n v="6.99"/>
    <x v="2"/>
    <n v="7.242"/>
    <n v="5.4127999999999998"/>
    <n v="25.258215962441316"/>
    <n v="22.563662374821178"/>
    <n v="2.0474735064294669"/>
    <n v="48.38"/>
    <n v="1.1120000000000001"/>
    <n v="6.9480000000000004"/>
    <n v="0.128"/>
    <n v="0.61399999999999999"/>
    <n v="2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3"/>
    <n v="0"/>
    <n v="11"/>
    <n v="10"/>
    <n v="2"/>
    <n v="11"/>
    <n v="0"/>
    <n v="0"/>
    <n v="0"/>
    <n v="1"/>
  </r>
  <r>
    <n v="402"/>
    <s v="SB"/>
    <x v="0"/>
    <x v="1"/>
    <n v="5"/>
    <x v="0"/>
    <n v="6.99"/>
    <x v="2"/>
    <n v="6.5936000000000003"/>
    <n v="5.4029999999999996"/>
    <n v="18.056903664159197"/>
    <n v="22.703862660944214"/>
    <n v="2.0492856706118454"/>
    <n v="45.71"/>
    <n v="0.89700000000000002"/>
    <n v="5.6070000000000002"/>
    <n v="0.63"/>
    <n v="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1"/>
    <n v="1"/>
    <n v="0"/>
    <n v="0"/>
    <n v="0"/>
    <n v="1"/>
    <n v="0"/>
  </r>
  <r>
    <n v="407"/>
    <s v="SB"/>
    <x v="0"/>
    <x v="1"/>
    <n v="3"/>
    <x v="0"/>
    <n v="6.99"/>
    <x v="2"/>
    <n v="6.8452999999999999"/>
    <n v="4.9939"/>
    <n v="27.046294537858088"/>
    <n v="28.556509298998574"/>
    <n v="2.1280228578455103"/>
    <n v="47.48"/>
    <n v="1.04"/>
    <n v="6.5"/>
    <n v="0.503"/>
    <n v="0.63900000000000001"/>
    <n v="2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n v="416"/>
    <s v="SB"/>
    <x v="1"/>
    <x v="1"/>
    <n v="1"/>
    <x v="0"/>
    <n v="6.94"/>
    <x v="2"/>
    <n v="8.6503999999999994"/>
    <n v="5.1176000000000004"/>
    <n v="40.839729954684167"/>
    <n v="26.259365994236312"/>
    <n v="2.0963756645929772"/>
    <n v="37.229999999999997"/>
    <n v="1.123"/>
    <n v="7.0190000000000001"/>
    <n v="0.42"/>
    <n v="0.49199999999999999"/>
    <n v="0"/>
    <n v="0"/>
    <n v="0"/>
    <n v="0"/>
    <n v="0"/>
    <n v="0"/>
    <n v="0"/>
    <n v="0"/>
    <n v="2"/>
    <n v="0"/>
    <n v="0"/>
    <n v="0"/>
    <n v="0"/>
    <n v="0"/>
    <n v="0"/>
    <n v="1"/>
    <n v="1"/>
    <n v="1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0"/>
    <n v="19"/>
    <n v="1"/>
    <n v="2"/>
    <n v="20"/>
    <n v="2"/>
    <n v="0"/>
    <n v="0"/>
    <n v="2"/>
  </r>
  <r>
    <n v="481"/>
    <s v="BC"/>
    <x v="0"/>
    <x v="0"/>
    <n v="4"/>
    <x v="0"/>
    <n v="7.08"/>
    <x v="2"/>
    <n v="6.5849000000000002"/>
    <n v="5.2034000000000002"/>
    <n v="79.020182538838853"/>
    <n v="26.505649717514125"/>
    <n v="2.0997211188567215"/>
    <n v="47.87"/>
    <n v="1.1870000000000001"/>
    <n v="7.4219999999999997"/>
    <n v="1.5549999999999999"/>
    <n v="1"/>
    <n v="1"/>
    <n v="0"/>
    <n v="0"/>
    <n v="0"/>
    <n v="0"/>
    <n v="1"/>
    <n v="1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1"/>
    <n v="6"/>
    <n v="0"/>
    <n v="9"/>
    <n v="2"/>
    <n v="2"/>
    <n v="9"/>
    <n v="0"/>
    <n v="0"/>
    <n v="2"/>
    <n v="1"/>
  </r>
  <r>
    <n v="486"/>
    <s v="BC"/>
    <x v="0"/>
    <x v="0"/>
    <n v="2"/>
    <x v="0"/>
    <n v="6.93"/>
    <x v="2"/>
    <n v="6.7054999999999998"/>
    <n v="5.2716000000000003"/>
    <n v="78.616061442099777"/>
    <n v="23.930735930735924"/>
    <n v="2.0652853606422696"/>
    <n v="47.76"/>
    <n v="1.0269999999999999"/>
    <n v="6.42"/>
    <n v="1.96"/>
    <n v="1.3159999999999998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4"/>
    <n v="0"/>
    <n v="3"/>
    <n v="13"/>
    <n v="2"/>
    <n v="5"/>
    <n v="0"/>
    <n v="0"/>
    <n v="0"/>
    <n v="1"/>
  </r>
  <r>
    <n v="499"/>
    <s v="BC"/>
    <x v="1"/>
    <x v="0"/>
    <n v="2"/>
    <x v="0"/>
    <n v="7.03"/>
    <x v="2"/>
    <n v="7.0556000000000001"/>
    <n v="5.2076000000000002"/>
    <n v="73.808039004478715"/>
    <n v="25.923186344238974"/>
    <n v="2.0918270780095236"/>
    <n v="46.83"/>
    <n v="1.218"/>
    <n v="7.6120000000000001"/>
    <n v="1.35"/>
    <n v="0.93700000000000006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505"/>
    <s v="BC"/>
    <x v="0"/>
    <x v="0"/>
    <n v="1"/>
    <x v="0"/>
    <n v="6.94"/>
    <x v="2"/>
    <n v="6.3943000000000003"/>
    <n v="5.0671999999999997"/>
    <n v="79.245578092989049"/>
    <n v="26.98559077809799"/>
    <n v="2.1062728469445298"/>
    <n v="48.29"/>
    <n v="1.012"/>
    <n v="6.3250000000000002"/>
    <n v="0.999"/>
    <n v="0.703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2"/>
    <n v="1"/>
    <n v="1"/>
    <n v="0"/>
    <n v="0"/>
    <n v="0"/>
    <n v="1"/>
  </r>
  <r>
    <n v="515"/>
    <s v="BC"/>
    <x v="0"/>
    <x v="0"/>
    <n v="4"/>
    <x v="0"/>
    <n v="7.06"/>
    <x v="2"/>
    <n v="6.8550000000000004"/>
    <n v="5.2728999999999999"/>
    <n v="76.920495988329691"/>
    <n v="25.313031161473088"/>
    <n v="2.0836240249010189"/>
    <n v="48.62"/>
    <n v="0.89700000000000002"/>
    <n v="5.6079999999999997"/>
    <n v="1.661"/>
    <n v="1.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25"/>
    <s v="BC"/>
    <x v="1"/>
    <x v="0"/>
    <n v="3"/>
    <x v="0"/>
    <n v="6.99"/>
    <x v="2"/>
    <n v="6.7930000000000001"/>
    <n v="5.3324999999999996"/>
    <n v="78.499926394818189"/>
    <n v="23.712446351931337"/>
    <n v="2.0624198541104053"/>
    <n v="47.33"/>
    <n v="0.93899999999999995"/>
    <n v="5.8710000000000004"/>
    <n v="2.3639999999999999"/>
    <n v="2.0950000000000002"/>
    <n v="11"/>
    <n v="0"/>
    <n v="0"/>
    <n v="0"/>
    <n v="26"/>
    <n v="0"/>
    <n v="0"/>
    <n v="0"/>
    <n v="0"/>
    <n v="30"/>
    <n v="0"/>
    <n v="0"/>
    <n v="0"/>
    <n v="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"/>
    <n v="5"/>
    <n v="0"/>
    <n v="74"/>
    <n v="0"/>
    <n v="1"/>
    <n v="74"/>
    <n v="0"/>
    <n v="0"/>
    <n v="0"/>
    <n v="1"/>
  </r>
  <r>
    <n v="527"/>
    <s v="BC"/>
    <x v="0"/>
    <x v="0"/>
    <n v="3"/>
    <x v="0"/>
    <n v="7.03"/>
    <x v="2"/>
    <n v="6.6094999999999997"/>
    <n v="5.4108000000000001"/>
    <n v="81.863983659883516"/>
    <n v="23.032716927453773"/>
    <n v="2.0535492188177269"/>
    <n v="48.28"/>
    <n v="1.044"/>
    <n v="6.5250000000000004"/>
    <n v="1.4690000000000001"/>
    <n v="1.5589999999999999"/>
    <n v="0"/>
    <n v="2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4"/>
    <n v="0"/>
    <n v="6"/>
    <n v="1"/>
    <n v="2"/>
    <n v="7"/>
    <n v="0"/>
    <n v="0"/>
    <n v="0"/>
    <n v="1"/>
  </r>
  <r>
    <n v="537"/>
    <s v="BC"/>
    <x v="1"/>
    <x v="0"/>
    <n v="5"/>
    <x v="0"/>
    <n v="6.98"/>
    <x v="2"/>
    <n v="7.1326999999999998"/>
    <n v="5.4664999999999999"/>
    <n v="76.639982054481465"/>
    <n v="21.683381088825222"/>
    <n v="2.0361698281099336"/>
    <n v="48.69"/>
    <n v="1.0189999999999999"/>
    <n v="6.3710000000000004"/>
    <n v="1.911"/>
    <n v="1.556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0"/>
    <n v="3"/>
    <n v="1"/>
    <n v="3"/>
    <n v="0"/>
    <n v="0"/>
    <n v="0"/>
    <n v="1"/>
  </r>
  <r>
    <n v="540"/>
    <s v="BC"/>
    <x v="0"/>
    <x v="0"/>
    <n v="5"/>
    <x v="0"/>
    <n v="6.96"/>
    <x v="2"/>
    <n v="6.5110000000000001"/>
    <n v="5.3838999999999997"/>
    <n v="82.689295039164492"/>
    <n v="22.645114942528739"/>
    <n v="2.04852592495571"/>
    <n v="47.5"/>
    <n v="1.216"/>
    <n v="7.601"/>
    <n v="1.732"/>
    <n v="1.641999999999999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0"/>
    <n v="4"/>
    <n v="0"/>
    <n v="1"/>
    <n v="4"/>
    <n v="0"/>
    <n v="0"/>
    <n v="0"/>
    <n v="1"/>
  </r>
  <r>
    <n v="610"/>
    <s v="BC"/>
    <x v="1"/>
    <x v="1"/>
    <n v="1"/>
    <x v="0"/>
    <n v="7.06"/>
    <x v="2"/>
    <n v="5.9260000000000002"/>
    <n v="3.9558"/>
    <n v="66.753290583867695"/>
    <n v="43.96883852691218"/>
    <n v="2.3710216643680337"/>
    <n v="49.47"/>
    <n v="2.6160000000000001"/>
    <n v="16.352"/>
    <n v="0.39"/>
    <n v="7.2999999999999995E-2"/>
    <n v="6"/>
    <n v="1"/>
    <n v="0"/>
    <n v="0"/>
    <n v="0"/>
    <n v="0"/>
    <n v="0"/>
    <n v="0"/>
    <n v="5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38"/>
    <n v="6"/>
    <n v="0"/>
    <n v="35"/>
    <n v="3"/>
    <n v="2"/>
    <n v="38"/>
    <n v="0"/>
    <n v="0"/>
    <n v="0"/>
    <n v="1"/>
  </r>
  <r>
    <n v="612"/>
    <s v="BC"/>
    <x v="1"/>
    <x v="1"/>
    <n v="1"/>
    <x v="0"/>
    <n v="7.04"/>
    <x v="2"/>
    <n v="6.8170999999999999"/>
    <n v="5.1193"/>
    <n v="75.094981737102287"/>
    <n v="27.282670454545453"/>
    <n v="2.1103499284434499"/>
    <n v="48.18"/>
    <n v="1.2370000000000001"/>
    <n v="7.7329999999999997"/>
    <n v="0.76200000000000001"/>
    <n v="0.75800000000000001"/>
    <n v="5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0"/>
    <n v="9"/>
    <n v="0"/>
    <n v="1"/>
    <n v="9"/>
    <n v="0"/>
    <n v="0"/>
    <n v="0"/>
    <n v="1"/>
  </r>
  <r>
    <n v="617"/>
    <s v="BC"/>
    <x v="0"/>
    <x v="1"/>
    <n v="1"/>
    <x v="0"/>
    <n v="7.08"/>
    <x v="2"/>
    <n v="6.1618000000000004"/>
    <n v="4.9916"/>
    <n v="81.008796131000679"/>
    <n v="29.497175141242938"/>
    <n v="2.1412768772821211"/>
    <n v="47.14"/>
    <n v="1.0960000000000001"/>
    <n v="6.8529999999999998"/>
    <n v="0.79700000000000004"/>
    <n v="0.80900000000000005"/>
    <n v="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632"/>
    <s v="BC"/>
    <x v="1"/>
    <x v="1"/>
    <n v="5"/>
    <x v="0"/>
    <n v="6.94"/>
    <x v="2"/>
    <n v="5.9766000000000004"/>
    <n v="4.84"/>
    <n v="80.982498410467485"/>
    <n v="30.259365994236315"/>
    <n v="2.152146523018228"/>
    <n v="47.8"/>
    <n v="1.3149999999999999"/>
    <n v="8.2159999999999993"/>
    <n v="0.70199999999999996"/>
    <n v="0.9580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n v="636"/>
    <s v="BC"/>
    <x v="0"/>
    <x v="1"/>
    <n v="5"/>
    <x v="0"/>
    <n v="6.94"/>
    <x v="2"/>
    <n v="6.1247999999999996"/>
    <n v="4.9508000000000001"/>
    <n v="80.832027168234063"/>
    <n v="28.662824207492797"/>
    <n v="2.1295120640630381"/>
    <n v="47.51"/>
    <n v="1.498"/>
    <n v="9.3640000000000008"/>
    <n v="0.68400000000000005"/>
    <n v="0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3"/>
    <n v="1"/>
    <n v="3"/>
    <n v="0"/>
    <n v="0"/>
    <n v="0"/>
    <n v="1"/>
  </r>
  <r>
    <n v="638"/>
    <s v="BC"/>
    <x v="0"/>
    <x v="1"/>
    <n v="3"/>
    <x v="0"/>
    <n v="6.99"/>
    <x v="2"/>
    <n v="6.2432999999999996"/>
    <n v="4.7854999999999999"/>
    <n v="76.650168981147786"/>
    <n v="31.537911301859804"/>
    <n v="2.1706495128199497"/>
    <n v="46.95"/>
    <n v="1.764"/>
    <n v="11.026"/>
    <n v="0.56100000000000005"/>
    <n v="0.437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40"/>
    <s v="BC"/>
    <x v="1"/>
    <x v="1"/>
    <n v="3"/>
    <x v="0"/>
    <n v="6.92"/>
    <x v="2"/>
    <n v="6.6172000000000004"/>
    <n v="4.5377999999999998"/>
    <n v="68.575832678474271"/>
    <n v="34.424855491329481"/>
    <n v="2.2137329257497314"/>
    <n v="46.9"/>
    <n v="1.9910000000000001"/>
    <n v="12.444000000000001"/>
    <n v="0.624"/>
    <n v="0.41499999999999998"/>
    <n v="0"/>
    <n v="0"/>
    <n v="0"/>
    <n v="0"/>
    <n v="19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29"/>
    <n v="6"/>
    <n v="0"/>
    <n v="26"/>
    <n v="3"/>
    <n v="2"/>
    <n v="26"/>
    <n v="0"/>
    <n v="1"/>
    <n v="2"/>
    <n v="1"/>
  </r>
  <r>
    <n v="653"/>
    <s v="BC"/>
    <x v="0"/>
    <x v="1"/>
    <n v="2"/>
    <x v="0"/>
    <n v="6.96"/>
    <x v="2"/>
    <n v="6.3874000000000004"/>
    <n v="5.1336000000000004"/>
    <n v="80.3707298744403"/>
    <n v="26.241379310344819"/>
    <n v="2.096131776120215"/>
    <n v="47.73"/>
    <n v="0.96799999999999997"/>
    <n v="6.0529999999999999"/>
    <n v="0.755"/>
    <n v="1.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  <n v="3"/>
    <n v="0"/>
    <n v="0"/>
    <n v="3"/>
    <n v="1"/>
    <n v="2"/>
    <n v="0"/>
    <n v="0"/>
    <n v="1"/>
    <n v="1"/>
  </r>
  <r>
    <n v="656"/>
    <s v="BC"/>
    <x v="1"/>
    <x v="1"/>
    <n v="2"/>
    <x v="0"/>
    <n v="7.09"/>
    <x v="2"/>
    <n v="6.9672000000000001"/>
    <n v="5.6102999999999996"/>
    <n v="80.524457457802271"/>
    <n v="20.870239774330045"/>
    <n v="2.0258406157314441"/>
    <n v="43.66"/>
    <n v="0.83899999999999997"/>
    <n v="5.242"/>
    <n v="0.53100000000000003"/>
    <n v="0.80400000000000005"/>
    <n v="6"/>
    <n v="0"/>
    <n v="0"/>
    <n v="0"/>
    <n v="0"/>
    <n v="0"/>
    <n v="1"/>
    <n v="0"/>
    <n v="0"/>
    <n v="3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5"/>
    <n v="0"/>
    <n v="40"/>
    <n v="2"/>
    <n v="2"/>
    <n v="40"/>
    <n v="0"/>
    <n v="0"/>
    <n v="0"/>
    <n v="1"/>
  </r>
  <r>
    <n v="658"/>
    <s v="BC"/>
    <x v="1"/>
    <x v="1"/>
    <n v="4"/>
    <x v="0"/>
    <n v="6.94"/>
    <x v="2"/>
    <n v="6.2596999999999996"/>
    <n v="4.9962999999999997"/>
    <n v="79.816924133744422"/>
    <n v="28.007204610951014"/>
    <n v="2.1203636052478174"/>
    <n v="47.63"/>
    <n v="1.0369999999999999"/>
    <n v="6.4779999999999998"/>
    <n v="0.64700000000000002"/>
    <n v="0.8209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0"/>
    <n v="1"/>
  </r>
  <r>
    <s v="?"/>
    <s v="HH"/>
    <x v="1"/>
    <x v="0"/>
    <n v="3"/>
    <x v="0"/>
    <n v="7"/>
    <x v="2"/>
    <n v="6.7169999999999996"/>
    <n v="5.3750999999999998"/>
    <n v="19.977668602054489"/>
    <n v="23.212857142857146"/>
    <n v="2.0558924397915437"/>
    <n v="46.37"/>
    <n v="1.169"/>
    <n v="7.3040000000000003"/>
    <n v="1.4470000000000001"/>
    <n v="1.08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1"/>
    <n v="0"/>
    <n v="0"/>
    <n v="0"/>
    <n v="1"/>
    <n v="0"/>
  </r>
  <r>
    <n v="11"/>
    <s v="HH"/>
    <x v="0"/>
    <x v="0"/>
    <n v="3"/>
    <x v="0"/>
    <n v="7.07"/>
    <x v="3"/>
    <n v="13.567399999999999"/>
    <n v="3.5796999999999999"/>
    <n v="73.615431106918066"/>
    <n v="49.367751060820368"/>
    <n v="3.1654881316778769"/>
    <n v="47.02"/>
    <n v="1.548"/>
    <n v="9.6739999999999995"/>
    <n v="0.73"/>
    <n v="0.45086999999999999"/>
    <n v="2"/>
    <n v="2"/>
    <n v="0"/>
    <n v="0"/>
    <n v="0"/>
    <n v="0"/>
    <n v="0"/>
    <n v="1"/>
    <n v="0"/>
    <n v="0"/>
    <n v="0"/>
    <n v="0"/>
    <n v="0"/>
    <n v="0"/>
    <n v="6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"/>
    <n v="0"/>
    <n v="13"/>
    <n v="0"/>
    <n v="1"/>
    <n v="13"/>
    <n v="0"/>
    <n v="0"/>
    <n v="0"/>
    <n v="1"/>
  </r>
  <r>
    <n v="18"/>
    <s v="HH"/>
    <x v="1"/>
    <x v="0"/>
    <n v="2"/>
    <x v="0"/>
    <n v="7"/>
    <x v="3"/>
    <n v="19.3688"/>
    <n v="3.8382000000000001"/>
    <n v="80.183594234025861"/>
    <n v="45.168571428571433"/>
    <n v="3.0858132921413035"/>
    <n v="47.66"/>
    <n v="1.655"/>
    <n v="10.342000000000001"/>
    <n v="0.71499999999999997"/>
    <n v="0.67800000000000005"/>
    <n v="0"/>
    <n v="0"/>
    <n v="0"/>
    <n v="0"/>
    <n v="0"/>
    <n v="0"/>
    <n v="0"/>
    <n v="0"/>
    <n v="0"/>
    <n v="2"/>
    <n v="0"/>
    <n v="1"/>
    <n v="0"/>
    <n v="0"/>
    <n v="1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0"/>
    <n v="7"/>
    <n v="0"/>
    <n v="1"/>
    <n v="6"/>
    <n v="0"/>
    <n v="0"/>
    <n v="1"/>
    <n v="1"/>
  </r>
  <r>
    <n v="24"/>
    <s v="HH"/>
    <x v="1"/>
    <x v="0"/>
    <n v="1"/>
    <x v="0"/>
    <n v="7.0499999999999989"/>
    <x v="3"/>
    <n v="15.951599999999999"/>
    <n v="2.6318000000000001"/>
    <n v="83.501341558213596"/>
    <n v="62.669503546099278"/>
    <n v="3.4702662438782741"/>
    <n v="44.89"/>
    <n v="1.484"/>
    <n v="9.2750000000000004"/>
    <n v="0.35799999999999998"/>
    <n v="2.5869999999999997E-2"/>
    <n v="2"/>
    <n v="0"/>
    <n v="0"/>
    <n v="1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0"/>
    <n v="4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6"/>
    <n v="3"/>
    <n v="10"/>
    <n v="0"/>
    <n v="2"/>
    <n v="13"/>
    <n v="0"/>
    <n v="0"/>
    <n v="0"/>
    <n v="1"/>
  </r>
  <r>
    <n v="29"/>
    <s v="HH"/>
    <x v="0"/>
    <x v="0"/>
    <n v="2"/>
    <x v="0"/>
    <n v="6.84"/>
    <x v="3"/>
    <n v="13.091100000000001"/>
    <n v="3.4125000000000001"/>
    <n v="73.932671815202696"/>
    <n v="50.109649122807021"/>
    <n v="3.1802492209113811"/>
    <n v="46.53"/>
    <n v="1.6339999999999999"/>
    <n v="10.211"/>
    <n v="0.69899999999999995"/>
    <n v="0.26186999999999999"/>
    <n v="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0"/>
    <n v="6"/>
    <n v="0"/>
    <n v="1"/>
    <n v="6"/>
    <n v="0"/>
    <n v="0"/>
    <n v="0"/>
    <n v="1"/>
  </r>
  <r>
    <n v="31"/>
    <s v="HH"/>
    <x v="0"/>
    <x v="0"/>
    <n v="4"/>
    <x v="0"/>
    <n v="7.05"/>
    <x v="3"/>
    <n v="17.513200000000001"/>
    <n v="3.3472"/>
    <n v="80.88755909828015"/>
    <n v="52.521985815602832"/>
    <n v="3.2298100911637655"/>
    <n v="46.32"/>
    <n v="1.7509999999999999"/>
    <n v="10.941000000000001"/>
    <n v="0.46400000000000002"/>
    <n v="0.38200000000000001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"/>
    <n v="0"/>
    <n v="16"/>
    <n v="0"/>
    <n v="1"/>
    <n v="16"/>
    <n v="0"/>
    <n v="0"/>
    <n v="0"/>
    <n v="1"/>
  </r>
  <r>
    <n v="45"/>
    <s v="HH"/>
    <x v="1"/>
    <x v="0"/>
    <n v="5"/>
    <x v="0"/>
    <n v="7.12"/>
    <x v="3"/>
    <n v="23.743300000000001"/>
    <n v="1.5018"/>
    <n v="93.67484722005787"/>
    <n v="78.907303370786522"/>
    <n v="4.0411499865282385"/>
    <n v="36.51"/>
    <n v="1.5880000000000001"/>
    <n v="9.9280000000000008"/>
    <n v="0.46700000000000003"/>
    <n v="0.341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9"/>
    <s v="HH"/>
    <x v="0"/>
    <x v="0"/>
    <n v="5"/>
    <x v="0"/>
    <n v="6.97"/>
    <x v="3"/>
    <n v="17.6935"/>
    <n v="2.2808999999999999"/>
    <n v="87.108825274818443"/>
    <n v="67.275466284074597"/>
    <n v="3.6019517726400694"/>
    <n v="46.75"/>
    <n v="1.694"/>
    <n v="10.586"/>
    <n v="0.316"/>
    <n v="3.8870000000000002E-2"/>
    <n v="1"/>
    <n v="0"/>
    <n v="0"/>
    <n v="1"/>
    <n v="4"/>
    <n v="1"/>
    <n v="0"/>
    <n v="0"/>
    <n v="0"/>
    <n v="4"/>
    <n v="0"/>
    <n v="0"/>
    <n v="0"/>
    <n v="0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7"/>
    <n v="0"/>
    <n v="17"/>
    <n v="0"/>
    <n v="1"/>
    <n v="17"/>
    <n v="0"/>
    <n v="0"/>
    <n v="0"/>
    <n v="1"/>
  </r>
  <r>
    <n v="60"/>
    <s v="HH"/>
    <x v="0"/>
    <x v="0"/>
    <n v="1"/>
    <x v="0"/>
    <n v="6.97"/>
    <x v="3"/>
    <n v="19.230599999999999"/>
    <n v="3.5104000000000002"/>
    <n v="81.745759362682392"/>
    <n v="49.63558106169296"/>
    <n v="3.1707918834616589"/>
    <n v="46.1"/>
    <n v="1.5329999999999999"/>
    <n v="9.5809999999999995"/>
    <n v="0.58699999999999997"/>
    <n v="0.25900000000000001"/>
    <n v="7"/>
    <n v="3"/>
    <n v="0"/>
    <n v="0"/>
    <n v="0"/>
    <n v="1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5"/>
    <n v="6"/>
    <n v="38"/>
    <n v="0"/>
    <n v="2"/>
    <n v="44"/>
    <n v="0"/>
    <n v="0"/>
    <n v="0"/>
    <n v="1"/>
  </r>
  <r>
    <n v="123"/>
    <s v="HH"/>
    <x v="1"/>
    <x v="1"/>
    <n v="4"/>
    <x v="0"/>
    <n v="7.08"/>
    <x v="3"/>
    <n v="16.367599999999999"/>
    <n v="3.4882"/>
    <n v="78.688384369119476"/>
    <n v="50.731638418079093"/>
    <n v="3.1927947136411978"/>
    <n v="46.41"/>
    <n v="1.514"/>
    <n v="9.4619999999999997"/>
    <n v="0.39300000000000002"/>
    <n v="0.29100000000000004"/>
    <n v="0"/>
    <n v="2"/>
    <n v="0"/>
    <n v="1"/>
    <n v="0"/>
    <n v="0"/>
    <n v="1"/>
    <n v="0"/>
    <n v="2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1"/>
    <n v="6"/>
    <n v="0"/>
    <n v="20"/>
    <n v="1"/>
    <n v="2"/>
    <n v="20"/>
    <n v="0"/>
    <n v="0"/>
    <n v="1"/>
    <n v="1"/>
  </r>
  <r>
    <n v="124"/>
    <s v="HH"/>
    <x v="0"/>
    <x v="1"/>
    <n v="4"/>
    <x v="0"/>
    <n v="7.01"/>
    <x v="3"/>
    <n v="16.9072"/>
    <n v="3.6884000000000001"/>
    <n v="78.184442131163053"/>
    <n v="47.383737517831662"/>
    <n v="3.1270515911516497"/>
    <n v="49"/>
    <n v="1.395"/>
    <n v="8.7210000000000001"/>
    <n v="0.377"/>
    <n v="0.36099999999999999"/>
    <n v="5"/>
    <n v="1"/>
    <n v="0"/>
    <n v="1"/>
    <n v="0"/>
    <n v="0"/>
    <n v="0"/>
    <n v="0"/>
    <n v="0"/>
    <n v="1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5"/>
    <n v="0"/>
    <n v="28"/>
    <n v="0"/>
    <n v="1"/>
    <n v="28"/>
    <n v="0"/>
    <n v="0"/>
    <n v="0"/>
    <n v="1"/>
  </r>
  <r>
    <n v="130"/>
    <s v="HH"/>
    <x v="1"/>
    <x v="1"/>
    <n v="5"/>
    <x v="0"/>
    <n v="7.01"/>
    <x v="3"/>
    <n v="9.8849"/>
    <n v="1.2487999999999999"/>
    <n v="87.366589444506275"/>
    <n v="82.185449358059913"/>
    <n v="4.2100612606154142"/>
    <n v="40.81"/>
    <n v="1.774"/>
    <n v="11.087"/>
    <n v="0.39200000000000002"/>
    <n v="0.8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1"/>
    <n v="2"/>
    <n v="2"/>
    <n v="0"/>
    <n v="0"/>
    <n v="0"/>
    <n v="1"/>
  </r>
  <r>
    <n v="133"/>
    <s v="HH"/>
    <x v="0"/>
    <x v="1"/>
    <n v="5"/>
    <x v="0"/>
    <n v="7.06"/>
    <x v="3"/>
    <n v="22.1922"/>
    <n v="3.6634000000000002"/>
    <n v="83.492398230008746"/>
    <n v="48.110481586402258"/>
    <n v="3.1409600233491717"/>
    <n v="48.78"/>
    <n v="0.86799999999999999"/>
    <n v="5.4279999999999999"/>
    <n v="0.39700000000000002"/>
    <n v="5.1869999999999999E-2"/>
    <n v="2"/>
    <n v="1"/>
    <n v="0"/>
    <n v="0"/>
    <n v="0"/>
    <n v="1"/>
    <n v="0"/>
    <n v="0"/>
    <n v="0"/>
    <n v="13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5"/>
    <n v="0"/>
    <n v="20"/>
    <n v="0"/>
    <n v="1"/>
    <n v="20"/>
    <n v="0"/>
    <n v="0"/>
    <n v="0"/>
    <n v="1"/>
  </r>
  <r>
    <n v="143"/>
    <s v="HH"/>
    <x v="1"/>
    <x v="1"/>
    <n v="3"/>
    <x v="0"/>
    <n v="6.98"/>
    <x v="3"/>
    <n v="16.150500000000001"/>
    <n v="3.3746999999999998"/>
    <n v="79.104671681991263"/>
    <n v="51.651862464183381"/>
    <n v="3.2116491350775287"/>
    <n v="44.68"/>
    <n v="1.548"/>
    <n v="9.6750000000000007"/>
    <n v="0.33600000000000002"/>
    <n v="0.30199999999999999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1"/>
    <n v="4"/>
    <n v="0"/>
    <n v="2"/>
    <n v="5"/>
    <n v="0"/>
    <n v="0"/>
    <n v="0"/>
    <n v="1"/>
  </r>
  <r>
    <n v="153"/>
    <s v="HH"/>
    <x v="0"/>
    <x v="1"/>
    <n v="2"/>
    <x v="0"/>
    <n v="6.98"/>
    <x v="3"/>
    <n v="18.575199999999999"/>
    <n v="3.7075"/>
    <n v="80.040591756750928"/>
    <n v="46.883954154727796"/>
    <n v="3.1175977715323313"/>
    <n v="45.72"/>
    <n v="1.6060000000000001"/>
    <n v="10.038"/>
    <n v="0.35699999999999998"/>
    <n v="0.36399999999999999"/>
    <n v="2"/>
    <n v="1"/>
    <n v="0"/>
    <n v="0"/>
    <n v="0"/>
    <n v="1"/>
    <n v="0"/>
    <n v="0"/>
    <n v="0"/>
    <n v="0"/>
    <n v="0"/>
    <n v="0"/>
    <n v="0"/>
    <n v="0"/>
    <n v="23"/>
    <n v="0"/>
    <n v="0"/>
    <n v="0"/>
    <n v="0"/>
    <n v="0"/>
    <n v="0"/>
    <n v="0"/>
    <n v="0"/>
    <n v="0"/>
    <n v="1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6"/>
    <n v="5"/>
    <n v="28"/>
    <n v="0"/>
    <n v="2"/>
    <n v="33"/>
    <n v="0"/>
    <n v="0"/>
    <n v="0"/>
    <n v="1"/>
  </r>
  <r>
    <n v="166"/>
    <s v="HH"/>
    <x v="0"/>
    <x v="1"/>
    <n v="1"/>
    <x v="0"/>
    <n v="6.97"/>
    <x v="3"/>
    <n v="17.677900000000001"/>
    <n v="3.6364999999999998"/>
    <n v="79.429117711945423"/>
    <n v="47.826398852223818"/>
    <n v="3.1355001939479745"/>
    <n v="44.39"/>
    <n v="1.3879999999999999"/>
    <n v="8.673"/>
    <n v="0.317"/>
    <n v="0.29186999999999996"/>
    <n v="6"/>
    <n v="1"/>
    <n v="0"/>
    <n v="0"/>
    <n v="0"/>
    <n v="1"/>
    <n v="0"/>
    <n v="0"/>
    <n v="0"/>
    <n v="2"/>
    <n v="0"/>
    <n v="0"/>
    <n v="0"/>
    <n v="0"/>
    <n v="19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6"/>
    <n v="7"/>
    <n v="29"/>
    <n v="0"/>
    <n v="2"/>
    <n v="36"/>
    <n v="0"/>
    <n v="0"/>
    <n v="0"/>
    <n v="1"/>
  </r>
  <r>
    <n v="168"/>
    <s v="HH"/>
    <x v="1"/>
    <x v="1"/>
    <n v="1"/>
    <x v="0"/>
    <n v="7"/>
    <x v="3"/>
    <n v="17.553999999999998"/>
    <n v="2.9552"/>
    <n v="83.165090577646112"/>
    <n v="57.782857142857146"/>
    <n v="3.3472504683804751"/>
    <n v="45.85"/>
    <n v="1.288"/>
    <n v="8.048"/>
    <n v="0.36799999999999999"/>
    <n v="0.38"/>
    <n v="3"/>
    <n v="1"/>
    <n v="0"/>
    <n v="1"/>
    <n v="0"/>
    <n v="0"/>
    <n v="0"/>
    <n v="0"/>
    <n v="2"/>
    <n v="0"/>
    <n v="0"/>
    <n v="0"/>
    <n v="0"/>
    <n v="0"/>
    <n v="3"/>
    <n v="1"/>
    <n v="0"/>
    <n v="3"/>
    <n v="0"/>
    <n v="0"/>
    <n v="0"/>
    <n v="0"/>
    <n v="0"/>
    <n v="0"/>
    <n v="1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9"/>
    <n v="10"/>
    <n v="15"/>
    <n v="0"/>
    <n v="2"/>
    <n v="25"/>
    <n v="0"/>
    <n v="0"/>
    <n v="0"/>
    <n v="1"/>
  </r>
  <r>
    <n v="176"/>
    <s v="HH"/>
    <x v="0"/>
    <x v="1"/>
    <n v="3"/>
    <x v="0"/>
    <n v="6.94"/>
    <x v="3"/>
    <n v="12.4863"/>
    <n v="3.8689"/>
    <n v="69.01484026493037"/>
    <n v="44.252161383285305"/>
    <n v="3.0692381953943197"/>
    <n v="45.45"/>
    <n v="1.5489999999999999"/>
    <n v="9.6790000000000003"/>
    <n v="0.52"/>
    <n v="0.35599999999999998"/>
    <n v="2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3"/>
    <n v="4"/>
    <n v="12"/>
    <n v="0"/>
    <n v="2"/>
    <n v="16"/>
    <n v="0"/>
    <n v="0"/>
    <n v="0"/>
    <n v="1"/>
  </r>
  <r>
    <n v="177"/>
    <s v="HH"/>
    <x v="1"/>
    <x v="1"/>
    <n v="2"/>
    <x v="0"/>
    <n v="6.97"/>
    <x v="3"/>
    <n v="19.336400000000001"/>
    <n v="3.7934999999999999"/>
    <n v="80.381560166318451"/>
    <n v="45.573888091822099"/>
    <n v="3.0932327987644403"/>
    <n v="45.5"/>
    <n v="2.032"/>
    <n v="12.7"/>
    <n v="0.37"/>
    <n v="0.16400000000000001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0"/>
    <n v="9"/>
    <n v="2"/>
    <n v="2"/>
    <n v="12"/>
    <n v="0"/>
    <n v="0"/>
    <n v="0"/>
    <n v="1"/>
  </r>
  <r>
    <n v="247"/>
    <s v="SB"/>
    <x v="0"/>
    <x v="0"/>
    <n v="3"/>
    <x v="0"/>
    <n v="7.120000000000001"/>
    <x v="3"/>
    <n v="26.378599999999999"/>
    <n v="3.8003"/>
    <n v="85.593246040350891"/>
    <n v="46.625000000000007"/>
    <n v="3.1127343642273031"/>
    <n v="47.75"/>
    <n v="1.7330000000000001"/>
    <n v="10.834"/>
    <n v="0.59399999999999997"/>
    <n v="0.23287000000000002"/>
    <n v="4"/>
    <n v="0"/>
    <n v="0"/>
    <n v="0"/>
    <n v="1"/>
    <n v="3"/>
    <n v="0"/>
    <n v="0"/>
    <n v="0"/>
    <n v="9"/>
    <n v="0"/>
    <n v="0"/>
    <n v="0"/>
    <n v="0"/>
    <n v="18"/>
    <n v="3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7"/>
    <n v="3"/>
    <n v="38"/>
    <n v="0"/>
    <n v="2"/>
    <n v="41"/>
    <n v="0"/>
    <n v="0"/>
    <n v="0"/>
    <n v="1"/>
  </r>
  <r>
    <n v="250"/>
    <s v="SB"/>
    <x v="1"/>
    <x v="0"/>
    <n v="5"/>
    <x v="0"/>
    <n v="6.9600000000000009"/>
    <x v="3"/>
    <n v="27.3367"/>
    <n v="3.7645"/>
    <n v="86.229135191884907"/>
    <n v="45.912356321839084"/>
    <n v="3.0994710738262889"/>
    <n v="45.75"/>
    <n v="1.7549999999999999"/>
    <n v="10.965999999999999"/>
    <n v="0.32800000000000001"/>
    <n v="0.39187"/>
    <n v="2"/>
    <n v="0"/>
    <n v="0"/>
    <n v="0"/>
    <n v="0"/>
    <n v="0"/>
    <n v="0"/>
    <n v="0"/>
    <n v="1"/>
    <n v="0"/>
    <n v="0"/>
    <n v="1"/>
    <n v="0"/>
    <n v="0"/>
    <n v="2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7"/>
    <n v="6"/>
    <n v="0"/>
    <n v="26"/>
    <n v="1"/>
    <n v="2"/>
    <n v="25"/>
    <n v="0"/>
    <n v="0"/>
    <n v="2"/>
    <n v="1"/>
  </r>
  <r>
    <n v="253"/>
    <s v="SB"/>
    <x v="0"/>
    <x v="0"/>
    <n v="5"/>
    <x v="0"/>
    <n v="6.9799999999999995"/>
    <x v="3"/>
    <n v="19.825800000000001"/>
    <n v="3.0655999999999999"/>
    <n v="84.537320057702587"/>
    <n v="56.080229226361034"/>
    <n v="3.3077122577678768"/>
    <n v="46.98"/>
    <n v="1.7689999999999999"/>
    <n v="11.058999999999999"/>
    <n v="0.51100000000000001"/>
    <n v="0.42786999999999997"/>
    <n v="4"/>
    <n v="0"/>
    <n v="0"/>
    <n v="5"/>
    <n v="0"/>
    <n v="0"/>
    <n v="0"/>
    <n v="0"/>
    <n v="7"/>
    <n v="0"/>
    <n v="0"/>
    <n v="0"/>
    <n v="0"/>
    <n v="1"/>
    <n v="44"/>
    <n v="3"/>
    <n v="0"/>
    <n v="0"/>
    <n v="1"/>
    <n v="0"/>
    <n v="0"/>
    <n v="0"/>
    <n v="0"/>
    <n v="0"/>
    <n v="7"/>
    <n v="0"/>
    <n v="1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10"/>
    <n v="12"/>
    <n v="71"/>
    <n v="2"/>
    <n v="3"/>
    <n v="84"/>
    <n v="0"/>
    <n v="0"/>
    <n v="1"/>
    <n v="1"/>
  </r>
  <r>
    <n v="257"/>
    <s v="SB"/>
    <x v="0"/>
    <x v="0"/>
    <n v="4"/>
    <x v="0"/>
    <n v="7.0000000000000009"/>
    <x v="3"/>
    <n v="24.6676"/>
    <n v="2.851"/>
    <n v="88.442329209165067"/>
    <n v="59.271428571428572"/>
    <n v="3.3831469889127788"/>
    <n v="47.25"/>
    <n v="1.907"/>
    <n v="11.92"/>
    <n v="0.39900000000000002"/>
    <n v="0.19399999999999998"/>
    <n v="0"/>
    <n v="3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3"/>
    <n v="0"/>
    <n v="12"/>
    <n v="0"/>
    <n v="1"/>
    <n v="12"/>
    <n v="0"/>
    <n v="0"/>
    <n v="0"/>
    <n v="1"/>
  </r>
  <r>
    <n v="273"/>
    <s v="SB"/>
    <x v="1"/>
    <x v="0"/>
    <n v="3"/>
    <x v="0"/>
    <n v="7.0600000000000005"/>
    <x v="3"/>
    <n v="17.583100000000002"/>
    <n v="2.9018999999999999"/>
    <n v="83.496084308227793"/>
    <n v="58.896600566572246"/>
    <n v="3.3739860064186771"/>
    <n v="46.06"/>
    <n v="1.093"/>
    <n v="6.8319999999999999"/>
    <n v="0.40899999999999997"/>
    <n v="0.24087"/>
    <n v="3"/>
    <n v="0"/>
    <n v="0"/>
    <n v="0"/>
    <n v="0"/>
    <n v="0"/>
    <n v="0"/>
    <n v="0"/>
    <n v="2"/>
    <n v="7"/>
    <n v="0"/>
    <n v="0"/>
    <n v="0"/>
    <n v="0"/>
    <n v="16"/>
    <n v="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7"/>
    <n v="0"/>
    <n v="34"/>
    <n v="1"/>
    <n v="2"/>
    <n v="35"/>
    <n v="0"/>
    <n v="0"/>
    <n v="0"/>
    <n v="1"/>
  </r>
  <r>
    <n v="274"/>
    <s v="SB"/>
    <x v="1"/>
    <x v="0"/>
    <n v="4"/>
    <x v="0"/>
    <n v="6.98"/>
    <x v="3"/>
    <n v="24.948899999999998"/>
    <n v="3.6545000000000001"/>
    <n v="85.352059609842527"/>
    <n v="47.643266475644701"/>
    <n v="3.1319962816239721"/>
    <n v="46.63"/>
    <n v="1.784"/>
    <n v="11.151"/>
    <n v="0.45"/>
    <n v="0.378"/>
    <n v="19"/>
    <n v="0"/>
    <n v="0"/>
    <n v="7"/>
    <n v="0"/>
    <n v="1"/>
    <n v="0"/>
    <n v="0"/>
    <n v="4"/>
    <n v="0"/>
    <n v="0"/>
    <n v="1"/>
    <n v="0"/>
    <n v="0"/>
    <n v="30"/>
    <n v="1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72"/>
    <n v="9"/>
    <n v="0"/>
    <n v="71"/>
    <n v="1"/>
    <n v="2"/>
    <n v="70"/>
    <n v="0"/>
    <n v="0"/>
    <n v="2"/>
    <n v="1"/>
  </r>
  <r>
    <n v="275"/>
    <s v="SB"/>
    <x v="1"/>
    <x v="0"/>
    <n v="2"/>
    <x v="0"/>
    <n v="7.0499999999999989"/>
    <x v="3"/>
    <n v="26.678999999999998"/>
    <n v="4.0998999999999999"/>
    <n v="84.632482476854449"/>
    <n v="41.845390070921979"/>
    <n v="3.0269716834432647"/>
    <n v="47.05"/>
    <n v="1.8839999999999999"/>
    <n v="11.773999999999999"/>
    <n v="0.52700000000000002"/>
    <n v="0.26086999999999999"/>
    <n v="3"/>
    <n v="0"/>
    <n v="0"/>
    <n v="0"/>
    <n v="0"/>
    <n v="3"/>
    <n v="0"/>
    <n v="0"/>
    <n v="0"/>
    <n v="1"/>
    <n v="0"/>
    <n v="0"/>
    <n v="0"/>
    <n v="0"/>
    <n v="2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5"/>
    <n v="0"/>
    <n v="30"/>
    <n v="0"/>
    <n v="1"/>
    <n v="30"/>
    <n v="0"/>
    <n v="0"/>
    <n v="0"/>
    <n v="1"/>
  </r>
  <r>
    <n v="282"/>
    <s v="SB"/>
    <x v="0"/>
    <x v="0"/>
    <n v="2"/>
    <x v="0"/>
    <n v="7.0600000000000005"/>
    <x v="3"/>
    <n v="17.842099999999999"/>
    <n v="3.0419"/>
    <n v="82.950997920648348"/>
    <n v="56.91359773371105"/>
    <n v="3.3268693811061789"/>
    <n v="45.54"/>
    <n v="1.9470000000000001"/>
    <n v="12.170999999999999"/>
    <n v="0.42099999999999999"/>
    <n v="0.34200000000000008"/>
    <n v="5"/>
    <n v="0"/>
    <n v="0"/>
    <n v="1"/>
    <n v="0"/>
    <n v="3"/>
    <n v="0"/>
    <n v="0"/>
    <n v="4"/>
    <n v="1"/>
    <n v="0"/>
    <n v="2"/>
    <n v="0"/>
    <n v="0"/>
    <n v="2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7"/>
    <n v="9"/>
    <n v="0"/>
    <n v="46"/>
    <n v="1"/>
    <n v="2"/>
    <n v="44"/>
    <n v="0"/>
    <n v="0"/>
    <n v="3"/>
    <n v="1"/>
  </r>
  <r>
    <n v="294"/>
    <s v="SB"/>
    <x v="0"/>
    <x v="0"/>
    <n v="1"/>
    <x v="0"/>
    <n v="6.93"/>
    <x v="3"/>
    <n v="21.335599999999999"/>
    <n v="3.6107"/>
    <n v="83.076641856802709"/>
    <n v="47.897546897546896"/>
    <n v="3.136864803625151"/>
    <n v="47.11"/>
    <n v="1.9419999999999999"/>
    <n v="12.137"/>
    <n v="0.65700000000000003"/>
    <n v="0.36986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0"/>
    <s v="SB"/>
    <x v="1"/>
    <x v="0"/>
    <n v="1"/>
    <x v="0"/>
    <n v="6.98"/>
    <x v="3"/>
    <n v="22.068200000000001"/>
    <n v="3.7111000000000001"/>
    <n v="83.183494802475963"/>
    <n v="46.832378223495702"/>
    <n v="3.1166272379323043"/>
    <n v="46.62"/>
    <n v="1.9410000000000001"/>
    <n v="12.129"/>
    <n v="0.76700000000000002"/>
    <n v="0.27987000000000001"/>
    <n v="1"/>
    <n v="0"/>
    <n v="0"/>
    <n v="0"/>
    <n v="1"/>
    <n v="0"/>
    <n v="0"/>
    <n v="0"/>
    <n v="1"/>
    <n v="0"/>
    <n v="0"/>
    <n v="1"/>
    <n v="0"/>
    <n v="0"/>
    <n v="4"/>
    <n v="1"/>
    <n v="0"/>
    <n v="5"/>
    <n v="0"/>
    <n v="0"/>
    <n v="0"/>
    <n v="1"/>
    <n v="0"/>
    <n v="0"/>
    <n v="1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0"/>
    <n v="0"/>
    <n v="26"/>
    <n v="1"/>
    <n v="2"/>
    <n v="26"/>
    <n v="0"/>
    <n v="0"/>
    <n v="1"/>
    <n v="1"/>
  </r>
  <r>
    <n v="362"/>
    <s v="SB"/>
    <x v="1"/>
    <x v="1"/>
    <n v="2"/>
    <x v="0"/>
    <n v="7"/>
    <x v="3"/>
    <n v="23.178999999999998"/>
    <n v="4.4240000000000004"/>
    <n v="80.913758143146822"/>
    <n v="36.799999999999997"/>
    <n v="2.9437725346232799"/>
    <n v="47.09"/>
    <n v="1.415"/>
    <n v="8.8409999999999993"/>
    <n v="0.35799999999999998"/>
    <n v="0.43200000000000005"/>
    <n v="7"/>
    <n v="0"/>
    <n v="0"/>
    <n v="1"/>
    <n v="0"/>
    <n v="1"/>
    <n v="0"/>
    <n v="0"/>
    <n v="1"/>
    <n v="0"/>
    <n v="0"/>
    <n v="0"/>
    <n v="0"/>
    <n v="0"/>
    <n v="53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7"/>
    <n v="0"/>
    <n v="68"/>
    <n v="0"/>
    <n v="1"/>
    <n v="68"/>
    <n v="0"/>
    <n v="0"/>
    <n v="0"/>
    <n v="1"/>
  </r>
  <r>
    <n v="363"/>
    <s v="SB"/>
    <x v="0"/>
    <x v="1"/>
    <n v="5"/>
    <x v="0"/>
    <n v="6.98"/>
    <x v="3"/>
    <n v="21.626100000000001"/>
    <n v="4.0967000000000002"/>
    <n v="81.056686133884526"/>
    <n v="41.308022922636106"/>
    <n v="3.0177737949890493"/>
    <n v="47.89"/>
    <n v="1.4970000000000001"/>
    <n v="9.3580000000000005"/>
    <n v="0.317"/>
    <n v="0.41600000000000004"/>
    <n v="2"/>
    <n v="0"/>
    <n v="0"/>
    <n v="2"/>
    <n v="0"/>
    <n v="0"/>
    <n v="0"/>
    <n v="0"/>
    <n v="6"/>
    <n v="1"/>
    <n v="0"/>
    <n v="0"/>
    <n v="0"/>
    <n v="0"/>
    <n v="21"/>
    <n v="0"/>
    <n v="0"/>
    <n v="4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2"/>
    <n v="9"/>
    <n v="0"/>
    <n v="40"/>
    <n v="2"/>
    <n v="2"/>
    <n v="41"/>
    <n v="0"/>
    <n v="0"/>
    <n v="1"/>
    <n v="1"/>
  </r>
  <r>
    <n v="364"/>
    <s v="SB"/>
    <x v="1"/>
    <x v="1"/>
    <n v="5"/>
    <x v="0"/>
    <n v="7.02"/>
    <x v="3"/>
    <n v="22.040900000000001"/>
    <n v="3.4279000000000002"/>
    <n v="84.447549782449897"/>
    <n v="51.169515669515661"/>
    <n v="3.201722039044272"/>
    <n v="44.93"/>
    <n v="1.4730000000000001"/>
    <n v="9.2070000000000007"/>
    <n v="0.57399999999999995"/>
    <n v="0.43800000000000006"/>
    <n v="1"/>
    <n v="0"/>
    <n v="0"/>
    <n v="0"/>
    <n v="0"/>
    <n v="0"/>
    <n v="0"/>
    <n v="0"/>
    <n v="1"/>
    <n v="0"/>
    <n v="0"/>
    <n v="2"/>
    <n v="0"/>
    <n v="0"/>
    <n v="14"/>
    <n v="0"/>
    <n v="0"/>
    <n v="5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7"/>
    <n v="8"/>
    <n v="0"/>
    <n v="25"/>
    <n v="2"/>
    <n v="2"/>
    <n v="24"/>
    <n v="0"/>
    <n v="0"/>
    <n v="3"/>
    <n v="1"/>
  </r>
  <r>
    <n v="366"/>
    <s v="SB"/>
    <x v="0"/>
    <x v="1"/>
    <n v="1"/>
    <x v="0"/>
    <n v="7"/>
    <x v="3"/>
    <n v="17.001799999999999"/>
    <n v="4.1627000000000001"/>
    <n v="75.516121822395263"/>
    <n v="40.532857142857139"/>
    <n v="3.0046528966429737"/>
    <n v="45.78"/>
    <n v="1.2769999999999999"/>
    <n v="7.9829999999999997"/>
    <n v="0.39700000000000002"/>
    <n v="0.38086999999999999"/>
    <n v="0"/>
    <n v="0"/>
    <n v="0"/>
    <n v="3"/>
    <n v="0"/>
    <n v="1"/>
    <n v="0"/>
    <n v="0"/>
    <n v="0"/>
    <n v="1"/>
    <n v="0"/>
    <n v="0"/>
    <n v="0"/>
    <n v="0"/>
    <n v="2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6"/>
    <n v="0"/>
    <n v="26"/>
    <n v="1"/>
    <n v="2"/>
    <n v="27"/>
    <n v="0"/>
    <n v="0"/>
    <n v="0"/>
    <n v="1"/>
  </r>
  <r>
    <n v="369"/>
    <s v="SB"/>
    <x v="0"/>
    <x v="1"/>
    <n v="3"/>
    <x v="0"/>
    <n v="7.05"/>
    <x v="3"/>
    <n v="17.419799999999999"/>
    <n v="3.8816000000000002"/>
    <n v="77.717310187258164"/>
    <n v="44.941843971631201"/>
    <n v="3.0816868268445834"/>
    <n v="46.99"/>
    <n v="1.546"/>
    <n v="9.6620000000000008"/>
    <n v="0.35899999999999999"/>
    <n v="0.20787"/>
    <n v="3"/>
    <n v="0"/>
    <n v="0"/>
    <n v="0"/>
    <n v="0"/>
    <n v="0"/>
    <n v="0"/>
    <n v="0"/>
    <n v="0"/>
    <n v="0"/>
    <n v="0"/>
    <n v="0"/>
    <n v="0"/>
    <n v="0"/>
    <n v="2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4"/>
    <n v="1"/>
    <n v="32"/>
    <n v="1"/>
    <n v="3"/>
    <n v="33"/>
    <n v="0"/>
    <n v="1"/>
    <n v="0"/>
    <n v="1"/>
  </r>
  <r>
    <n v="390"/>
    <s v="SB"/>
    <x v="1"/>
    <x v="1"/>
    <n v="4"/>
    <x v="0"/>
    <n v="7.01"/>
    <x v="3"/>
    <n v="22.575399999999998"/>
    <n v="4.0575000000000001"/>
    <n v="82.026896533394762"/>
    <n v="42.11840228245363"/>
    <n v="3.0316773304278897"/>
    <n v="46.15"/>
    <n v="1.359"/>
    <n v="8.4909999999999997"/>
    <n v="0.35599999999999998"/>
    <n v="0.53887000000000007"/>
    <n v="6"/>
    <n v="0"/>
    <n v="0"/>
    <n v="1"/>
    <n v="0"/>
    <n v="0"/>
    <n v="0"/>
    <n v="0"/>
    <n v="2"/>
    <n v="0"/>
    <n v="0"/>
    <n v="1"/>
    <n v="0"/>
    <n v="0"/>
    <n v="13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2"/>
    <n v="7"/>
    <n v="0"/>
    <n v="31"/>
    <n v="1"/>
    <n v="2"/>
    <n v="30"/>
    <n v="0"/>
    <n v="0"/>
    <n v="2"/>
    <n v="1"/>
  </r>
  <r>
    <n v="396"/>
    <s v="SB"/>
    <x v="1"/>
    <x v="1"/>
    <n v="3"/>
    <x v="0"/>
    <n v="7.08"/>
    <x v="3"/>
    <n v="18.580400000000001"/>
    <n v="4.1201999999999996"/>
    <n v="77.825019913457197"/>
    <n v="41.805084745762713"/>
    <n v="3.0262788516210803"/>
    <n v="46.85"/>
    <n v="1.421"/>
    <n v="8.8829999999999991"/>
    <n v="0.41299999999999998"/>
    <n v="0.19987000000000002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0"/>
    <n v="8"/>
    <n v="0"/>
    <n v="1"/>
    <n v="8"/>
    <n v="0"/>
    <n v="0"/>
    <n v="0"/>
    <n v="1"/>
  </r>
  <r>
    <n v="404"/>
    <s v="SB"/>
    <x v="1"/>
    <x v="1"/>
    <n v="1"/>
    <x v="0"/>
    <n v="7.01"/>
    <x v="3"/>
    <n v="23.072399999999998"/>
    <n v="3.6019000000000001"/>
    <n v="84.388706853209897"/>
    <n v="48.617689015691866"/>
    <n v="3.1507828668203635"/>
    <n v="45.51"/>
    <n v="1.45"/>
    <n v="9.0660000000000007"/>
    <n v="0.45800000000000002"/>
    <n v="0.37586999999999998"/>
    <n v="2"/>
    <n v="0"/>
    <n v="0"/>
    <n v="0"/>
    <n v="0"/>
    <n v="0"/>
    <n v="0"/>
    <n v="0"/>
    <n v="7"/>
    <n v="0"/>
    <n v="0"/>
    <n v="2"/>
    <n v="0"/>
    <n v="0"/>
    <n v="42"/>
    <n v="22"/>
    <n v="0"/>
    <n v="12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93"/>
    <n v="9"/>
    <n v="0"/>
    <n v="90"/>
    <n v="3"/>
    <n v="2"/>
    <n v="89"/>
    <n v="0"/>
    <n v="0"/>
    <n v="4"/>
    <n v="1"/>
  </r>
  <r>
    <n v="405"/>
    <s v="SB"/>
    <x v="0"/>
    <x v="1"/>
    <n v="2"/>
    <x v="0"/>
    <n v="7"/>
    <x v="3"/>
    <n v="18.3215"/>
    <n v="3.1493000000000002"/>
    <n v="82.810905220642411"/>
    <n v="55.009999999999991"/>
    <n v="3.2836365929230107"/>
    <n v="46.87"/>
    <n v="1.4950000000000001"/>
    <n v="8.9209999999999994"/>
    <n v="0.52600000000000002"/>
    <n v="0.29499999999999998"/>
    <n v="1"/>
    <n v="0"/>
    <n v="0"/>
    <n v="0"/>
    <n v="0"/>
    <n v="0"/>
    <n v="0"/>
    <n v="0"/>
    <n v="0"/>
    <n v="0"/>
    <n v="0"/>
    <n v="0"/>
    <n v="0"/>
    <n v="0"/>
    <n v="53"/>
    <n v="0"/>
    <n v="0"/>
    <n v="0"/>
    <n v="0"/>
    <n v="0"/>
    <n v="0"/>
    <n v="0"/>
    <n v="0"/>
    <n v="0"/>
    <n v="4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5"/>
    <n v="3"/>
    <n v="58"/>
    <n v="1"/>
    <n v="3"/>
    <n v="61"/>
    <n v="0"/>
    <n v="1"/>
    <n v="0"/>
    <n v="1"/>
  </r>
  <r>
    <n v="482"/>
    <s v="BC"/>
    <x v="1"/>
    <x v="0"/>
    <n v="4"/>
    <x v="0"/>
    <n v="6.99"/>
    <x v="3"/>
    <n v="20.501799999999999"/>
    <n v="3.7328000000000001"/>
    <n v="18.207181808426579"/>
    <n v="46.597997138769671"/>
    <n v="3.1122285837486907"/>
    <n v="46.88"/>
    <n v="1.369"/>
    <n v="8.5540000000000003"/>
    <n v="0.77100000000000002"/>
    <n v="0.19287000000000001"/>
    <n v="0"/>
    <n v="0"/>
    <n v="0"/>
    <n v="0"/>
    <n v="0"/>
    <n v="1"/>
    <n v="0"/>
    <n v="0"/>
    <n v="1"/>
    <n v="3"/>
    <n v="0"/>
    <n v="1"/>
    <n v="0"/>
    <n v="0"/>
    <n v="14"/>
    <n v="19"/>
    <n v="0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8"/>
    <n v="0"/>
    <n v="41"/>
    <n v="1"/>
    <n v="2"/>
    <n v="41"/>
    <n v="0"/>
    <n v="0"/>
    <n v="1"/>
    <n v="1"/>
  </r>
  <r>
    <n v="483"/>
    <s v="BC"/>
    <x v="0"/>
    <x v="0"/>
    <n v="4"/>
    <x v="0"/>
    <n v="7.06"/>
    <x v="3"/>
    <n v="23.318999999999999"/>
    <n v="3.6164999999999998"/>
    <n v="15.508812556284573"/>
    <n v="48.774787535410766"/>
    <n v="3.1538449939859525"/>
    <n v="46.69"/>
    <n v="1.8080000000000001"/>
    <n v="11.3"/>
    <n v="0.95099999999999996"/>
    <n v="0.44400000000000006"/>
    <n v="3"/>
    <n v="0"/>
    <n v="0"/>
    <n v="0"/>
    <n v="0"/>
    <n v="4"/>
    <n v="0"/>
    <n v="0"/>
    <n v="0"/>
    <n v="0"/>
    <n v="0"/>
    <n v="0"/>
    <n v="0"/>
    <n v="0"/>
    <n v="7"/>
    <n v="2"/>
    <n v="0"/>
    <n v="0"/>
    <n v="0"/>
    <n v="0"/>
    <n v="0"/>
    <n v="0"/>
    <n v="0"/>
    <n v="0"/>
    <n v="3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6"/>
    <n v="7"/>
    <n v="19"/>
    <n v="0"/>
    <n v="2"/>
    <n v="26"/>
    <n v="0"/>
    <n v="0"/>
    <n v="0"/>
    <n v="1"/>
  </r>
  <r>
    <n v="510"/>
    <s v="BC"/>
    <x v="1"/>
    <x v="0"/>
    <n v="1"/>
    <x v="0"/>
    <n v="6.96"/>
    <x v="3"/>
    <n v="20.396799999999999"/>
    <n v="3.3096000000000001"/>
    <n v="16.226074678380925"/>
    <n v="52.448275862068961"/>
    <n v="3.2282587879692639"/>
    <n v="48.42"/>
    <n v="1.486"/>
    <n v="9.2870000000000008"/>
    <n v="0.54200000000000004"/>
    <n v="0.26987"/>
    <n v="11"/>
    <n v="0"/>
    <n v="1"/>
    <n v="2"/>
    <n v="0"/>
    <n v="3"/>
    <n v="0"/>
    <n v="0"/>
    <n v="2"/>
    <n v="0"/>
    <n v="0"/>
    <n v="0"/>
    <n v="0"/>
    <n v="0"/>
    <n v="44"/>
    <n v="2"/>
    <n v="0"/>
    <n v="0"/>
    <n v="1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78"/>
    <n v="12"/>
    <n v="5"/>
    <n v="70"/>
    <n v="3"/>
    <n v="3"/>
    <n v="77"/>
    <n v="0"/>
    <n v="0"/>
    <n v="1"/>
    <n v="1"/>
  </r>
  <r>
    <n v="523"/>
    <s v="BC"/>
    <x v="0"/>
    <x v="0"/>
    <n v="3"/>
    <x v="0"/>
    <n v="7.03"/>
    <x v="3"/>
    <n v="14.161300000000001"/>
    <n v="3.5680000000000001"/>
    <n v="25.195426973512319"/>
    <n v="49.246088193456615"/>
    <n v="3.1630881408928109"/>
    <n v="47.04"/>
    <n v="1.5149999999999999"/>
    <n v="9.468"/>
    <n v="0.97799999999999998"/>
    <n v="0.38986999999999999"/>
    <n v="2"/>
    <n v="0"/>
    <n v="0"/>
    <n v="1"/>
    <n v="2"/>
    <n v="2"/>
    <n v="0"/>
    <n v="0"/>
    <n v="0"/>
    <n v="8"/>
    <n v="0"/>
    <n v="0"/>
    <n v="0"/>
    <n v="0"/>
    <n v="29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8"/>
    <n v="0"/>
    <n v="50"/>
    <n v="0"/>
    <n v="1"/>
    <n v="50"/>
    <n v="0"/>
    <n v="0"/>
    <n v="0"/>
    <n v="1"/>
  </r>
  <r>
    <n v="524"/>
    <s v="BC"/>
    <x v="0"/>
    <x v="0"/>
    <n v="2"/>
    <x v="0"/>
    <n v="6.92"/>
    <x v="3"/>
    <n v="18.061800000000002"/>
    <n v="3.4270999999999998"/>
    <n v="18.97429935000941"/>
    <n v="50.475433526011557"/>
    <n v="3.1876079969099838"/>
    <n v="47.11"/>
    <n v="1.827"/>
    <n v="11.42"/>
    <n v="0.85599999999999998"/>
    <n v="0.24587000000000001"/>
    <n v="0"/>
    <n v="1"/>
    <n v="0"/>
    <n v="0"/>
    <n v="0"/>
    <n v="0"/>
    <n v="1"/>
    <n v="0"/>
    <n v="1"/>
    <n v="1"/>
    <n v="0"/>
    <n v="2"/>
    <n v="0"/>
    <n v="0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6"/>
    <n v="0"/>
    <n v="44"/>
    <n v="0"/>
    <n v="1"/>
    <n v="42"/>
    <n v="0"/>
    <n v="0"/>
    <n v="2"/>
    <n v="1"/>
  </r>
  <r>
    <n v="526"/>
    <s v="BC"/>
    <x v="1"/>
    <x v="0"/>
    <n v="3"/>
    <x v="0"/>
    <n v="7"/>
    <x v="3"/>
    <n v="17.3002"/>
    <n v="3.4472"/>
    <n v="19.925781204841559"/>
    <n v="50.754285714285722"/>
    <n v="3.1932544915238221"/>
    <n v="42.08"/>
    <n v="1.5229999999999999"/>
    <n v="9.5190000000000001"/>
    <n v="0.68899999999999995"/>
    <n v="0.402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3"/>
    <s v="BC"/>
    <x v="0"/>
    <x v="0"/>
    <n v="5"/>
    <x v="0"/>
    <n v="6.95"/>
    <x v="3"/>
    <n v="25.177900000000001"/>
    <n v="3.6684000000000001"/>
    <n v="14.569920446105513"/>
    <n v="47.217266187050363"/>
    <n v="3.1238927096620488"/>
    <n v="47.09"/>
    <n v="1.9410000000000001"/>
    <n v="12.132"/>
    <n v="0.82499999999999996"/>
    <n v="0.36886999999999998"/>
    <n v="11"/>
    <n v="0"/>
    <n v="0"/>
    <n v="2"/>
    <n v="0"/>
    <n v="2"/>
    <n v="0"/>
    <n v="0"/>
    <n v="0"/>
    <n v="6"/>
    <n v="0"/>
    <n v="2"/>
    <n v="0"/>
    <n v="0"/>
    <n v="41"/>
    <n v="4"/>
    <n v="0"/>
    <n v="0"/>
    <n v="0"/>
    <n v="0"/>
    <n v="0"/>
    <n v="0"/>
    <n v="0"/>
    <n v="0"/>
    <n v="2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81"/>
    <n v="10"/>
    <n v="10"/>
    <n v="70"/>
    <n v="1"/>
    <n v="3"/>
    <n v="78"/>
    <n v="0"/>
    <n v="0"/>
    <n v="3"/>
    <n v="1"/>
  </r>
  <r>
    <n v="604"/>
    <s v="BC"/>
    <x v="1"/>
    <x v="1"/>
    <n v="1"/>
    <x v="0"/>
    <n v="6.92"/>
    <x v="3"/>
    <n v="15.0024"/>
    <n v="2.7105000000000001"/>
    <n v="18.067109262517999"/>
    <n v="60.830924855491332"/>
    <n v="3.4221892996993226"/>
    <n v="47.73"/>
    <n v="3.5539999999999998"/>
    <n v="22.213999999999999"/>
    <n v="0.39"/>
    <n v="2.3869999999999999E-2"/>
    <n v="0"/>
    <n v="0"/>
    <n v="0"/>
    <n v="0"/>
    <n v="0"/>
    <n v="0"/>
    <n v="0"/>
    <n v="0"/>
    <n v="0"/>
    <n v="0"/>
    <n v="0"/>
    <n v="0"/>
    <n v="0"/>
    <n v="0"/>
    <n v="0"/>
    <n v="4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613"/>
    <s v="BC"/>
    <x v="0"/>
    <x v="1"/>
    <n v="1"/>
    <x v="0"/>
    <n v="7.03"/>
    <x v="3"/>
    <n v="16.850899999999999"/>
    <n v="3.3048999999999999"/>
    <n v="19.61260229423948"/>
    <n v="52.988620199146517"/>
    <n v="3.2396871399507639"/>
    <n v="47.27"/>
    <n v="1.8660000000000001"/>
    <n v="11.66"/>
    <n v="0.36799999999999999"/>
    <n v="0.240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18"/>
    <s v="BC"/>
    <x v="0"/>
    <x v="1"/>
    <n v="3"/>
    <x v="0"/>
    <n v="6.94"/>
    <x v="3"/>
    <n v="16.8992"/>
    <n v="3.7986"/>
    <n v="22.477987123650824"/>
    <n v="45.265129682997127"/>
    <n v="3.0875758465107146"/>
    <n v="46.75"/>
    <n v="1.242"/>
    <n v="7.76"/>
    <n v="0.48499999999999999"/>
    <n v="0.376"/>
    <n v="5"/>
    <n v="0"/>
    <n v="0"/>
    <n v="0"/>
    <n v="0"/>
    <n v="0"/>
    <n v="0"/>
    <n v="0"/>
    <n v="0"/>
    <n v="16"/>
    <n v="0"/>
    <n v="0"/>
    <n v="0"/>
    <n v="0"/>
    <n v="41"/>
    <n v="0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5"/>
    <n v="2"/>
    <n v="63"/>
    <n v="0"/>
    <n v="2"/>
    <n v="65"/>
    <n v="0"/>
    <n v="0"/>
    <n v="0"/>
    <n v="1"/>
  </r>
  <r>
    <n v="633"/>
    <s v="BC"/>
    <x v="1"/>
    <x v="1"/>
    <n v="5"/>
    <x v="0"/>
    <n v="7.04"/>
    <x v="3"/>
    <n v="16.008900000000001"/>
    <n v="2.9346000000000001"/>
    <n v="18.331053351573185"/>
    <n v="58.315340909090907"/>
    <n v="3.3599436621667218"/>
    <n v="47.79"/>
    <n v="2.1190000000000002"/>
    <n v="13.241"/>
    <n v="0.38900000000000001"/>
    <n v="0.20799999999999999"/>
    <n v="0"/>
    <n v="0"/>
    <n v="0"/>
    <n v="1"/>
    <n v="0"/>
    <n v="1"/>
    <n v="0"/>
    <n v="0"/>
    <n v="0"/>
    <n v="2"/>
    <n v="0"/>
    <n v="1"/>
    <n v="0"/>
    <n v="0"/>
    <n v="16"/>
    <n v="0"/>
    <n v="0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26"/>
    <n v="10"/>
    <n v="1"/>
    <n v="21"/>
    <n v="4"/>
    <n v="3"/>
    <n v="24"/>
    <n v="0"/>
    <n v="0"/>
    <n v="2"/>
    <n v="1"/>
  </r>
  <r>
    <n v="635"/>
    <s v="BC"/>
    <x v="1"/>
    <x v="1"/>
    <n v="3"/>
    <x v="0"/>
    <n v="7.05"/>
    <x v="3"/>
    <n v="13.7691"/>
    <n v="3.0626000000000002"/>
    <n v="22.24255761088234"/>
    <n v="56.558865248226944"/>
    <n v="3.3186700382132073"/>
    <n v="43.09"/>
    <n v="2.7280000000000002"/>
    <n v="17.047000000000001"/>
    <n v="0.42599999999999999"/>
    <n v="0.28286999999999995"/>
    <n v="0"/>
    <n v="0"/>
    <n v="0"/>
    <n v="0"/>
    <n v="2"/>
    <n v="0"/>
    <n v="0"/>
    <n v="0"/>
    <n v="0"/>
    <n v="2"/>
    <n v="0"/>
    <n v="1"/>
    <n v="0"/>
    <n v="0"/>
    <n v="18"/>
    <n v="2"/>
    <n v="0"/>
    <n v="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8"/>
    <n v="0"/>
    <n v="28"/>
    <n v="0"/>
    <n v="1"/>
    <n v="27"/>
    <n v="0"/>
    <n v="0"/>
    <n v="1"/>
    <n v="1"/>
  </r>
  <r>
    <n v="644"/>
    <s v="BC"/>
    <x v="0"/>
    <x v="1"/>
    <n v="5"/>
    <x v="0"/>
    <n v="6.97"/>
    <x v="3"/>
    <n v="15.8148"/>
    <n v="3.0625"/>
    <n v="19.364772238662521"/>
    <n v="56.061692969870869"/>
    <n v="3.3072902986895873"/>
    <n v="46.83"/>
    <n v="2.5979999999999999"/>
    <n v="16.239999999999998"/>
    <n v="0.38200000000000001"/>
    <n v="0.29486999999999997"/>
    <n v="1"/>
    <n v="0"/>
    <n v="0"/>
    <n v="0"/>
    <n v="1"/>
    <n v="2"/>
    <n v="0"/>
    <n v="0"/>
    <n v="1"/>
    <n v="0"/>
    <n v="0"/>
    <n v="1"/>
    <n v="1"/>
    <n v="0"/>
    <n v="10"/>
    <n v="4"/>
    <n v="0"/>
    <n v="1"/>
    <n v="0"/>
    <n v="0"/>
    <n v="0"/>
    <n v="0"/>
    <n v="0"/>
    <n v="0"/>
    <n v="1"/>
    <n v="0"/>
    <n v="7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2"/>
    <n v="7"/>
    <n v="23"/>
    <n v="1"/>
    <n v="3"/>
    <n v="29"/>
    <n v="0"/>
    <n v="0"/>
    <n v="2"/>
    <n v="1"/>
  </r>
  <r>
    <n v="659"/>
    <s v="BC"/>
    <x v="1"/>
    <x v="1"/>
    <n v="2"/>
    <x v="0"/>
    <n v="6.97"/>
    <x v="3"/>
    <n v="18.357700000000001"/>
    <n v="3.0804999999999998"/>
    <n v="16.780424562989914"/>
    <n v="55.803443328550941"/>
    <n v="3.3014299530879447"/>
    <n v="41.8"/>
    <n v="1.3180000000000001"/>
    <n v="8.2370000000000001"/>
    <n v="0.32200000000000001"/>
    <n v="0.26500000000000001"/>
    <n v="1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5"/>
    <n v="0"/>
    <n v="0"/>
    <n v="0"/>
    <n v="1"/>
  </r>
  <r>
    <s v="BCLP2"/>
    <s v="BC"/>
    <x v="1"/>
    <x v="0"/>
    <n v="2"/>
    <x v="0"/>
    <n v="7"/>
    <x v="3"/>
    <n v="22.385200000000001"/>
    <n v="3.9823"/>
    <n v="17.789879027214408"/>
    <n v="43.11"/>
    <n v="3.0489572570135359"/>
    <n v="42.08"/>
    <n v="1.482"/>
    <n v="9.2650000000000006"/>
    <n v="0.50800000000000001"/>
    <n v="8.387E-2"/>
    <n v="3"/>
    <n v="0"/>
    <n v="0"/>
    <n v="0"/>
    <n v="0"/>
    <n v="1"/>
    <n v="0"/>
    <n v="0"/>
    <n v="0"/>
    <n v="1"/>
    <n v="0"/>
    <n v="3"/>
    <n v="0"/>
    <n v="0"/>
    <n v="33"/>
    <n v="0"/>
    <n v="0"/>
    <n v="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7"/>
    <n v="0"/>
    <n v="45"/>
    <n v="0"/>
    <n v="1"/>
    <n v="42"/>
    <n v="0"/>
    <n v="0"/>
    <n v="3"/>
    <n v="1"/>
  </r>
  <r>
    <s v="BCLP5"/>
    <s v="BC"/>
    <x v="1"/>
    <x v="0"/>
    <n v="5"/>
    <x v="0"/>
    <n v="7"/>
    <x v="3"/>
    <n v="14.9291"/>
    <n v="2.5068000000000001"/>
    <n v="16.791367195611258"/>
    <n v="64.188571428571422"/>
    <n v="3.5118097594749305"/>
    <n v="42.08"/>
    <n v="1.756"/>
    <n v="10.973000000000001"/>
    <n v="0.54600000000000004"/>
    <n v="9.3869999999999995E-2"/>
    <n v="3"/>
    <n v="0"/>
    <n v="0"/>
    <n v="0"/>
    <n v="0"/>
    <n v="0"/>
    <n v="1"/>
    <n v="0"/>
    <n v="0"/>
    <n v="0"/>
    <n v="0"/>
    <n v="1"/>
    <n v="0"/>
    <n v="0"/>
    <n v="30"/>
    <n v="3"/>
    <n v="0"/>
    <n v="2"/>
    <n v="0"/>
    <n v="0"/>
    <n v="0"/>
    <n v="0"/>
    <n v="0"/>
    <n v="0"/>
    <n v="2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9"/>
    <n v="3"/>
    <n v="42"/>
    <n v="2"/>
    <n v="3"/>
    <n v="46"/>
    <n v="0"/>
    <n v="0"/>
    <n v="1"/>
    <n v="1"/>
  </r>
  <r>
    <s v="BCLR4"/>
    <s v="BC"/>
    <x v="1"/>
    <x v="1"/>
    <n v="4"/>
    <x v="0"/>
    <n v="7"/>
    <x v="3"/>
    <n v="10.765599999999999"/>
    <n v="1.8641000000000001"/>
    <n v="17.315337742438881"/>
    <n v="73.36999999999999"/>
    <n v="3.8080384359502508"/>
    <n v="47.15"/>
    <n v="2.863"/>
    <n v="17.890999999999998"/>
    <n v="0.65300000000000002"/>
    <n v="0.21"/>
    <n v="2"/>
    <n v="0"/>
    <n v="0"/>
    <n v="0"/>
    <n v="0"/>
    <n v="1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2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5"/>
    <n v="8"/>
    <n v="9"/>
    <n v="0"/>
    <n v="2"/>
    <n v="17"/>
    <n v="0"/>
    <n v="0"/>
    <n v="0"/>
    <n v="1"/>
  </r>
  <r>
    <s v="BCUP1"/>
    <s v="BC"/>
    <x v="0"/>
    <x v="0"/>
    <n v="1"/>
    <x v="0"/>
    <n v="7"/>
    <x v="3"/>
    <n v="16.223400000000002"/>
    <n v="2.6829999999999998"/>
    <n v="16.537840403367973"/>
    <n v="61.671428571428578"/>
    <n v="3.4438812273998263"/>
    <n v="46.74"/>
    <n v="2.6419999999999999"/>
    <n v="16.513000000000002"/>
    <n v="0.29099999999999998"/>
    <n v="9.4869999999999996E-2"/>
    <n v="3"/>
    <n v="0"/>
    <n v="0"/>
    <n v="2"/>
    <n v="0"/>
    <n v="0"/>
    <n v="1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6"/>
    <n v="10"/>
    <n v="0"/>
    <n v="2"/>
    <n v="16"/>
    <n v="0"/>
    <n v="0"/>
    <n v="0"/>
    <n v="1"/>
  </r>
  <r>
    <s v="BCUR2"/>
    <s v="BC"/>
    <x v="0"/>
    <x v="1"/>
    <n v="2"/>
    <x v="0"/>
    <n v="7"/>
    <x v="3"/>
    <n v="15.982699999999999"/>
    <n v="3.3689"/>
    <n v="21.078416037340375"/>
    <n v="51.872857142857143"/>
    <n v="3.2162305172577668"/>
    <n v="46.13"/>
    <n v="1.462"/>
    <n v="9.14"/>
    <n v="0.38500000000000001"/>
    <n v="0.12086999999999999"/>
    <n v="7"/>
    <n v="0"/>
    <n v="0"/>
    <n v="0"/>
    <n v="1"/>
    <n v="3"/>
    <n v="0"/>
    <n v="1"/>
    <n v="0"/>
    <n v="0"/>
    <n v="1"/>
    <n v="1"/>
    <n v="0"/>
    <n v="0"/>
    <n v="37"/>
    <n v="2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59"/>
    <n v="10"/>
    <n v="4"/>
    <n v="53"/>
    <n v="2"/>
    <n v="3"/>
    <n v="56"/>
    <n v="0"/>
    <n v="0"/>
    <n v="3"/>
    <n v="1"/>
  </r>
  <r>
    <s v="BCUR4"/>
    <s v="BC"/>
    <x v="0"/>
    <x v="1"/>
    <n v="4"/>
    <x v="0"/>
    <n v="7"/>
    <x v="3"/>
    <n v="20.173200000000001"/>
    <n v="4.0422000000000002"/>
    <n v="20.037475462494793"/>
    <n v="42.254285714285714"/>
    <n v="3.0340277006307814"/>
    <n v="47.58"/>
    <n v="1.792"/>
    <n v="11.185"/>
    <n v="0.30199999999999999"/>
    <n v="2.087E-2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0"/>
    <n v="7"/>
    <n v="1"/>
    <n v="2"/>
    <n v="8"/>
    <n v="0"/>
    <n v="0"/>
    <n v="0"/>
    <n v="1"/>
  </r>
  <r>
    <s v="HCLP3"/>
    <s v="HH"/>
    <x v="1"/>
    <x v="0"/>
    <n v="3"/>
    <x v="0"/>
    <n v="7"/>
    <x v="3"/>
    <n v="21.175799999999999"/>
    <n v="3.9514"/>
    <n v="81.340020211751153"/>
    <n v="43.551428571428566"/>
    <n v="3.0567468523461461"/>
    <n v="42.57"/>
    <n v="1.4259999999999999"/>
    <n v="8.9120000000000008"/>
    <n v="0.57199999999999995"/>
    <n v="0.57100000000000006"/>
    <n v="2"/>
    <n v="1"/>
    <n v="0"/>
    <n v="0"/>
    <n v="0"/>
    <n v="2"/>
    <n v="0"/>
    <n v="0"/>
    <n v="0"/>
    <n v="2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5"/>
    <n v="0"/>
    <n v="19"/>
    <n v="0"/>
    <n v="1"/>
    <n v="19"/>
    <n v="0"/>
    <n v="0"/>
    <n v="0"/>
    <n v="1"/>
  </r>
  <r>
    <s v="HCLP4"/>
    <s v="HH"/>
    <x v="1"/>
    <x v="0"/>
    <n v="4"/>
    <x v="0"/>
    <n v="7"/>
    <x v="3"/>
    <n v="16.941500000000001"/>
    <n v="3.0042"/>
    <n v="82.267213646961608"/>
    <n v="57.082857142857144"/>
    <n v="3.3308054892614964"/>
    <n v="46.37"/>
    <n v="1.734"/>
    <n v="10.839"/>
    <n v="0.249"/>
    <n v="0.40600000000000003"/>
    <n v="1"/>
    <n v="1"/>
    <n v="0"/>
    <n v="1"/>
    <n v="0"/>
    <n v="0"/>
    <n v="1"/>
    <n v="0"/>
    <n v="1"/>
    <n v="1"/>
    <n v="0"/>
    <n v="0"/>
    <n v="0"/>
    <n v="0"/>
    <n v="5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9"/>
    <n v="0"/>
    <n v="14"/>
    <n v="0"/>
    <n v="1"/>
    <n v="14"/>
    <n v="0"/>
    <n v="0"/>
    <n v="0"/>
    <n v="1"/>
  </r>
  <r>
    <s v="SCUR4"/>
    <s v="SB"/>
    <x v="0"/>
    <x v="1"/>
    <n v="4"/>
    <x v="0"/>
    <n v="7"/>
    <x v="3"/>
    <n v="18.292999999999999"/>
    <n v="3.1074999999999999"/>
    <n v="83.012627781118468"/>
    <n v="55.607142857142854"/>
    <n v="3.2969982544405845"/>
    <n v="47.15"/>
    <n v="1.7609999999999999"/>
    <n v="11.004"/>
    <n v="0.49099999999999999"/>
    <n v="0.18687000000000001"/>
    <n v="13"/>
    <n v="0"/>
    <n v="0"/>
    <n v="0"/>
    <n v="0"/>
    <n v="0"/>
    <n v="0"/>
    <n v="0"/>
    <n v="1"/>
    <n v="0"/>
    <n v="0"/>
    <n v="0"/>
    <n v="0"/>
    <n v="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32"/>
    <n v="5"/>
    <n v="0"/>
    <n v="31"/>
    <n v="1"/>
    <n v="2"/>
    <n v="30"/>
    <n v="0"/>
    <n v="0"/>
    <n v="2"/>
    <n v="1"/>
  </r>
  <r>
    <n v="6"/>
    <s v="HH"/>
    <x v="0"/>
    <x v="0"/>
    <n v="3"/>
    <x v="0"/>
    <n v="7.02"/>
    <x v="4"/>
    <n v="7.2210000000000001"/>
    <n v="2.0670000000000002"/>
    <n v="71.375155795596186"/>
    <n v="70.555555555555543"/>
    <n v="4.1130366952342534"/>
    <n v="46.07"/>
    <n v="1.669"/>
    <n v="10.432"/>
    <n v="0.33"/>
    <n v="0.36162"/>
    <n v="0"/>
    <n v="2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"/>
    <n v="0"/>
    <n v="15"/>
    <n v="0"/>
    <n v="1"/>
    <n v="15"/>
    <n v="0"/>
    <n v="0"/>
    <n v="0"/>
    <n v="1"/>
  </r>
  <r>
    <n v="14"/>
    <s v="HH"/>
    <x v="0"/>
    <x v="0"/>
    <n v="2"/>
    <x v="0"/>
    <n v="6.92"/>
    <x v="4"/>
    <n v="6.2510000000000003"/>
    <n v="2.698"/>
    <n v="56.838905775075986"/>
    <n v="61.011560693641606"/>
    <n v="3.8322767697401789"/>
    <n v="43.96"/>
    <n v="1.603"/>
    <n v="10.016999999999999"/>
    <n v="0.23599999999999999"/>
    <n v="0.39062000000000002"/>
    <n v="0"/>
    <n v="2"/>
    <n v="0"/>
    <n v="0"/>
    <n v="0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20"/>
    <n v="0"/>
    <n v="0"/>
    <n v="0"/>
    <n v="1"/>
  </r>
  <r>
    <n v="15"/>
    <s v="HH"/>
    <x v="1"/>
    <x v="0"/>
    <n v="5"/>
    <x v="0"/>
    <n v="7.01"/>
    <x v="4"/>
    <n v="0.79100000000000004"/>
    <n v="0.60399999999999998"/>
    <n v="23.640960809102406"/>
    <n v="91.383737517831662"/>
    <n v="5.3418905399899854"/>
    <n v="45.88"/>
    <n v="1.6120000000000001"/>
    <n v="10.071999999999999"/>
    <n v="0.32200000000000001"/>
    <n v="0.173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2"/>
    <s v="HH"/>
    <x v="1"/>
    <x v="0"/>
    <n v="1"/>
    <x v="0"/>
    <n v="6.9999999999999991"/>
    <x v="4"/>
    <n v="2.173"/>
    <n v="1.2689999999999999"/>
    <n v="41.601472618499777"/>
    <n v="81.871428571428567"/>
    <n v="4.5980527182192272"/>
    <n v="44.12"/>
    <n v="1.5389999999999999"/>
    <n v="9.6199999999999992"/>
    <n v="0.36"/>
    <n v="0.376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4"/>
    <s v="HH"/>
    <x v="0"/>
    <x v="0"/>
    <n v="1"/>
    <x v="0"/>
    <n v="6.9899999999999993"/>
    <x v="4"/>
    <n v="5.4379999999999997"/>
    <n v="2.843"/>
    <n v="47.719749908054432"/>
    <n v="59.327610872675251"/>
    <n v="3.7899924814730208"/>
    <n v="44.39"/>
    <n v="1.47"/>
    <n v="9.19"/>
    <n v="0.27800000000000002"/>
    <n v="0.1846200000000000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0"/>
    <n v="1"/>
    <n v="2"/>
    <n v="0"/>
    <n v="0"/>
    <n v="0"/>
    <n v="1"/>
  </r>
  <r>
    <n v="50"/>
    <s v="HH"/>
    <x v="0"/>
    <x v="0"/>
    <n v="4"/>
    <x v="0"/>
    <n v="6.92"/>
    <x v="4"/>
    <n v="3.004"/>
    <n v="2.0350000000000001"/>
    <n v="32.256990679094535"/>
    <n v="70.592485549132945"/>
    <n v="4.1142917086311845"/>
    <n v="45.47"/>
    <n v="1.8149999999999999"/>
    <n v="11.345000000000001"/>
    <n v="0.29699999999999999"/>
    <n v="0.36362"/>
    <n v="0"/>
    <n v="0"/>
    <n v="0"/>
    <n v="0"/>
    <n v="2"/>
    <n v="0"/>
    <n v="0"/>
    <n v="0"/>
    <n v="0"/>
    <n v="0"/>
    <n v="0"/>
    <n v="0"/>
    <n v="0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20"/>
    <n v="0"/>
    <n v="0"/>
    <n v="0"/>
    <n v="1"/>
  </r>
  <r>
    <n v="54"/>
    <s v="HH"/>
    <x v="0"/>
    <x v="0"/>
    <n v="5"/>
    <x v="0"/>
    <n v="6.98"/>
    <x v="4"/>
    <n v="5.7530000000000001"/>
    <n v="2.27"/>
    <n v="60.542325743090565"/>
    <n v="67.478510028653304"/>
    <n v="4.0136408431771349"/>
    <n v="45.38"/>
    <n v="1.7869999999999999"/>
    <n v="11.166"/>
    <n v="0.438"/>
    <n v="0.30499999999999999"/>
    <n v="0"/>
    <n v="0"/>
    <n v="0"/>
    <n v="0"/>
    <n v="0"/>
    <n v="0"/>
    <n v="0"/>
    <n v="0"/>
    <n v="1"/>
    <n v="0"/>
    <n v="0"/>
    <n v="1"/>
    <n v="0"/>
    <n v="0"/>
    <n v="4"/>
    <n v="0"/>
    <n v="0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0"/>
    <n v="8"/>
    <n v="1"/>
    <n v="2"/>
    <n v="8"/>
    <n v="0"/>
    <n v="0"/>
    <n v="1"/>
    <n v="1"/>
  </r>
  <r>
    <n v="121"/>
    <s v="HH"/>
    <x v="1"/>
    <x v="1"/>
    <n v="5"/>
    <x v="0"/>
    <n v="7.06"/>
    <x v="4"/>
    <n v="3.1890000000000001"/>
    <n v="1.7010000000000001"/>
    <n v="46.660395108184382"/>
    <n v="75.906515580736539"/>
    <n v="4.3136004959875907"/>
    <n v="43.7"/>
    <n v="1.52"/>
    <n v="9.5009999999999994"/>
    <n v="0.30399999999999999"/>
    <n v="0.3206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35"/>
    <s v="HH"/>
    <x v="0"/>
    <x v="1"/>
    <n v="4"/>
    <x v="0"/>
    <n v="7"/>
    <x v="4"/>
    <n v="2.835"/>
    <n v="2.0030000000000001"/>
    <n v="29.347442680776009"/>
    <n v="71.385714285714286"/>
    <n v="4.1416358502677966"/>
    <n v="45.1"/>
    <n v="1.6539999999999999"/>
    <n v="10.337"/>
    <n v="0.26700000000000002"/>
    <n v="3.2000000000000028E-2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0"/>
    <n v="5"/>
    <n v="0"/>
    <n v="1"/>
    <n v="5"/>
    <n v="0"/>
    <n v="0"/>
    <n v="0"/>
    <n v="1"/>
  </r>
  <r>
    <n v="137"/>
    <s v="HH"/>
    <x v="0"/>
    <x v="1"/>
    <n v="5"/>
    <x v="0"/>
    <n v="7.09"/>
    <x v="4"/>
    <n v="5.5010000000000003"/>
    <n v="2.6070000000000002"/>
    <n v="52.608616615160877"/>
    <n v="63.229901269393508"/>
    <n v="3.8908569634888361"/>
    <n v="45.38"/>
    <n v="1.5740000000000001"/>
    <n v="9.8379999999999992"/>
    <n v="0.28100000000000003"/>
    <n v="0.309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0"/>
    <n v="5"/>
    <n v="0"/>
    <n v="1"/>
    <n v="5"/>
    <n v="0"/>
    <n v="0"/>
    <n v="0"/>
    <n v="1"/>
  </r>
  <r>
    <n v="142"/>
    <s v="HH"/>
    <x v="1"/>
    <x v="1"/>
    <n v="3"/>
    <x v="0"/>
    <n v="7.09"/>
    <x v="4"/>
    <n v="3.4390000000000001"/>
    <n v="2.0009999999999999"/>
    <n v="41.814480953765631"/>
    <n v="71.777150916784223"/>
    <n v="4.1554100428386045"/>
    <n v="41.25"/>
    <n v="1.4059999999999999"/>
    <n v="8.7910000000000004"/>
    <n v="0.26800000000000002"/>
    <n v="0.468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44"/>
    <s v="HH"/>
    <x v="0"/>
    <x v="1"/>
    <n v="3"/>
    <x v="0"/>
    <n v="7.07"/>
    <x v="4"/>
    <n v="3.7879999999999998"/>
    <n v="2.9039999999999999"/>
    <n v="23.336853220696934"/>
    <n v="58.925035360678926"/>
    <n v="3.7801431408420965"/>
    <n v="44.19"/>
    <n v="1.6679999999999999"/>
    <n v="10.423999999999999"/>
    <n v="0.26900000000000002"/>
    <n v="0.16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5"/>
    <s v="HH"/>
    <x v="1"/>
    <x v="1"/>
    <n v="4"/>
    <x v="0"/>
    <n v="7.01"/>
    <x v="4"/>
    <n v="60.712000000000003"/>
    <n v="1.2549999999999999"/>
    <n v="97.932863354855698"/>
    <n v="82.097004279600569"/>
    <n v="4.6105738863589165"/>
    <n v="42.7"/>
    <n v="1.3069999999999999"/>
    <n v="8.1709999999999994"/>
    <n v="0.28799999999999998"/>
    <n v="0.11961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55"/>
    <s v="HH"/>
    <x v="1"/>
    <x v="1"/>
    <n v="4"/>
    <x v="0"/>
    <n v="7"/>
    <x v="4"/>
    <n v="3.76"/>
    <n v="1.234"/>
    <n v="67.180851063829778"/>
    <n v="82.371428571428567"/>
    <n v="4.6260209814682822"/>
    <n v="45.28"/>
    <n v="1.5369999999999999"/>
    <n v="9.6069999999999993"/>
    <n v="0.27600000000000002"/>
    <n v="0.23262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74"/>
    <s v="HH"/>
    <x v="0"/>
    <x v="1"/>
    <n v="1"/>
    <x v="0"/>
    <n v="7"/>
    <x v="4"/>
    <n v="3.82"/>
    <n v="2.64"/>
    <n v="30.890052356020938"/>
    <n v="62.285714285714278"/>
    <n v="3.8655029897932529"/>
    <n v="43.57"/>
    <n v="1.454"/>
    <n v="9.09"/>
    <n v="0.42899999999999999"/>
    <n v="0.84861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41"/>
    <s v="SB"/>
    <x v="1"/>
    <x v="0"/>
    <n v="4"/>
    <x v="0"/>
    <n v="7.0299999999999994"/>
    <x v="4"/>
    <n v="8.6590000000000007"/>
    <n v="1.8069999999999999"/>
    <n v="79.131539438734265"/>
    <n v="74.295874822190598"/>
    <n v="4.2488904521086468"/>
    <n v="46.8"/>
    <n v="1.6419999999999999"/>
    <n v="10.262"/>
    <n v="0.39400000000000002"/>
    <n v="0.51200000000000001"/>
    <n v="3"/>
    <n v="0"/>
    <n v="0"/>
    <n v="0"/>
    <n v="0"/>
    <n v="0"/>
    <n v="0"/>
    <n v="0"/>
    <n v="1"/>
    <n v="0"/>
    <n v="0"/>
    <n v="1"/>
    <n v="0"/>
    <n v="0"/>
    <n v="9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6"/>
    <n v="0"/>
    <n v="15"/>
    <n v="1"/>
    <n v="2"/>
    <n v="15"/>
    <n v="0"/>
    <n v="0"/>
    <n v="1"/>
    <n v="1"/>
  </r>
  <r>
    <n v="243"/>
    <s v="SB"/>
    <x v="1"/>
    <x v="0"/>
    <n v="5"/>
    <x v="0"/>
    <n v="6.8900000000000006"/>
    <x v="4"/>
    <n v="8.5419999999999998"/>
    <n v="2.1150000000000002"/>
    <n v="75.239990634511827"/>
    <n v="69.303338171262695"/>
    <n v="4.0713880304234911"/>
    <n v="45.72"/>
    <n v="1.5669999999999999"/>
    <n v="9.7919999999999998"/>
    <n v="0.309"/>
    <n v="0.15962000000000001"/>
    <n v="0"/>
    <n v="1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7"/>
    <n v="1"/>
    <n v="2"/>
    <n v="8"/>
    <n v="0"/>
    <n v="0"/>
    <n v="0"/>
    <n v="1"/>
  </r>
  <r>
    <n v="252"/>
    <s v="SB"/>
    <x v="1"/>
    <x v="0"/>
    <n v="3"/>
    <x v="0"/>
    <n v="6.9200000000000008"/>
    <x v="4"/>
    <n v="6.0010000000000003"/>
    <n v="2.302"/>
    <n v="61.639726712214639"/>
    <n v="66.734104046242777"/>
    <n v="3.9910092172260523"/>
    <n v="45.59"/>
    <n v="2.0569999999999999"/>
    <n v="12.856"/>
    <n v="0.25800000000000001"/>
    <n v="0.1640000000000000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256"/>
    <s v="SB"/>
    <x v="0"/>
    <x v="0"/>
    <n v="4"/>
    <x v="0"/>
    <n v="7.5099999999999989"/>
    <x v="4"/>
    <n v="10.59"/>
    <n v="2.79"/>
    <n v="73.654390934844187"/>
    <n v="62.849533954727022"/>
    <n v="3.880565627838934"/>
    <n v="46.88"/>
    <n v="1.6839999999999999"/>
    <n v="10.523999999999999"/>
    <n v="0.38600000000000001"/>
    <n v="0.19762000000000002"/>
    <n v="4"/>
    <n v="2"/>
    <n v="0"/>
    <n v="1"/>
    <n v="0"/>
    <n v="0"/>
    <n v="0"/>
    <n v="0"/>
    <n v="0"/>
    <n v="0"/>
    <n v="1"/>
    <n v="0"/>
    <n v="0"/>
    <n v="0"/>
    <n v="2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6"/>
    <n v="0"/>
    <n v="30"/>
    <n v="0"/>
    <n v="1"/>
    <n v="30"/>
    <n v="0"/>
    <n v="0"/>
    <n v="0"/>
    <n v="1"/>
  </r>
  <r>
    <n v="258"/>
    <s v="SB"/>
    <x v="1"/>
    <x v="1"/>
    <n v="1"/>
    <x v="0"/>
    <n v="6.92"/>
    <x v="4"/>
    <n v="5.17"/>
    <n v="1.405"/>
    <n v="72.823984526112184"/>
    <n v="79.696531791907503"/>
    <n v="4.4847502247400337"/>
    <n v="44.09"/>
    <n v="1.47"/>
    <n v="9.1890000000000001"/>
    <n v="0.33500000000000002"/>
    <n v="0.245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268"/>
    <s v="SB"/>
    <x v="0"/>
    <x v="0"/>
    <n v="1"/>
    <x v="0"/>
    <n v="7.01"/>
    <x v="4"/>
    <n v="11.458"/>
    <n v="3.1469999999999998"/>
    <n v="72.534473730144882"/>
    <n v="55.106990014265335"/>
    <n v="3.6912598408603938"/>
    <n v="47.77"/>
    <n v="1.54"/>
    <n v="9.6229999999999993"/>
    <n v="0.42899999999999999"/>
    <n v="0.29661999999999999"/>
    <n v="4"/>
    <n v="2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0"/>
    <n v="10"/>
    <n v="0"/>
    <n v="1"/>
    <n v="10"/>
    <n v="0"/>
    <n v="0"/>
    <n v="0"/>
    <n v="1"/>
  </r>
  <r>
    <n v="270"/>
    <s v="SB"/>
    <x v="1"/>
    <x v="0"/>
    <n v="2"/>
    <x v="0"/>
    <n v="7.0400000000000009"/>
    <x v="4"/>
    <n v="12.635999999999999"/>
    <n v="2.7440000000000002"/>
    <n v="78.284267173156067"/>
    <n v="61.02272727272728"/>
    <n v="3.8325632182024769"/>
    <n v="48.06"/>
    <n v="1.637"/>
    <n v="10.231999999999999"/>
    <n v="0.28199999999999997"/>
    <n v="0.31062000000000001"/>
    <n v="1"/>
    <n v="0"/>
    <n v="0"/>
    <n v="4"/>
    <n v="0"/>
    <n v="0"/>
    <n v="0"/>
    <n v="1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0"/>
    <n v="9"/>
    <n v="1"/>
    <n v="2"/>
    <n v="10"/>
    <n v="0"/>
    <n v="0"/>
    <n v="0"/>
    <n v="1"/>
  </r>
  <r>
    <n v="276"/>
    <s v="SB"/>
    <x v="0"/>
    <x v="0"/>
    <n v="3"/>
    <x v="0"/>
    <n v="6.9899999999999993"/>
    <x v="4"/>
    <n v="12.234999999999999"/>
    <n v="2.2130000000000001"/>
    <n v="81.912545974662848"/>
    <n v="68.340486409155929"/>
    <n v="4.0405032530729708"/>
    <n v="47.05"/>
    <n v="1.9410000000000001"/>
    <n v="12.132999999999999"/>
    <n v="0.23200000000000001"/>
    <n v="0.21200000000000002"/>
    <n v="0"/>
    <n v="1"/>
    <n v="0"/>
    <n v="0"/>
    <n v="1"/>
    <n v="1"/>
    <n v="0"/>
    <n v="0"/>
    <n v="1"/>
    <n v="0"/>
    <n v="0"/>
    <n v="0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5"/>
    <n v="0"/>
    <n v="23"/>
    <n v="0"/>
    <n v="1"/>
    <n v="23"/>
    <n v="0"/>
    <n v="0"/>
    <n v="0"/>
    <n v="1"/>
  </r>
  <r>
    <n v="289"/>
    <s v="SB"/>
    <x v="0"/>
    <x v="0"/>
    <n v="2"/>
    <x v="0"/>
    <n v="6.97"/>
    <x v="4"/>
    <n v="10.379"/>
    <n v="2.4510000000000001"/>
    <n v="76.385008189613629"/>
    <n v="64.835007173601156"/>
    <n v="3.9354908781226214"/>
    <n v="45.45"/>
    <n v="1.72"/>
    <n v="10.747"/>
    <n v="0.26900000000000002"/>
    <n v="0.23762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6"/>
    <n v="0"/>
    <n v="1"/>
    <n v="6"/>
    <n v="0"/>
    <n v="0"/>
    <n v="0"/>
    <n v="1"/>
  </r>
  <r>
    <n v="376"/>
    <s v="SB"/>
    <x v="1"/>
    <x v="1"/>
    <n v="2"/>
    <x v="0"/>
    <n v="6.94"/>
    <x v="4"/>
    <n v="9.9740000000000002"/>
    <n v="3.577"/>
    <n v="64.13675556446762"/>
    <n v="48.458213256484157"/>
    <n v="3.5531490721379972"/>
    <n v="46.52"/>
    <n v="1.357"/>
    <n v="8.4830000000000005"/>
    <n v="0.29099999999999998"/>
    <n v="0.23762"/>
    <n v="0"/>
    <n v="1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0"/>
    <n v="6"/>
    <n v="0"/>
    <n v="1"/>
    <n v="6"/>
    <n v="0"/>
    <n v="0"/>
    <n v="0"/>
    <n v="1"/>
  </r>
  <r>
    <n v="377"/>
    <s v="SB"/>
    <x v="0"/>
    <x v="1"/>
    <n v="1"/>
    <x v="0"/>
    <n v="7.01"/>
    <x v="4"/>
    <n v="6.3360000000000003"/>
    <n v="2.6859999999999999"/>
    <n v="57.607323232323239"/>
    <n v="61.683309557774614"/>
    <n v="3.8496563608416174"/>
    <n v="46.96"/>
    <n v="1.4430000000000001"/>
    <n v="9.0169999999999995"/>
    <n v="0.317"/>
    <n v="0.28361999999999998"/>
    <n v="1"/>
    <n v="1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8"/>
    <n v="0"/>
    <n v="1"/>
    <n v="8"/>
    <n v="0"/>
    <n v="0"/>
    <n v="0"/>
    <n v="1"/>
  </r>
  <r>
    <n v="380"/>
    <s v="SB"/>
    <x v="1"/>
    <x v="1"/>
    <n v="3"/>
    <x v="0"/>
    <n v="6.99"/>
    <x v="4"/>
    <n v="5.4809999999999999"/>
    <n v="2.5950000000000002"/>
    <n v="52.65462506841817"/>
    <n v="62.875536480686691"/>
    <n v="3.8812657975240317"/>
    <n v="45.82"/>
    <n v="1.3839999999999999"/>
    <n v="8.6479999999999997"/>
    <n v="0.26400000000000001"/>
    <n v="0.19362000000000001"/>
    <n v="1"/>
    <n v="2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0"/>
    <n v="7"/>
    <n v="0"/>
    <n v="1"/>
    <n v="7"/>
    <n v="0"/>
    <n v="0"/>
    <n v="0"/>
    <n v="1"/>
  </r>
  <r>
    <n v="388"/>
    <s v="SB"/>
    <x v="1"/>
    <x v="1"/>
    <n v="1"/>
    <x v="0"/>
    <n v="6.98"/>
    <x v="4"/>
    <n v="11.471"/>
    <n v="1.3240000000000001"/>
    <n v="88.45785023101736"/>
    <n v="81.031518624641848"/>
    <n v="4.5527632171556291"/>
    <n v="46.15"/>
    <n v="1.173"/>
    <n v="7.3339999999999996"/>
    <n v="0.23899999999999999"/>
    <n v="0.29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4"/>
    <n v="3"/>
    <n v="0"/>
    <n v="2"/>
    <n v="2"/>
    <n v="2"/>
    <n v="4"/>
    <n v="0"/>
    <n v="0"/>
    <n v="0"/>
    <n v="1"/>
  </r>
  <r>
    <n v="400"/>
    <s v="SB"/>
    <x v="0"/>
    <x v="1"/>
    <n v="3"/>
    <x v="0"/>
    <n v="6.91"/>
    <x v="4"/>
    <n v="10.029"/>
    <n v="2.448"/>
    <n v="75.590786718516298"/>
    <n v="64.573082489146159"/>
    <n v="3.9280700310256633"/>
    <n v="46.1"/>
    <n v="1.4610000000000001"/>
    <n v="9.1310000000000002"/>
    <n v="0.309"/>
    <n v="0.26862000000000003"/>
    <n v="1"/>
    <n v="0"/>
    <n v="0"/>
    <n v="1"/>
    <n v="0"/>
    <n v="1"/>
    <n v="0"/>
    <n v="0"/>
    <n v="1"/>
    <n v="0"/>
    <n v="0"/>
    <n v="0"/>
    <n v="0"/>
    <n v="0"/>
    <n v="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6"/>
    <n v="0"/>
    <n v="37"/>
    <n v="0"/>
    <n v="1"/>
    <n v="37"/>
    <n v="0"/>
    <n v="0"/>
    <n v="0"/>
    <n v="1"/>
  </r>
  <r>
    <n v="406"/>
    <s v="SB"/>
    <x v="0"/>
    <x v="1"/>
    <n v="4"/>
    <x v="0"/>
    <n v="6.97"/>
    <x v="4"/>
    <n v="8.3879999999999999"/>
    <n v="2.036"/>
    <n v="75.727229375298037"/>
    <n v="70.789096126255373"/>
    <n v="4.1209998839803212"/>
    <n v="45.98"/>
    <n v="1.512"/>
    <n v="9.4480000000000004"/>
    <n v="0.32400000000000001"/>
    <n v="0.40062000000000003"/>
    <n v="1"/>
    <n v="0"/>
    <n v="0"/>
    <n v="0"/>
    <n v="0"/>
    <n v="0"/>
    <n v="0"/>
    <n v="0"/>
    <n v="0"/>
    <n v="1"/>
    <n v="0"/>
    <n v="1"/>
    <n v="1"/>
    <n v="0"/>
    <n v="15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6"/>
    <n v="0"/>
    <n v="20"/>
    <n v="0"/>
    <n v="1"/>
    <n v="19"/>
    <n v="0"/>
    <n v="0"/>
    <n v="1"/>
    <n v="1"/>
  </r>
  <r>
    <n v="409"/>
    <s v="SB"/>
    <x v="0"/>
    <x v="1"/>
    <n v="2"/>
    <x v="0"/>
    <n v="6.93"/>
    <x v="4"/>
    <n v="6.2649999999999997"/>
    <n v="1.863"/>
    <n v="70.263367916999201"/>
    <n v="73.11688311688313"/>
    <n v="4.2040434794785249"/>
    <n v="45.92"/>
    <n v="1.5009999999999999"/>
    <n v="9.3810000000000002"/>
    <n v="0.26100000000000001"/>
    <n v="0.33"/>
    <n v="2"/>
    <n v="1"/>
    <n v="0"/>
    <n v="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0"/>
    <n v="7"/>
    <n v="1"/>
    <n v="2"/>
    <n v="8"/>
    <n v="0"/>
    <n v="0"/>
    <n v="0"/>
    <n v="1"/>
  </r>
  <r>
    <n v="410"/>
    <s v="SB"/>
    <x v="1"/>
    <x v="1"/>
    <n v="4"/>
    <x v="0"/>
    <n v="6.95"/>
    <x v="4"/>
    <n v="4.8129999999999997"/>
    <n v="1.3640000000000001"/>
    <n v="71.660087263660927"/>
    <n v="80.374100719424462"/>
    <n v="4.5186918580515956"/>
    <n v="47.7"/>
    <n v="1.331"/>
    <n v="8.3209999999999997"/>
    <n v="0.30499999999999999"/>
    <n v="0.13762000000000002"/>
    <n v="2"/>
    <n v="0"/>
    <n v="0"/>
    <n v="0"/>
    <n v="0"/>
    <n v="0"/>
    <n v="0"/>
    <n v="0"/>
    <n v="0"/>
    <n v="0"/>
    <n v="0"/>
    <n v="1"/>
    <n v="0"/>
    <n v="0"/>
    <n v="1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9"/>
    <n v="6"/>
    <n v="0"/>
    <n v="17"/>
    <n v="2"/>
    <n v="2"/>
    <n v="17"/>
    <n v="0"/>
    <n v="0"/>
    <n v="2"/>
    <n v="1"/>
  </r>
  <r>
    <n v="411"/>
    <s v="SB"/>
    <x v="1"/>
    <x v="1"/>
    <n v="5"/>
    <x v="0"/>
    <n v="7.01"/>
    <x v="4"/>
    <n v="10.593999999999999"/>
    <n v="3.1480000000000001"/>
    <n v="70.285067019067398"/>
    <n v="55.092724679029956"/>
    <n v="3.6909421283875066"/>
    <n v="45.22"/>
    <n v="1.38"/>
    <n v="8.6229999999999993"/>
    <n v="0.32900000000000001"/>
    <n v="0.12562000000000001"/>
    <n v="0"/>
    <n v="1"/>
    <n v="0"/>
    <n v="0"/>
    <n v="0"/>
    <n v="0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0"/>
    <n v="5"/>
    <n v="0"/>
    <n v="1"/>
    <n v="4"/>
    <n v="0"/>
    <n v="0"/>
    <n v="1"/>
    <n v="1"/>
  </r>
  <r>
    <n v="458"/>
    <s v="HH"/>
    <x v="0"/>
    <x v="1"/>
    <n v="2"/>
    <x v="0"/>
    <n v="7.04"/>
    <x v="4"/>
    <n v="3.4689999999999999"/>
    <n v="1.92"/>
    <n v="44.652637647737095"/>
    <n v="72.727272727272734"/>
    <n v="4.1896547420264261"/>
    <n v="49.07"/>
    <n v="1.5720000000000001"/>
    <n v="9.8249999999999993"/>
    <n v="0.30099999999999999"/>
    <n v="0.30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84"/>
    <s v="BC"/>
    <x v="1"/>
    <x v="0"/>
    <n v="2"/>
    <x v="0"/>
    <n v="7.06"/>
    <x v="4"/>
    <n v="5.694"/>
    <n v="1.88"/>
    <n v="33.017211099402878"/>
    <n v="73.371104815864015"/>
    <n v="4.2135450325594572"/>
    <n v="46.41"/>
    <n v="1.4930000000000001"/>
    <n v="9.3290000000000006"/>
    <n v="0.43"/>
    <n v="0.430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1"/>
  </r>
  <r>
    <n v="485"/>
    <s v="BC"/>
    <x v="0"/>
    <x v="0"/>
    <n v="4"/>
    <x v="0"/>
    <n v="7"/>
    <x v="4"/>
    <n v="9.2940000000000005"/>
    <n v="2.609"/>
    <n v="28.071874327523133"/>
    <n v="62.728571428571435"/>
    <n v="3.8773149007968866"/>
    <n v="46.72"/>
    <n v="1.679"/>
    <n v="10.492000000000001"/>
    <n v="0.44400000000000001"/>
    <n v="0.40399999999999997"/>
    <n v="0"/>
    <n v="0"/>
    <n v="0"/>
    <n v="0"/>
    <n v="0"/>
    <n v="0"/>
    <n v="0"/>
    <n v="0"/>
    <n v="0"/>
    <n v="0"/>
    <n v="0"/>
    <n v="1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"/>
    <n v="0"/>
    <n v="20"/>
    <n v="0"/>
    <n v="1"/>
    <n v="19"/>
    <n v="0"/>
    <n v="0"/>
    <n v="1"/>
    <n v="1"/>
  </r>
  <r>
    <n v="495"/>
    <s v="BC"/>
    <x v="1"/>
    <x v="0"/>
    <n v="4"/>
    <x v="0"/>
    <n v="6.99"/>
    <x v="4"/>
    <n v="6.4180000000000001"/>
    <n v="2.133"/>
    <n v="33.234652539732004"/>
    <n v="69.484978540772531"/>
    <n v="4.07732287465267"/>
    <n v="42.86"/>
    <n v="1.5409999999999999"/>
    <n v="9.6280000000000001"/>
    <n v="0.40799999999999997"/>
    <n v="0.37762000000000001"/>
    <n v="4"/>
    <n v="3"/>
    <n v="0"/>
    <n v="0"/>
    <n v="2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6"/>
    <n v="0"/>
    <n v="14"/>
    <n v="0"/>
    <n v="1"/>
    <n v="13"/>
    <n v="0"/>
    <n v="0"/>
    <n v="1"/>
    <n v="1"/>
  </r>
  <r>
    <n v="504"/>
    <s v="BC"/>
    <x v="0"/>
    <x v="0"/>
    <n v="1"/>
    <x v="0"/>
    <n v="6.9"/>
    <x v="4"/>
    <n v="3.2210000000000001"/>
    <n v="1.4359999999999999"/>
    <n v="44.582427817447993"/>
    <n v="79.188405797101453"/>
    <n v="4.4600316988733457"/>
    <n v="46.64"/>
    <n v="1.8140000000000001"/>
    <n v="11.335000000000001"/>
    <n v="0.435"/>
    <n v="0.3786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9"/>
    <s v="BC"/>
    <x v="1"/>
    <x v="0"/>
    <n v="1"/>
    <x v="0"/>
    <n v="7.04"/>
    <x v="4"/>
    <n v="4.9059999999999997"/>
    <n v="2.1"/>
    <n v="42.804728903383612"/>
    <n v="70.170454545454547"/>
    <n v="4.1000425833367382"/>
    <n v="45.38"/>
    <n v="1.91"/>
    <n v="11.938000000000001"/>
    <n v="0.24299999999999999"/>
    <n v="0.13662000000000002"/>
    <n v="2"/>
    <n v="3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5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5"/>
    <n v="0"/>
    <n v="15"/>
    <n v="1"/>
    <n v="2"/>
    <n v="16"/>
    <n v="0"/>
    <n v="0"/>
    <n v="0"/>
    <n v="1"/>
  </r>
  <r>
    <n v="512"/>
    <s v="BC"/>
    <x v="1"/>
    <x v="0"/>
    <n v="3"/>
    <x v="0"/>
    <n v="7.08"/>
    <x v="4"/>
    <n v="8.2509999999999994"/>
    <n v="1.8120000000000001"/>
    <n v="21.960974427342141"/>
    <n v="74.406779661016941"/>
    <n v="4.2532144579810058"/>
    <n v="45.44"/>
    <n v="1.4550000000000001"/>
    <n v="9.0950000000000006"/>
    <n v="0.46400000000000002"/>
    <n v="0.49200000000000005"/>
    <n v="0"/>
    <n v="1"/>
    <n v="0"/>
    <n v="0"/>
    <n v="1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"/>
    <n v="0"/>
    <n v="14"/>
    <n v="1"/>
    <n v="2"/>
    <n v="15"/>
    <n v="0"/>
    <n v="0"/>
    <n v="0"/>
    <n v="1"/>
  </r>
  <r>
    <n v="519"/>
    <s v="BC"/>
    <x v="0"/>
    <x v="0"/>
    <n v="2"/>
    <x v="0"/>
    <n v="7"/>
    <x v="4"/>
    <n v="7.3620000000000001"/>
    <n v="2.8380000000000001"/>
    <n v="38.549307253463731"/>
    <n v="59.457142857142856"/>
    <n v="3.7931823282136272"/>
    <n v="45.5"/>
    <n v="1.6160000000000001"/>
    <n v="10.102"/>
    <n v="0.51"/>
    <n v="0.34100000000000003"/>
    <n v="5"/>
    <n v="4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3"/>
    <n v="0"/>
    <n v="16"/>
    <n v="0"/>
    <n v="1"/>
    <n v="16"/>
    <n v="0"/>
    <n v="0"/>
    <n v="0"/>
    <n v="1"/>
  </r>
  <r>
    <n v="520"/>
    <s v="BC"/>
    <x v="0"/>
    <x v="0"/>
    <n v="3"/>
    <x v="0"/>
    <n v="7.07"/>
    <x v="4"/>
    <n v="6.2460000000000004"/>
    <n v="2.637"/>
    <n v="42.21902017291066"/>
    <n v="62.701555869872692"/>
    <n v="3.8765903304334968"/>
    <n v="43.09"/>
    <n v="1.7110000000000001"/>
    <n v="10.692"/>
    <n v="0.52700000000000002"/>
    <n v="0.52961999999999998"/>
    <n v="3"/>
    <n v="2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0"/>
    <n v="8"/>
    <n v="0"/>
    <n v="1"/>
    <n v="8"/>
    <n v="0"/>
    <n v="0"/>
    <n v="0"/>
    <n v="1"/>
  </r>
  <r>
    <n v="538"/>
    <s v="BC"/>
    <x v="1"/>
    <x v="0"/>
    <n v="5"/>
    <x v="0"/>
    <n v="7.06"/>
    <x v="4"/>
    <n v="5.8520000000000003"/>
    <n v="1.8759999999999999"/>
    <n v="32.057416267942578"/>
    <n v="73.427762039660053"/>
    <n v="4.2156749588172824"/>
    <n v="46.51"/>
    <n v="1.744"/>
    <n v="10.901999999999999"/>
    <n v="0.42599999999999999"/>
    <n v="0.31562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39"/>
    <s v="BC"/>
    <x v="0"/>
    <x v="0"/>
    <n v="5"/>
    <x v="0"/>
    <n v="7.01"/>
    <x v="4"/>
    <n v="6.1340000000000003"/>
    <n v="1.827"/>
    <n v="29.784805999347896"/>
    <n v="73.93723252496433"/>
    <n v="4.2350341815467933"/>
    <n v="46.09"/>
    <n v="1.919"/>
    <n v="11.992000000000001"/>
    <n v="0.56999999999999995"/>
    <n v="0.63761999999999996"/>
    <n v="2"/>
    <n v="6"/>
    <n v="0"/>
    <n v="0"/>
    <n v="0"/>
    <n v="1"/>
    <n v="0"/>
    <n v="0"/>
    <n v="0"/>
    <n v="1"/>
    <n v="0"/>
    <n v="2"/>
    <n v="0"/>
    <n v="0"/>
    <n v="1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8"/>
    <n v="0"/>
    <n v="25"/>
    <n v="1"/>
    <n v="2"/>
    <n v="24"/>
    <n v="0"/>
    <n v="0"/>
    <n v="2"/>
    <n v="1"/>
  </r>
  <r>
    <n v="602"/>
    <s v="BC"/>
    <x v="1"/>
    <x v="1"/>
    <n v="4"/>
    <x v="0"/>
    <n v="7.04"/>
    <x v="4"/>
    <n v="3.4990000000000001"/>
    <n v="1.4990000000000001"/>
    <n v="42.840811660474422"/>
    <n v="78.707386363636374"/>
    <n v="4.4371817089456549"/>
    <n v="47.45"/>
    <n v="2.4550000000000001"/>
    <n v="15.343"/>
    <n v="0.26300000000000001"/>
    <n v="0.49700000000000005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0"/>
    <n v="3"/>
    <n v="0"/>
    <n v="1"/>
    <n v="3"/>
    <n v="0"/>
    <n v="0"/>
    <n v="0"/>
    <n v="1"/>
  </r>
  <r>
    <n v="614"/>
    <s v="BC"/>
    <x v="1"/>
    <x v="1"/>
    <n v="1"/>
    <x v="0"/>
    <n v="6.95"/>
    <x v="4"/>
    <n v="9.9260000000000002"/>
    <n v="1.669"/>
    <n v="16.814426758009269"/>
    <n v="75.985611510791372"/>
    <n v="4.3168887727931677"/>
    <n v="46.7"/>
    <n v="1.3660000000000001"/>
    <n v="8.5389999999999997"/>
    <n v="0.28100000000000003"/>
    <n v="0.22962000000000002"/>
    <n v="4"/>
    <n v="2"/>
    <n v="0"/>
    <n v="1"/>
    <n v="0"/>
    <n v="1"/>
    <n v="0"/>
    <n v="0"/>
    <n v="0"/>
    <n v="0"/>
    <n v="0"/>
    <n v="1"/>
    <n v="0"/>
    <n v="0"/>
    <n v="3"/>
    <n v="0"/>
    <n v="0"/>
    <n v="0"/>
    <n v="0"/>
    <n v="0"/>
    <n v="0"/>
    <n v="0"/>
    <n v="0"/>
    <n v="0"/>
    <n v="8"/>
    <n v="0"/>
    <n v="0"/>
    <n v="0"/>
    <n v="0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9"/>
    <n v="0"/>
    <n v="20"/>
    <n v="6"/>
    <n v="2"/>
    <n v="25"/>
    <n v="0"/>
    <n v="0"/>
    <n v="1"/>
    <n v="1"/>
  </r>
  <r>
    <n v="631"/>
    <s v="BC"/>
    <x v="1"/>
    <x v="1"/>
    <n v="5"/>
    <x v="0"/>
    <n v="7.09"/>
    <x v="4"/>
    <n v="7.7930000000000001"/>
    <n v="2.4140000000000001"/>
    <n v="30.97651738739895"/>
    <n v="65.952045133991547"/>
    <n v="3.9677719757648608"/>
    <n v="47.45"/>
    <n v="1.7490000000000001"/>
    <n v="10.929"/>
    <n v="0.44600000000000001"/>
    <n v="0.32362000000000002"/>
    <n v="1"/>
    <n v="5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4"/>
    <n v="0"/>
    <n v="13"/>
    <n v="0"/>
    <n v="1"/>
    <n v="13"/>
    <n v="0"/>
    <n v="0"/>
    <n v="0"/>
    <n v="1"/>
  </r>
  <r>
    <n v="634"/>
    <s v="BC"/>
    <x v="0"/>
    <x v="1"/>
    <n v="3"/>
    <x v="0"/>
    <n v="7.05"/>
    <x v="4"/>
    <n v="5.0049999999999999"/>
    <n v="1.905"/>
    <n v="38.061938061938058"/>
    <n v="72.978723404255319"/>
    <n v="4.1989173661416777"/>
    <n v="46.66"/>
    <n v="2.8130000000000002"/>
    <n v="17.581"/>
    <n v="0.317"/>
    <n v="0.34861999999999999"/>
    <n v="1"/>
    <n v="0"/>
    <n v="0"/>
    <n v="0"/>
    <n v="0"/>
    <n v="0"/>
    <n v="0"/>
    <n v="0"/>
    <n v="0"/>
    <n v="1"/>
    <n v="0"/>
    <n v="1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0"/>
    <n v="12"/>
    <n v="0"/>
    <n v="1"/>
    <n v="11"/>
    <n v="0"/>
    <n v="0"/>
    <n v="1"/>
    <n v="1"/>
  </r>
  <r>
    <n v="639"/>
    <s v="BC"/>
    <x v="1"/>
    <x v="1"/>
    <n v="3"/>
    <x v="0"/>
    <n v="6.95"/>
    <x v="4"/>
    <n v="3.2250000000000001"/>
    <n v="2.0059999999999998"/>
    <n v="62.201550387596896"/>
    <n v="71.136690647482027"/>
    <n v="4.132970727933122"/>
    <n v="43.06"/>
    <n v="1.7350000000000001"/>
    <n v="10.843999999999999"/>
    <n v="0.31"/>
    <n v="0.39762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655"/>
    <s v="BC"/>
    <x v="0"/>
    <x v="1"/>
    <n v="5"/>
    <x v="0"/>
    <n v="7.02"/>
    <x v="4"/>
    <n v="6.6580000000000004"/>
    <n v="3.32"/>
    <n v="49.864824271553019"/>
    <n v="52.706552706552699"/>
    <n v="3.6391701930054872"/>
    <n v="46.77"/>
    <n v="2.3479999999999999"/>
    <n v="14.675000000000001"/>
    <n v="0.28299999999999997"/>
    <n v="0.43962000000000001"/>
    <n v="0"/>
    <n v="0"/>
    <n v="0"/>
    <n v="0"/>
    <n v="0"/>
    <n v="1"/>
    <n v="0"/>
    <n v="0"/>
    <n v="0"/>
    <n v="1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0"/>
    <n v="8"/>
    <n v="0"/>
    <n v="1"/>
    <n v="8"/>
    <n v="0"/>
    <n v="0"/>
    <n v="0"/>
    <n v="1"/>
  </r>
  <r>
    <n v="675"/>
    <s v="BC"/>
    <x v="0"/>
    <x v="1"/>
    <n v="1"/>
    <x v="0"/>
    <n v="7"/>
    <x v="4"/>
    <n v="4.0469999999999997"/>
    <n v="2.0089999999999999"/>
    <n v="49.641709908574256"/>
    <n v="71.3"/>
    <n v="4.1386448211186808"/>
    <n v="45.69"/>
    <n v="1.589"/>
    <n v="9.9280000000000008"/>
    <n v="0.28199999999999997"/>
    <n v="0.27799999999999997"/>
    <n v="5"/>
    <n v="5"/>
    <n v="0"/>
    <n v="0"/>
    <n v="0"/>
    <n v="0"/>
    <n v="0"/>
    <n v="0"/>
    <n v="0"/>
    <n v="0"/>
    <n v="0"/>
    <n v="1"/>
    <n v="0"/>
    <n v="0"/>
    <n v="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5"/>
    <n v="1"/>
    <n v="15"/>
    <n v="0"/>
    <n v="2"/>
    <n v="15"/>
    <n v="0"/>
    <n v="0"/>
    <n v="1"/>
    <n v="1"/>
  </r>
  <r>
    <s v="BCLR2"/>
    <s v="BC"/>
    <x v="1"/>
    <x v="1"/>
    <n v="2"/>
    <x v="0"/>
    <n v="7"/>
    <x v="4"/>
    <n v="3.1720000000000002"/>
    <n v="1.0509999999999999"/>
    <n v="33.13366960907944"/>
    <n v="84.98571428571428"/>
    <n v="4.7865398150566643"/>
    <n v="45.76"/>
    <n v="1.369"/>
    <n v="8.5559999999999992"/>
    <n v="0.254"/>
    <n v="0.27199999999999996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0"/>
    <n v="6"/>
    <n v="0"/>
    <n v="1"/>
    <n v="6"/>
    <n v="0"/>
    <n v="0"/>
    <n v="0"/>
    <n v="1"/>
  </r>
  <r>
    <s v="BCUP4"/>
    <s v="BC"/>
    <x v="0"/>
    <x v="0"/>
    <n v="4"/>
    <x v="0"/>
    <n v="7"/>
    <x v="4"/>
    <n v="4.9050000000000002"/>
    <n v="2.2149999999999999"/>
    <n v="45.15800203873598"/>
    <n v="68.357142857142861"/>
    <n v="4.0410295034543795"/>
    <n v="44.49"/>
    <n v="1.8720000000000001"/>
    <n v="11.702"/>
    <n v="0.42199999999999999"/>
    <n v="0.32300000000000001"/>
    <n v="4"/>
    <n v="1"/>
    <n v="0"/>
    <n v="1"/>
    <n v="0"/>
    <n v="0"/>
    <n v="0"/>
    <n v="1"/>
    <n v="0"/>
    <n v="0"/>
    <n v="0"/>
    <n v="0"/>
    <n v="0"/>
    <n v="1"/>
    <n v="8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8"/>
    <n v="0"/>
    <n v="21"/>
    <n v="0"/>
    <n v="1"/>
    <n v="20"/>
    <n v="0"/>
    <n v="0"/>
    <n v="1"/>
    <n v="1"/>
  </r>
  <r>
    <s v="BCUPR2"/>
    <s v="BC"/>
    <x v="0"/>
    <x v="1"/>
    <n v="2"/>
    <x v="0"/>
    <n v="7"/>
    <x v="4"/>
    <n v="4.8129999999999997"/>
    <n v="1.5409999999999999"/>
    <n v="32.017452732183671"/>
    <n v="77.98571428571428"/>
    <n v="4.4038503506134994"/>
    <n v="43.9"/>
    <n v="2.6429999999999998"/>
    <n v="16.518999999999998"/>
    <n v="0.32700000000000001"/>
    <n v="0.10161999999999999"/>
    <n v="0"/>
    <n v="1"/>
    <n v="0"/>
    <n v="0"/>
    <n v="0"/>
    <n v="1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0"/>
    <n v="7"/>
    <n v="0"/>
    <n v="1"/>
    <n v="7"/>
    <n v="0"/>
    <n v="0"/>
    <n v="0"/>
    <n v="1"/>
  </r>
  <r>
    <s v="HCLP2"/>
    <s v="HH"/>
    <x v="1"/>
    <x v="0"/>
    <n v="2"/>
    <x v="0"/>
    <n v="7"/>
    <x v="4"/>
    <n v="3.8969999999999998"/>
    <n v="2.343"/>
    <n v="39.876828329484212"/>
    <n v="66.528571428571425"/>
    <n v="3.9848497474258195"/>
    <n v="45.26"/>
    <n v="1.6859999999999999"/>
    <n v="10.536"/>
    <n v="0.20899999999999999"/>
    <n v="0.18962000000000001"/>
    <n v="0"/>
    <n v="1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0"/>
    <n v="8"/>
    <n v="0"/>
    <n v="1"/>
    <n v="8"/>
    <n v="0"/>
    <n v="0"/>
    <n v="0"/>
    <n v="1"/>
  </r>
  <r>
    <s v="HCLR2"/>
    <s v="HH"/>
    <x v="1"/>
    <x v="1"/>
    <n v="2"/>
    <x v="0"/>
    <n v="7"/>
    <x v="4"/>
    <n v="3.93"/>
    <n v="2.3540000000000001"/>
    <n v="40.101781170483456"/>
    <n v="66.371428571428567"/>
    <n v="3.9801658981133929"/>
    <n v="46.77"/>
    <n v="1.228"/>
    <n v="7.6779999999999999"/>
    <n v="0.318"/>
    <n v="0.343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CLR3"/>
    <s v="HH"/>
    <x v="1"/>
    <x v="1"/>
    <n v="3"/>
    <x v="0"/>
    <n v="7"/>
    <x v="4"/>
    <n v="6.2729999999999997"/>
    <n v="1.026"/>
    <n v="83.644189383070298"/>
    <n v="85.342857142857142"/>
    <n v="4.8106141602029"/>
    <n v="45.48"/>
    <n v="1.51"/>
    <n v="9.4359999999999999"/>
    <n v="0.22800000000000001"/>
    <n v="0.28499999999999998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0"/>
    <n v="4"/>
    <n v="0"/>
    <n v="1"/>
    <n v="4"/>
    <n v="0"/>
    <n v="0"/>
    <n v="0"/>
    <n v="1"/>
  </r>
  <r>
    <s v="HCUR4"/>
    <s v="HH"/>
    <x v="0"/>
    <x v="1"/>
    <n v="4"/>
    <x v="0"/>
    <n v="7"/>
    <x v="4"/>
    <n v="4.59"/>
    <n v="2.54"/>
    <n v="44.662309368191714"/>
    <n v="63.714285714285715"/>
    <n v="3.9041178259210327"/>
    <n v="45.09"/>
    <n v="1.51"/>
    <n v="9.4359999999999999"/>
    <n v="0.312"/>
    <n v="0.288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70"/>
    <s v="HH"/>
    <x v="0"/>
    <x v="0"/>
    <n v="5"/>
    <x v="1"/>
    <n v="7.01"/>
    <x v="0"/>
    <n v="18.289000000000001"/>
    <n v="6.1349999999999998"/>
    <n v="66.455246322926357"/>
    <n v="12.482168330955778"/>
    <n v="0.13332762288362399"/>
    <n v="48.51"/>
    <n v="0.90200000000000002"/>
    <n v="5.6369999999999996"/>
    <n v="3.4540000000000002"/>
    <n v="1.99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"/>
    <s v="HH"/>
    <x v="1"/>
    <x v="0"/>
    <n v="5"/>
    <x v="1"/>
    <n v="6.98"/>
    <x v="0"/>
    <n v="20.222000000000001"/>
    <n v="6.0730000000000004"/>
    <n v="69.968351300563754"/>
    <n v="12.994269340974213"/>
    <n v="0.13919619985884277"/>
    <n v="46.65"/>
    <n v="1.073"/>
    <n v="6.7080000000000002"/>
    <n v="2.0430000000000001"/>
    <n v="1.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"/>
    <s v="HH"/>
    <x v="0"/>
    <x v="0"/>
    <n v="4"/>
    <x v="1"/>
    <n v="6.97"/>
    <x v="0"/>
    <n v="21.581"/>
    <n v="5.9640000000000004"/>
    <n v="72.364579954589686"/>
    <n v="14.433285509325671"/>
    <n v="0.15587382786994047"/>
    <n v="48.62"/>
    <n v="0.91500000000000004"/>
    <n v="5.7190000000000003"/>
    <n v="3.04"/>
    <n v="1.940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3"/>
    <s v="HH"/>
    <x v="1"/>
    <x v="0"/>
    <n v="4"/>
    <x v="1"/>
    <n v="7"/>
    <x v="0"/>
    <n v="21.952000000000002"/>
    <n v="5.9329999999999998"/>
    <n v="72.972849854227405"/>
    <n v="15.242857142857144"/>
    <n v="0.16538016177880716"/>
    <n v="48"/>
    <n v="0.82699999999999996"/>
    <n v="5.17"/>
    <n v="3.327"/>
    <n v="1.77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"/>
    <s v="HH"/>
    <x v="1"/>
    <x v="0"/>
    <n v="2"/>
    <x v="1"/>
    <n v="6.98"/>
    <x v="0"/>
    <n v="8.6419999999999995"/>
    <n v="6"/>
    <n v="30.571626938208745"/>
    <n v="14.040114613180521"/>
    <n v="0.15128944754622617"/>
    <n v="48.12"/>
    <n v="1.0189999999999999"/>
    <n v="6.367"/>
    <n v="1.7929999999999999"/>
    <n v="1.3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"/>
    <s v="HH"/>
    <x v="1"/>
    <x v="0"/>
    <n v="1"/>
    <x v="1"/>
    <n v="7.05"/>
    <x v="0"/>
    <n v="23.768000000000001"/>
    <n v="6.0179999999999998"/>
    <n v="74.68024234264557"/>
    <n v="14.638297872340425"/>
    <n v="0.15827263861632376"/>
    <n v="47.64"/>
    <n v="1.117"/>
    <n v="6.9809999999999999"/>
    <n v="2.3170000000000002"/>
    <n v="1.67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8"/>
    <s v="HH"/>
    <x v="1"/>
    <x v="0"/>
    <n v="3"/>
    <x v="1"/>
    <n v="7"/>
    <x v="0"/>
    <n v="18.914000000000001"/>
    <n v="5.8280000000000003"/>
    <n v="69.186845722745062"/>
    <n v="16.74285714285714"/>
    <n v="0.18323626072235483"/>
    <n v="48.31"/>
    <n v="1.0549999999999999"/>
    <n v="6.5940000000000003"/>
    <n v="3.5430000000000001"/>
    <n v="2.35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"/>
    <s v="HH"/>
    <x v="0"/>
    <x v="0"/>
    <n v="3"/>
    <x v="1"/>
    <n v="6.98"/>
    <x v="0"/>
    <n v="16.603999999999999"/>
    <n v="5.9560000000000004"/>
    <n v="64.12912551192484"/>
    <n v="14.670487106017191"/>
    <n v="0.15864980195251857"/>
    <n v="47.44"/>
    <n v="0.98799999999999999"/>
    <n v="6.1769999999999996"/>
    <n v="2.649"/>
    <n v="1.8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"/>
    <s v="HH"/>
    <x v="0"/>
    <x v="0"/>
    <n v="1"/>
    <x v="1"/>
    <n v="6.97"/>
    <x v="0"/>
    <n v="27.981000000000002"/>
    <n v="5.8"/>
    <n v="79.271648618705541"/>
    <n v="16.786226685796269"/>
    <n v="0.18375730722005884"/>
    <n v="48.22"/>
    <n v="0.90300000000000002"/>
    <n v="5.6459999999999999"/>
    <n v="3.1259999999999999"/>
    <n v="2.1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"/>
    <s v="HH"/>
    <x v="0"/>
    <x v="0"/>
    <n v="2"/>
    <x v="1"/>
    <n v="7.04"/>
    <x v="0"/>
    <n v="20.465"/>
    <n v="5.9420000000000002"/>
    <n v="70.965062301490349"/>
    <n v="15.596590909090907"/>
    <n v="0.16956239312953506"/>
    <n v="47.37"/>
    <n v="1.0209999999999999"/>
    <n v="6.3810000000000002"/>
    <n v="3.2490000000000001"/>
    <n v="2.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0"/>
    <s v="HH"/>
    <x v="0"/>
    <x v="1"/>
    <n v="4"/>
    <x v="1"/>
    <n v="7.03"/>
    <x v="0"/>
    <n v="19.683"/>
    <n v="5.99"/>
    <n v="69.567647208250776"/>
    <n v="14.793741109530584"/>
    <n v="0.1600952936952155"/>
    <n v="47.61"/>
    <n v="0.71399999999999997"/>
    <n v="4.4630000000000001"/>
    <n v="1.087"/>
    <n v="1.5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"/>
    <s v="HH"/>
    <x v="1"/>
    <x v="1"/>
    <n v="5"/>
    <x v="1"/>
    <n v="6.98"/>
    <x v="0"/>
    <n v="17.946999999999999"/>
    <n v="5.9859999999999998"/>
    <n v="66.646236139744801"/>
    <n v="14.240687679083102"/>
    <n v="0.15362550734377409"/>
    <n v="48.72"/>
    <n v="0.68600000000000005"/>
    <n v="4.2859999999999996"/>
    <n v="1.163"/>
    <n v="1.49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6"/>
    <s v="HH"/>
    <x v="1"/>
    <x v="1"/>
    <n v="3"/>
    <x v="1"/>
    <n v="7.04"/>
    <x v="0"/>
    <n v="17.068999999999999"/>
    <n v="6.1059999999999999"/>
    <n v="64.22754701505653"/>
    <n v="13.267045454545457"/>
    <n v="0.14233627585726494"/>
    <n v="48.02"/>
    <n v="0.69899999999999995"/>
    <n v="4.3680000000000003"/>
    <n v="0.67400000000000004"/>
    <n v="0.35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8"/>
    <s v="HH"/>
    <x v="0"/>
    <x v="1"/>
    <n v="5"/>
    <x v="1"/>
    <n v="6.96"/>
    <x v="0"/>
    <n v="15.196"/>
    <n v="5.9489999999999998"/>
    <n v="60.851539878915503"/>
    <n v="14.52586206896552"/>
    <n v="0.15695633614055973"/>
    <n v="47.45"/>
    <n v="0.68400000000000005"/>
    <n v="4.2729999999999997"/>
    <n v="1.1020000000000001"/>
    <n v="1.18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9"/>
    <s v="HH"/>
    <x v="1"/>
    <x v="1"/>
    <n v="1"/>
    <x v="1"/>
    <n v="6.95"/>
    <x v="0"/>
    <n v="20.204999999999998"/>
    <n v="6.04"/>
    <n v="70.106409304627576"/>
    <n v="13.093525179856117"/>
    <n v="0.14033764762997716"/>
    <n v="47.32"/>
    <n v="0.62"/>
    <n v="3.8769999999999998"/>
    <n v="0.89900000000000002"/>
    <n v="1.00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1"/>
    <s v="HH"/>
    <x v="0"/>
    <x v="1"/>
    <n v="2"/>
    <x v="1"/>
    <n v="7.07"/>
    <x v="0"/>
    <n v="17.018999999999998"/>
    <n v="6.1029999999999998"/>
    <n v="64.140078735530864"/>
    <n v="13.677510608203686"/>
    <n v="0.14708002634612352"/>
    <n v="47.89"/>
    <n v="0.90400000000000003"/>
    <n v="5.6479999999999997"/>
    <n v="1.349"/>
    <n v="1.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2"/>
    <s v="HH"/>
    <x v="1"/>
    <x v="1"/>
    <n v="4"/>
    <x v="1"/>
    <n v="6.95"/>
    <x v="0"/>
    <n v="23.971"/>
    <n v="5.8940000000000001"/>
    <n v="75.411956113637302"/>
    <n v="15.194244604316548"/>
    <n v="0.16480677526119775"/>
    <n v="47.93"/>
    <n v="0.81200000000000006"/>
    <n v="5.077"/>
    <n v="0.90700000000000003"/>
    <n v="1.21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2"/>
    <s v="HH"/>
    <x v="0"/>
    <x v="1"/>
    <n v="3"/>
    <x v="1"/>
    <n v="7.04"/>
    <x v="0"/>
    <n v="15.645"/>
    <n v="6.0960000000000001"/>
    <n v="61.035474592521567"/>
    <n v="13.40909090909091"/>
    <n v="0.14397535178560583"/>
    <n v="47.85"/>
    <n v="0.92300000000000004"/>
    <n v="5.7709999999999999"/>
    <n v="1.24"/>
    <n v="1.6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1"/>
    <s v="HH"/>
    <x v="0"/>
    <x v="1"/>
    <n v="1"/>
    <x v="1"/>
    <n v="6.94"/>
    <x v="0"/>
    <n v="23.359000000000002"/>
    <n v="5.92"/>
    <n v="74.656449334303687"/>
    <n v="14.697406340057642"/>
    <n v="0.15896532562279886"/>
    <n v="47.35"/>
    <n v="0.67300000000000004"/>
    <n v="4.2080000000000002"/>
    <n v="1.8120000000000001"/>
    <n v="2.307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s v="HH"/>
    <x v="1"/>
    <x v="1"/>
    <n v="2"/>
    <x v="1"/>
    <n v="7"/>
    <x v="0"/>
    <n v="21.952000000000002"/>
    <n v="5.9550000000000001"/>
    <n v="72.872631195335273"/>
    <n v="14.928571428571427"/>
    <n v="0.16167894624804982"/>
    <n v="47.99"/>
    <n v="0.77"/>
    <n v="4.8150000000000004"/>
    <n v="1.881"/>
    <n v="2.099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2"/>
    <s v="SB"/>
    <x v="0"/>
    <x v="0"/>
    <n v="2"/>
    <x v="1"/>
    <n v="7.02"/>
    <x v="0"/>
    <n v="27.716000000000001"/>
    <n v="6.39"/>
    <n v="76.944725068552458"/>
    <n v="8.9743589743589727"/>
    <n v="9.4028949648276336E-2"/>
    <n v="48.4"/>
    <n v="1.097"/>
    <n v="6.8559999999999999"/>
    <n v="1.8819999999999999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7"/>
    <s v="SB"/>
    <x v="0"/>
    <x v="0"/>
    <n v="4"/>
    <x v="1"/>
    <n v="7"/>
    <x v="0"/>
    <n v="28.766999999999999"/>
    <n v="6.1989999999999998"/>
    <n v="78.45100288525046"/>
    <n v="11.442857142857145"/>
    <n v="0.12152216033553097"/>
    <n v="48.31"/>
    <n v="1.3069999999999999"/>
    <n v="8.1669999999999998"/>
    <n v="1.883"/>
    <n v="1.881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8"/>
    <s v="SB"/>
    <x v="0"/>
    <x v="0"/>
    <n v="1"/>
    <x v="1"/>
    <n v="7.03"/>
    <x v="0"/>
    <n v="24.562999999999999"/>
    <n v="6.2290000000000001"/>
    <n v="74.64071978178562"/>
    <n v="11.394025604551922"/>
    <n v="0.12097089955056514"/>
    <n v="48.51"/>
    <n v="1.2909999999999999"/>
    <n v="8.07"/>
    <n v="1.996"/>
    <n v="2.03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9"/>
    <s v="SB"/>
    <x v="1"/>
    <x v="0"/>
    <n v="4"/>
    <x v="1"/>
    <n v="6.98"/>
    <x v="0"/>
    <n v="23.59"/>
    <n v="6.3310000000000004"/>
    <n v="73.162356930902931"/>
    <n v="9.2979942693409736"/>
    <n v="9.7590715212291582E-2"/>
    <n v="48.03"/>
    <n v="1.1950000000000001"/>
    <n v="7.4720000000000004"/>
    <n v="1.524"/>
    <n v="1.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0"/>
    <s v="SB"/>
    <x v="1"/>
    <x v="0"/>
    <n v="1"/>
    <x v="1"/>
    <n v="7"/>
    <x v="0"/>
    <n v="26.466999999999999"/>
    <n v="6.242"/>
    <n v="76.415914157252416"/>
    <n v="10.828571428571429"/>
    <n v="0.11460950520672565"/>
    <n v="47.99"/>
    <n v="1.4930000000000001"/>
    <n v="9.3309999999999995"/>
    <n v="1.2649999999999999"/>
    <n v="1.12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2"/>
    <s v="SB"/>
    <x v="1"/>
    <x v="0"/>
    <n v="3"/>
    <x v="1"/>
    <n v="7.03"/>
    <x v="0"/>
    <n v="22.521000000000001"/>
    <n v="6.3259999999999996"/>
    <n v="71.910661160694474"/>
    <n v="10.014224751066864"/>
    <n v="0.10551858093911658"/>
    <n v="48.38"/>
    <n v="0.83399999999999996"/>
    <n v="5.2119999999999997"/>
    <n v="2.3330000000000002"/>
    <n v="2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4"/>
    <s v="SB"/>
    <x v="0"/>
    <x v="0"/>
    <n v="3"/>
    <x v="1"/>
    <n v="7.03"/>
    <x v="0"/>
    <n v="22.056000000000001"/>
    <n v="6.2720000000000002"/>
    <n v="71.563293434893012"/>
    <n v="10.782361308677098"/>
    <n v="0.11409142277446685"/>
    <n v="47.72"/>
    <n v="0.98899999999999999"/>
    <n v="6.1779999999999999"/>
    <n v="2.69"/>
    <n v="2.04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9"/>
    <s v="SB"/>
    <x v="1"/>
    <x v="0"/>
    <n v="5"/>
    <x v="1"/>
    <n v="7.05"/>
    <x v="0"/>
    <n v="25.251999999999999"/>
    <n v="6.28"/>
    <n v="75.130682718200532"/>
    <n v="10.921985815602831"/>
    <n v="0.11565763634406991"/>
    <n v="48.01"/>
    <n v="1.131"/>
    <n v="7.0679999999999996"/>
    <n v="2.3959999999999999"/>
    <n v="2.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7"/>
    <s v="SB"/>
    <x v="0"/>
    <x v="0"/>
    <n v="5"/>
    <x v="1"/>
    <n v="6.97"/>
    <x v="0"/>
    <n v="27.899000000000001"/>
    <n v="6.2510000000000003"/>
    <n v="77.594179002831638"/>
    <n v="10.315638450502144"/>
    <n v="0.10887377382275709"/>
    <n v="49.9"/>
    <n v="0.84899999999999998"/>
    <n v="5.3090000000000002"/>
    <n v="2.1920000000000002"/>
    <n v="1.553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9"/>
    <s v="SB"/>
    <x v="1"/>
    <x v="0"/>
    <n v="2"/>
    <x v="1"/>
    <n v="6.95"/>
    <x v="0"/>
    <n v="22.178999999999998"/>
    <n v="6.1589999999999998"/>
    <n v="72.230488299743001"/>
    <n v="11.381294964028783"/>
    <n v="0.12082723287179467"/>
    <n v="48.02"/>
    <n v="0.82499999999999996"/>
    <n v="5.1539999999999999"/>
    <n v="1.823"/>
    <n v="1.8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"/>
    <s v="SB"/>
    <x v="1"/>
    <x v="1"/>
    <n v="3"/>
    <x v="1"/>
    <n v="6.92"/>
    <x v="0"/>
    <n v="15.962999999999999"/>
    <n v="6.3559999999999999"/>
    <n v="60.18292300945938"/>
    <n v="8.1502890173410414"/>
    <n v="8.5016520955108643E-2"/>
    <n v="47.45"/>
    <n v="0.84399999999999997"/>
    <n v="5.2729999999999997"/>
    <n v="1.2030000000000001"/>
    <n v="2.06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8"/>
    <s v="SB"/>
    <x v="0"/>
    <x v="1"/>
    <n v="2"/>
    <x v="1"/>
    <n v="7.02"/>
    <x v="0"/>
    <n v="17.213000000000001"/>
    <n v="6.4020000000000001"/>
    <n v="62.807180619299366"/>
    <n v="8.8034188034187952"/>
    <n v="9.2152776490048341E-2"/>
    <n v="47.49"/>
    <n v="0.91900000000000004"/>
    <n v="5.7409999999999997"/>
    <n v="1.3140000000000001"/>
    <n v="1.68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2"/>
    <s v="SB"/>
    <x v="0"/>
    <x v="1"/>
    <n v="4"/>
    <x v="1"/>
    <n v="6.98"/>
    <x v="0"/>
    <n v="20.782"/>
    <n v="6.5389999999999997"/>
    <n v="68.535270907516121"/>
    <n v="6.3180515759312428"/>
    <n v="6.5264668195142275E-2"/>
    <n v="47.81"/>
    <n v="0.61099999999999999"/>
    <n v="3.8210000000000002"/>
    <n v="1.335"/>
    <n v="1.87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7"/>
    <s v="SB"/>
    <x v="0"/>
    <x v="1"/>
    <n v="5"/>
    <x v="1"/>
    <n v="7.08"/>
    <x v="0"/>
    <n v="25.393000000000001"/>
    <n v="6.476"/>
    <n v="74.496908596857409"/>
    <n v="8.5310734463276852"/>
    <n v="8.9170871890239728E-2"/>
    <n v="47.42"/>
    <n v="0.745"/>
    <n v="4.6589999999999998"/>
    <n v="1.1539999999999999"/>
    <n v="1.6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6"/>
    <s v="SB"/>
    <x v="1"/>
    <x v="1"/>
    <n v="2"/>
    <x v="1"/>
    <n v="6.93"/>
    <x v="0"/>
    <n v="18.815999999999999"/>
    <n v="6.3920000000000003"/>
    <n v="66.028911564625844"/>
    <n v="7.7633477633477543"/>
    <n v="8.0812604737838176E-2"/>
    <n v="47.2"/>
    <n v="0.70699999999999996"/>
    <n v="4.4180000000000001"/>
    <n v="1.3129999999999999"/>
    <n v="1.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9"/>
    <s v="SB"/>
    <x v="1"/>
    <x v="1"/>
    <n v="1"/>
    <x v="1"/>
    <n v="7.03"/>
    <x v="0"/>
    <n v="18.440000000000001"/>
    <n v="6.4420000000000002"/>
    <n v="65.0650759219089"/>
    <n v="8.3641536273115236"/>
    <n v="8.7347654913566442E-2"/>
    <n v="48.1"/>
    <n v="0.82599999999999996"/>
    <n v="5.1619999999999999"/>
    <n v="1.252"/>
    <n v="2.2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1"/>
    <s v="SB"/>
    <x v="1"/>
    <x v="1"/>
    <n v="5"/>
    <x v="1"/>
    <n v="7.01"/>
    <x v="0"/>
    <n v="21.248000000000001"/>
    <n v="6.5209999999999999"/>
    <n v="69.310052710843379"/>
    <n v="6.9757489300998561"/>
    <n v="7.2309962635433489E-2"/>
    <n v="47.99"/>
    <n v="0.871"/>
    <n v="5.4459999999999997"/>
    <n v="1.327"/>
    <n v="1.93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1"/>
    <s v="SB"/>
    <x v="0"/>
    <x v="1"/>
    <n v="1"/>
    <x v="1"/>
    <n v="6.95"/>
    <x v="0"/>
    <n v="21.41"/>
    <n v="6.2110000000000003"/>
    <n v="70.990191499299399"/>
    <n v="10.633093525179854"/>
    <n v="0.11241974599953475"/>
    <n v="47.39"/>
    <n v="0.89100000000000001"/>
    <n v="5.5679999999999996"/>
    <n v="0.93400000000000005"/>
    <n v="1.68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5"/>
    <s v="SB"/>
    <x v="1"/>
    <x v="1"/>
    <n v="4"/>
    <x v="1"/>
    <n v="6.96"/>
    <x v="0"/>
    <n v="21.876000000000001"/>
    <n v="6.3330000000000002"/>
    <n v="71.050466264399347"/>
    <n v="9.008620689655169"/>
    <n v="9.4405416812034973E-2"/>
    <n v="48.69"/>
    <n v="0.84199999999999997"/>
    <n v="5.2610000000000001"/>
    <n v="1.2969999999999999"/>
    <n v="0.88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8"/>
    <s v="SB"/>
    <x v="0"/>
    <x v="1"/>
    <n v="3"/>
    <x v="1"/>
    <n v="7.01"/>
    <x v="0"/>
    <n v="16.457999999999998"/>
    <n v="6.3639999999999999"/>
    <n v="61.33187507595089"/>
    <n v="9.2154065620542074"/>
    <n v="9.6680590570958277E-2"/>
    <n v="47.23"/>
    <n v="0.72299999999999998"/>
    <n v="4.5170000000000003"/>
    <n v="1.48"/>
    <n v="1.93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5"/>
    <s v="BC"/>
    <x v="1"/>
    <x v="0"/>
    <n v="1"/>
    <x v="1"/>
    <n v="6.95"/>
    <x v="0"/>
    <n v="14.757999999999999"/>
    <n v="6.05"/>
    <n v="40.994714730993358"/>
    <n v="12.949640287769789"/>
    <n v="0.13868338753395076"/>
    <n v="47.78"/>
    <n v="0.79900000000000004"/>
    <n v="4.9930000000000003"/>
    <n v="3.3340000000000001"/>
    <n v="2.26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8"/>
    <s v="BC"/>
    <x v="1"/>
    <x v="1"/>
    <n v="4"/>
    <x v="1"/>
    <n v="6.94"/>
    <x v="0"/>
    <n v="27.637"/>
    <n v="6.1440000000000001"/>
    <n v="22.231067047798241"/>
    <n v="11.469740634005767"/>
    <n v="0.1218257786733421"/>
    <n v="46.92"/>
    <n v="0.94599999999999995"/>
    <n v="5.9109999999999996"/>
    <n v="2.34"/>
    <n v="1.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9"/>
    <s v="BC"/>
    <x v="0"/>
    <x v="1"/>
    <n v="4"/>
    <x v="1"/>
    <n v="7.09"/>
    <x v="0"/>
    <n v="22.611999999999998"/>
    <n v="6.2759999999999998"/>
    <n v="27.755174243764376"/>
    <n v="11.48095909732017"/>
    <n v="0.12195250567325004"/>
    <n v="47.11"/>
    <n v="1.0269999999999999"/>
    <n v="6.4210000000000003"/>
    <n v="2.5150000000000001"/>
    <n v="2.49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7"/>
    <s v="BC"/>
    <x v="1"/>
    <x v="0"/>
    <n v="2"/>
    <x v="1"/>
    <n v="7.02"/>
    <x v="0"/>
    <n v="23.297999999999998"/>
    <n v="6.1"/>
    <n v="26.182504936046016"/>
    <n v="13.105413105413104"/>
    <n v="0.14047444685845425"/>
    <n v="47.88"/>
    <n v="0.875"/>
    <n v="5.4720000000000004"/>
    <n v="1.9510000000000001"/>
    <n v="1.78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5"/>
    <s v="BC"/>
    <x v="1"/>
    <x v="1"/>
    <n v="3"/>
    <x v="1"/>
    <n v="7.03"/>
    <x v="0"/>
    <n v="21.145"/>
    <n v="6.109"/>
    <n v="28.890990777961694"/>
    <n v="13.100995732574683"/>
    <n v="0.14042361215494367"/>
    <n v="47.12"/>
    <n v="1.0029999999999999"/>
    <n v="6.2679999999999998"/>
    <n v="2.6139999999999999"/>
    <n v="1.83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7"/>
    <s v="BC"/>
    <x v="0"/>
    <x v="0"/>
    <n v="1"/>
    <x v="1"/>
    <n v="7.08"/>
    <x v="0"/>
    <n v="20.315999999999999"/>
    <n v="6.1120000000000001"/>
    <n v="30.084662335105339"/>
    <n v="13.672316384180791"/>
    <n v="0.14701985584140906"/>
    <n v="48.89"/>
    <n v="0.93600000000000005"/>
    <n v="5.8470000000000004"/>
    <n v="3.3149999999999999"/>
    <n v="2.46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9"/>
    <s v="BC"/>
    <x v="1"/>
    <x v="0"/>
    <n v="5"/>
    <x v="1"/>
    <n v="7.03"/>
    <x v="0"/>
    <n v="21.105"/>
    <n v="6.2119999999999997"/>
    <n v="29.433783463634207"/>
    <n v="11.635846372688485"/>
    <n v="0.12370380053613299"/>
    <n v="48"/>
    <n v="0.94199999999999995"/>
    <n v="5.8879999999999999"/>
    <n v="2.3769999999999998"/>
    <n v="2.283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0"/>
    <s v="BC"/>
    <x v="0"/>
    <x v="0"/>
    <n v="2"/>
    <x v="1"/>
    <n v="7.02"/>
    <x v="0"/>
    <n v="19.54"/>
    <n v="6.3220000000000001"/>
    <n v="32.354145342886383"/>
    <n v="9.9430199430199373"/>
    <n v="0.1047276042442937"/>
    <n v="48.19"/>
    <n v="1.054"/>
    <n v="6.5890000000000004"/>
    <n v="2.6949999999999998"/>
    <n v="2.05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5"/>
    <s v="BC"/>
    <x v="0"/>
    <x v="0"/>
    <n v="3"/>
    <x v="1"/>
    <n v="6.95"/>
    <x v="0"/>
    <n v="23.844999999999999"/>
    <n v="5.843"/>
    <n v="24.504088907527784"/>
    <n v="15.928057553956837"/>
    <n v="0.17349729600440089"/>
    <n v="48.65"/>
    <n v="1.006"/>
    <n v="6.2889999999999997"/>
    <n v="2.3639999999999999"/>
    <n v="2.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6"/>
    <s v="BC"/>
    <x v="0"/>
    <x v="0"/>
    <n v="2"/>
    <x v="1"/>
    <n v="6.93"/>
    <x v="0"/>
    <n v="21.634"/>
    <n v="6.2850000000000001"/>
    <n v="29.051493020245911"/>
    <n v="9.3073593073593024"/>
    <n v="9.7693971159601004E-2"/>
    <n v="47.58"/>
    <n v="1.0629999999999999"/>
    <n v="6.641"/>
    <n v="0.96099999999999997"/>
    <n v="0.84800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1"/>
    <s v="BC"/>
    <x v="0"/>
    <x v="1"/>
    <n v="3"/>
    <x v="1"/>
    <n v="7.04"/>
    <x v="0"/>
    <n v="18.713000000000001"/>
    <n v="6.2240000000000002"/>
    <n v="33.260300325976594"/>
    <n v="11.59090909090909"/>
    <n v="0.12319538329386048"/>
    <n v="47.69"/>
    <n v="0.78200000000000003"/>
    <n v="4.8849999999999998"/>
    <n v="1.214"/>
    <n v="1.89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3"/>
    <s v="BC"/>
    <x v="1"/>
    <x v="1"/>
    <n v="1"/>
    <x v="1"/>
    <n v="7.03"/>
    <x v="0"/>
    <n v="16.286000000000001"/>
    <n v="6.2290000000000001"/>
    <n v="38.247574603954313"/>
    <n v="11.394025604551922"/>
    <n v="0.12097089955056514"/>
    <n v="48"/>
    <n v="0.83499999999999996"/>
    <n v="5.2190000000000003"/>
    <n v="1.1579999999999999"/>
    <n v="1.18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9"/>
    <s v="BC"/>
    <x v="0"/>
    <x v="1"/>
    <n v="1"/>
    <x v="1"/>
    <n v="7.03"/>
    <x v="0"/>
    <n v="15.332000000000001"/>
    <n v="6.1079999999999997"/>
    <n v="39.838246804069918"/>
    <n v="13.115220483641544"/>
    <n v="0.14058731846618761"/>
    <n v="48.06"/>
    <n v="0.85099999999999998"/>
    <n v="5.3170000000000002"/>
    <n v="1.5629999999999999"/>
    <n v="1.940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8"/>
    <s v="BC"/>
    <x v="1"/>
    <x v="0"/>
    <n v="4"/>
    <x v="1"/>
    <n v="7.02"/>
    <x v="0"/>
    <n v="18.283000000000001"/>
    <n v="6.0380000000000003"/>
    <n v="33.025214680304103"/>
    <n v="13.988603988603979"/>
    <n v="0.15069038675307256"/>
    <n v="48.29"/>
    <n v="0.78300000000000003"/>
    <n v="4.8920000000000003"/>
    <n v="1.609"/>
    <n v="1.9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4"/>
    <s v="BC"/>
    <x v="0"/>
    <x v="0"/>
    <n v="4"/>
    <x v="1"/>
    <n v="6.94"/>
    <x v="0"/>
    <n v="23.100999999999999"/>
    <n v="6.0410000000000004"/>
    <n v="26.15038310029869"/>
    <n v="12.953890489913544"/>
    <n v="0.13873221336210892"/>
    <n v="48.67"/>
    <n v="0.84799999999999998"/>
    <n v="5.2969999999999997"/>
    <n v="2.15"/>
    <n v="1.97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0"/>
    <s v="BC"/>
    <x v="1"/>
    <x v="1"/>
    <n v="2"/>
    <x v="1"/>
    <n v="7.04"/>
    <x v="0"/>
    <n v="18.225000000000001"/>
    <n v="6.4539999999999997"/>
    <n v="35.412894375857334"/>
    <n v="8.3238636363636402"/>
    <n v="8.690807654018097E-2"/>
    <n v="47.45"/>
    <n v="0.79300000000000004"/>
    <n v="4.9580000000000002"/>
    <n v="1.258"/>
    <n v="2.006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3"/>
    <s v="BC"/>
    <x v="0"/>
    <x v="1"/>
    <n v="2"/>
    <x v="1"/>
    <n v="6.94"/>
    <x v="0"/>
    <n v="17.565999999999999"/>
    <n v="6.2850000000000001"/>
    <n v="35.779346464761474"/>
    <n v="9.438040345821328"/>
    <n v="9.9135932476502445E-2"/>
    <n v="48.33"/>
    <n v="0.77200000000000002"/>
    <n v="4.8239999999999998"/>
    <n v="1.2270000000000001"/>
    <n v="1.77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1"/>
    <s v="BC"/>
    <x v="0"/>
    <x v="1"/>
    <n v="5"/>
    <x v="1"/>
    <n v="7.06"/>
    <x v="0"/>
    <n v="24.475000000000001"/>
    <n v="6.2240000000000002"/>
    <n v="25.430030643513788"/>
    <n v="11.841359773371098"/>
    <n v="0.12603226462906014"/>
    <n v="47.17"/>
    <n v="1.004"/>
    <n v="6.2750000000000004"/>
    <n v="1.484"/>
    <n v="1.50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4"/>
    <s v="BC"/>
    <x v="1"/>
    <x v="0"/>
    <n v="3"/>
    <x v="1"/>
    <n v="7"/>
    <x v="0"/>
    <n v="20.472999999999999"/>
    <n v="5.9219999999999997"/>
    <n v="28.925902408049627"/>
    <n v="15.400000000000006"/>
    <n v="0.16723591937591381"/>
    <n v="45.9"/>
    <n v="1.0620000000000001"/>
    <n v="6.6349999999999998"/>
    <n v="0.52400000000000002"/>
    <n v="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7"/>
    <s v="BC"/>
    <x v="1"/>
    <x v="1"/>
    <n v="5"/>
    <x v="1"/>
    <n v="7.04"/>
    <x v="0"/>
    <n v="20.981999999999999"/>
    <n v="6.2290000000000001"/>
    <n v="29.687351062815747"/>
    <n v="11.519886363636363"/>
    <n v="0.1223923638979426"/>
    <n v="48.17"/>
    <n v="0.77100000000000002"/>
    <n v="4.8209999999999997"/>
    <n v="1.5209999999999999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5"/>
    <s v="HH"/>
    <x v="1"/>
    <x v="0"/>
    <n v="5"/>
    <x v="1"/>
    <n v="7.02"/>
    <x v="1"/>
    <n v="7.2610000000000001"/>
    <n v="5.94"/>
    <n v="18.193086351742181"/>
    <n v="15.384615384615374"/>
    <n v="0.86020126522311136"/>
    <n v="47.49"/>
    <n v="0.95299999999999996"/>
    <n v="5.9580000000000002"/>
    <n v="3.4969999999999999"/>
    <n v="2.24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"/>
    <s v="HH"/>
    <x v="1"/>
    <x v="0"/>
    <n v="3"/>
    <x v="1"/>
    <n v="7.01"/>
    <x v="1"/>
    <n v="8.6709999999999994"/>
    <n v="5.9130000000000003"/>
    <n v="31.807173336408713"/>
    <n v="15.649072753209694"/>
    <n v="0.86333156476775108"/>
    <n v="48.91"/>
    <n v="0.999"/>
    <n v="6.2439999999999998"/>
    <n v="2.4420000000000002"/>
    <n v="1.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5"/>
    <s v="HH"/>
    <x v="0"/>
    <x v="0"/>
    <n v="4"/>
    <x v="1"/>
    <n v="6.98"/>
    <x v="1"/>
    <n v="8.3620000000000001"/>
    <n v="5.9740000000000002"/>
    <n v="28.557761301124131"/>
    <n v="14.412607449856734"/>
    <n v="0.84877937754030841"/>
    <n v="47.77"/>
    <n v="0.876"/>
    <n v="5.4770000000000003"/>
    <n v="2.129"/>
    <n v="1.70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"/>
    <s v="HH"/>
    <x v="0"/>
    <x v="0"/>
    <n v="5"/>
    <x v="1"/>
    <n v="7.04"/>
    <x v="1"/>
    <n v="6.9589999999999996"/>
    <n v="5.9"/>
    <n v="15.217703693059336"/>
    <n v="16.193181818181817"/>
    <n v="0.86980299981822251"/>
    <n v="47.15"/>
    <n v="0.91600000000000004"/>
    <n v="5.7229999999999999"/>
    <n v="1.5389999999999999"/>
    <n v="1.02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4"/>
    <s v="HH"/>
    <x v="1"/>
    <x v="0"/>
    <n v="1"/>
    <x v="1"/>
    <n v="7.02"/>
    <x v="1"/>
    <n v="8.0670000000000002"/>
    <n v="5.9320000000000004"/>
    <n v="26.465848518656248"/>
    <n v="15.498575498575487"/>
    <n v="0.86154897432197919"/>
    <n v="46.15"/>
    <n v="1.29"/>
    <n v="8.0630000000000006"/>
    <n v="3.843"/>
    <n v="2.061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"/>
    <s v="HH"/>
    <x v="0"/>
    <x v="0"/>
    <n v="2"/>
    <x v="1"/>
    <n v="6.97"/>
    <x v="1"/>
    <n v="7.1449999999999996"/>
    <n v="5.8769999999999998"/>
    <n v="17.746675997200839"/>
    <n v="15.681492109038739"/>
    <n v="0.86371597770186448"/>
    <n v="47.59"/>
    <n v="0.98499999999999999"/>
    <n v="6.1550000000000002"/>
    <n v="2.3660000000000001"/>
    <n v="1.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6"/>
    <s v="HH"/>
    <x v="1"/>
    <x v="0"/>
    <n v="2"/>
    <x v="1"/>
    <n v="6.97"/>
    <x v="1"/>
    <n v="8.2889999999999997"/>
    <n v="5.9260000000000002"/>
    <n v="28.507660755217756"/>
    <n v="14.978479196556666"/>
    <n v="0.85541295618100432"/>
    <n v="47.28"/>
    <n v="1.03"/>
    <n v="6.4349999999999996"/>
    <n v="2.883"/>
    <n v="1.58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"/>
    <s v="HH"/>
    <x v="0"/>
    <x v="0"/>
    <n v="1"/>
    <x v="1"/>
    <n v="7"/>
    <x v="1"/>
    <n v="7.1340000000000003"/>
    <n v="6.0339999999999998"/>
    <n v="15.419119708438469"/>
    <n v="13.800000000000004"/>
    <n v="0.8416471888783893"/>
    <n v="47.97"/>
    <n v="1.0569999999999999"/>
    <n v="6.6059999999999999"/>
    <n v="3.2480000000000002"/>
    <n v="2.10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7"/>
    <s v="HH"/>
    <x v="1"/>
    <x v="0"/>
    <n v="4"/>
    <x v="1"/>
    <n v="6.96"/>
    <x v="1"/>
    <n v="6.7110000000000003"/>
    <n v="5.726"/>
    <n v="14.677395321114592"/>
    <n v="17.729885057471265"/>
    <n v="0.8883094482303503"/>
    <n v="48.07"/>
    <n v="0.88200000000000001"/>
    <n v="5.5140000000000002"/>
    <n v="3.4249999999999998"/>
    <n v="2.376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8"/>
    <s v="HH"/>
    <x v="0"/>
    <x v="0"/>
    <n v="3"/>
    <x v="1"/>
    <n v="7.07"/>
    <x v="1"/>
    <n v="9.6929999999999996"/>
    <n v="5.9509999999999996"/>
    <n v="38.605178995151142"/>
    <n v="15.827439886845838"/>
    <n v="0.86544838780571187"/>
    <n v="47.9"/>
    <n v="0.98699999999999999"/>
    <n v="6.1660000000000004"/>
    <n v="2.0139999999999998"/>
    <n v="1.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1"/>
    <s v="HH"/>
    <x v="1"/>
    <x v="1"/>
    <n v="4"/>
    <x v="1"/>
    <n v="7.06"/>
    <x v="1"/>
    <n v="8.5259999999999998"/>
    <n v="6.0759999999999996"/>
    <n v="28.735632183908049"/>
    <n v="13.937677053824363"/>
    <n v="0.84324564733156959"/>
    <n v="47.15"/>
    <n v="0.70199999999999996"/>
    <n v="4.3899999999999997"/>
    <n v="1.1739999999999999"/>
    <n v="1.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4"/>
    <s v="HH"/>
    <x v="0"/>
    <x v="1"/>
    <n v="5"/>
    <x v="1"/>
    <n v="7.05"/>
    <x v="1"/>
    <n v="7.2249999999999996"/>
    <n v="6.109"/>
    <n v="15.446366782006917"/>
    <n v="13.347517730496453"/>
    <n v="0.83641170371649265"/>
    <n v="47.87"/>
    <n v="0.88"/>
    <n v="5.4989999999999997"/>
    <n v="1.264"/>
    <n v="1.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3"/>
    <s v="HH"/>
    <x v="0"/>
    <x v="1"/>
    <n v="4"/>
    <x v="1"/>
    <n v="7.01"/>
    <x v="1"/>
    <n v="11.888"/>
    <n v="5.9950000000000001"/>
    <n v="49.570995962314939"/>
    <n v="14.479315263908699"/>
    <n v="0.84955909312696642"/>
    <n v="48.39"/>
    <n v="0.78300000000000003"/>
    <n v="4.891"/>
    <n v="1.639"/>
    <n v="1.18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7"/>
    <s v="HH"/>
    <x v="1"/>
    <x v="1"/>
    <n v="5"/>
    <x v="1"/>
    <n v="6.99"/>
    <x v="1"/>
    <n v="10.595000000000001"/>
    <n v="6"/>
    <n v="43.369513921661159"/>
    <n v="14.163090128755368"/>
    <n v="0.84586826757760913"/>
    <n v="48.4"/>
    <n v="0.58799999999999997"/>
    <n v="3.6779999999999999"/>
    <n v="1.232"/>
    <n v="1.5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"/>
    <s v="HH"/>
    <x v="1"/>
    <x v="1"/>
    <n v="3"/>
    <x v="1"/>
    <n v="7.06"/>
    <x v="1"/>
    <n v="8.7639999999999993"/>
    <n v="6.2149999999999999"/>
    <n v="29.084892743039703"/>
    <n v="11.96883852691218"/>
    <n v="0.82062650710242147"/>
    <n v="47.3"/>
    <n v="0.66"/>
    <n v="4.125"/>
    <n v="0.83699999999999997"/>
    <n v="1.34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5"/>
    <s v="HH"/>
    <x v="1"/>
    <x v="1"/>
    <n v="2"/>
    <x v="1"/>
    <n v="7.07"/>
    <x v="1"/>
    <n v="10.353999999999999"/>
    <n v="6.0270000000000001"/>
    <n v="41.790612323739609"/>
    <n v="14.752475247524755"/>
    <n v="0.85275828596751968"/>
    <n v="48.09"/>
    <n v="0.95399999999999996"/>
    <n v="5.9649999999999999"/>
    <n v="1.222"/>
    <n v="1.57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9"/>
    <s v="HH"/>
    <x v="0"/>
    <x v="1"/>
    <n v="3"/>
    <x v="1"/>
    <n v="6.95"/>
    <x v="1"/>
    <n v="8.3699999999999992"/>
    <n v="5.9619999999999997"/>
    <n v="28.769414575866186"/>
    <n v="14.215827338129502"/>
    <n v="0.84648284488076653"/>
    <n v="47.74"/>
    <n v="0.88800000000000001"/>
    <n v="5.5529999999999999"/>
    <n v="1.2010000000000001"/>
    <n v="1.65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3"/>
    <s v="HH"/>
    <x v="0"/>
    <x v="1"/>
    <n v="2"/>
    <x v="1"/>
    <n v="6.97"/>
    <x v="1"/>
    <n v="8.8789999999999996"/>
    <n v="6.0380000000000003"/>
    <n v="31.996846491722035"/>
    <n v="13.371592539454799"/>
    <n v="0.8366895740477307"/>
    <n v="48.71"/>
    <n v="0.72199999999999998"/>
    <n v="4.5110000000000001"/>
    <n v="1.534"/>
    <n v="1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0"/>
    <s v="HH"/>
    <x v="0"/>
    <x v="1"/>
    <n v="1"/>
    <x v="1"/>
    <n v="7.01"/>
    <x v="1"/>
    <n v="10.693"/>
    <n v="6.0220000000000002"/>
    <n v="43.682783129149904"/>
    <n v="14.094151212553488"/>
    <n v="0.84506545154690182"/>
    <n v="48.02"/>
    <n v="1.3480000000000001"/>
    <n v="8.423"/>
    <n v="1.3129999999999999"/>
    <n v="1.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6"/>
    <s v="HH"/>
    <x v="1"/>
    <x v="1"/>
    <n v="1"/>
    <x v="1"/>
    <n v="6.98"/>
    <x v="1"/>
    <n v="9054"/>
    <n v="6.0970000000000004"/>
    <n v="99.932659597967756"/>
    <n v="12.650429799426933"/>
    <n v="0.82839925040854734"/>
    <n v="48"/>
    <n v="0.80200000000000005"/>
    <n v="5.0119999999999996"/>
    <n v="1.17"/>
    <n v="1.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5"/>
    <s v="SB"/>
    <x v="0"/>
    <x v="0"/>
    <n v="4"/>
    <x v="1"/>
    <n v="7.04"/>
    <x v="1"/>
    <n v="12.205"/>
    <n v="5.9989999999999997"/>
    <n v="50.848013109381405"/>
    <n v="14.786931818181822"/>
    <n v="0.85316256205894037"/>
    <n v="48.08"/>
    <n v="1.165"/>
    <n v="7.2830000000000004"/>
    <n v="1.86"/>
    <n v="1.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1"/>
    <s v="SB"/>
    <x v="1"/>
    <x v="0"/>
    <n v="5"/>
    <x v="1"/>
    <n v="7.02"/>
    <x v="1"/>
    <n v="13.576000000000001"/>
    <n v="6.0149999999999997"/>
    <n v="55.693871538008253"/>
    <n v="14.316239316239315"/>
    <n v="0.84765404917102294"/>
    <n v="47.67"/>
    <n v="1.2350000000000001"/>
    <n v="7.718"/>
    <n v="1.613"/>
    <n v="1.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8"/>
    <s v="SB"/>
    <x v="1"/>
    <x v="0"/>
    <n v="1"/>
    <x v="1"/>
    <n v="7.01"/>
    <x v="1"/>
    <n v="13.073"/>
    <n v="6.0209999999999999"/>
    <n v="53.943241796068229"/>
    <n v="14.10841654778887"/>
    <n v="0.84523152312413319"/>
    <n v="47.98"/>
    <n v="1.194"/>
    <n v="7.4630000000000001"/>
    <n v="1.5109999999999999"/>
    <n v="1.68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8"/>
    <s v="SB"/>
    <x v="0"/>
    <x v="0"/>
    <n v="5"/>
    <x v="1"/>
    <n v="7"/>
    <x v="1"/>
    <n v="10.896000000000001"/>
    <n v="6.0419999999999998"/>
    <n v="44.548458149779741"/>
    <n v="13.685714285714287"/>
    <n v="0.84032224665077837"/>
    <n v="48.08"/>
    <n v="1.1339999999999999"/>
    <n v="7.0880000000000001"/>
    <n v="2.512"/>
    <n v="2.67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1"/>
    <s v="SB"/>
    <x v="1"/>
    <x v="0"/>
    <n v="4"/>
    <x v="1"/>
    <n v="7.1"/>
    <x v="1"/>
    <n v="22.95"/>
    <n v="5.641"/>
    <n v="75.420479302832234"/>
    <n v="20.549295774647884"/>
    <n v="0.92318060984937589"/>
    <n v="47.91"/>
    <n v="1.0840000000000001"/>
    <n v="6.7720000000000002"/>
    <n v="1.0209999999999999"/>
    <n v="1.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2"/>
    <s v="SB"/>
    <x v="0"/>
    <x v="0"/>
    <n v="1"/>
    <x v="1"/>
    <n v="6.99"/>
    <x v="1"/>
    <n v="11.117000000000001"/>
    <n v="5.9320000000000004"/>
    <n v="46.640280651254834"/>
    <n v="15.135908440629468"/>
    <n v="0.85726631252997842"/>
    <n v="47.89"/>
    <n v="1.1519999999999999"/>
    <n v="7.1970000000000001"/>
    <n v="1.8240000000000001"/>
    <n v="1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3"/>
    <s v="SB"/>
    <x v="0"/>
    <x v="0"/>
    <n v="2"/>
    <x v="1"/>
    <n v="6.95"/>
    <x v="1"/>
    <n v="7.65"/>
    <n v="5.8369999999999997"/>
    <n v="23.699346405228766"/>
    <n v="16.014388489208638"/>
    <n v="0.86767187391499223"/>
    <n v="47.98"/>
    <n v="1.083"/>
    <n v="6.7720000000000002"/>
    <n v="1.569"/>
    <n v="1.90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6"/>
    <s v="SB"/>
    <x v="1"/>
    <x v="0"/>
    <n v="3"/>
    <x v="1"/>
    <n v="7.04"/>
    <x v="1"/>
    <n v="10.087999999999999"/>
    <n v="6.1020000000000003"/>
    <n v="39.512291831879452"/>
    <n v="13.323863636363633"/>
    <n v="0.83613876443541835"/>
    <n v="47.33"/>
    <n v="0.83599999999999997"/>
    <n v="5.2249999999999996"/>
    <n v="2.5489999999999999"/>
    <n v="2.188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8"/>
    <s v="SB"/>
    <x v="1"/>
    <x v="0"/>
    <n v="2"/>
    <x v="1"/>
    <n v="6.99"/>
    <x v="1"/>
    <n v="10.733000000000001"/>
    <n v="5.9290000000000003"/>
    <n v="44.759154010994131"/>
    <n v="15.178826895565093"/>
    <n v="0.85777217208043355"/>
    <n v="48.52"/>
    <n v="0.83699999999999997"/>
    <n v="5.2329999999999997"/>
    <n v="2.7040000000000002"/>
    <n v="1.76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7"/>
    <s v="SB"/>
    <x v="0"/>
    <x v="0"/>
    <n v="3"/>
    <x v="1"/>
    <n v="7.03"/>
    <x v="1"/>
    <n v="8.5749999999999993"/>
    <n v="6.02"/>
    <n v="29.795918367346935"/>
    <n v="14.366998577524903"/>
    <n v="0.84824662706178933"/>
    <n v="45.53"/>
    <n v="0.88400000000000001"/>
    <n v="5.5229999999999997"/>
    <n v="2.7410000000000001"/>
    <n v="2.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4"/>
    <s v="SB"/>
    <x v="1"/>
    <x v="1"/>
    <n v="3"/>
    <x v="1"/>
    <n v="7.06"/>
    <x v="1"/>
    <n v="13.27"/>
    <n v="5.87"/>
    <n v="55.764883195177084"/>
    <n v="16.855524079320109"/>
    <n v="0.8777375982250909"/>
    <n v="47.78"/>
    <n v="0.83299999999999996"/>
    <n v="5.2039999999999997"/>
    <n v="1.212"/>
    <n v="2.045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8"/>
    <s v="SB"/>
    <x v="0"/>
    <x v="1"/>
    <n v="1"/>
    <x v="1"/>
    <n v="7.06"/>
    <x v="1"/>
    <n v="13.949"/>
    <n v="6.1269999999999998"/>
    <n v="56.075704351566422"/>
    <n v="13.215297450424929"/>
    <n v="0.83488699832157842"/>
    <n v="47.41"/>
    <n v="0.81399999999999995"/>
    <n v="5.09"/>
    <n v="1.319"/>
    <n v="2.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1"/>
    <s v="SB"/>
    <x v="1"/>
    <x v="1"/>
    <n v="2"/>
    <x v="1"/>
    <n v="6.93"/>
    <x v="1"/>
    <n v="10.811999999999999"/>
    <n v="5.8639999999999999"/>
    <n v="45.763965963743985"/>
    <n v="15.38239538239538"/>
    <n v="0.86017502917740674"/>
    <n v="46.82"/>
    <n v="0.77300000000000002"/>
    <n v="4.8319999999999999"/>
    <n v="0.85099999999999998"/>
    <n v="0.88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4"/>
    <s v="SB"/>
    <x v="0"/>
    <x v="1"/>
    <n v="5"/>
    <x v="1"/>
    <n v="6.99"/>
    <x v="1"/>
    <n v="11.935"/>
    <n v="6.2009999999999996"/>
    <n v="48.043569333891924"/>
    <n v="11.287553648068679"/>
    <n v="0.81291716743792342"/>
    <n v="47.66"/>
    <n v="0.66600000000000004"/>
    <n v="4.1630000000000003"/>
    <n v="0.71399999999999997"/>
    <n v="1.41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5"/>
    <s v="SB"/>
    <x v="0"/>
    <x v="1"/>
    <n v="4"/>
    <x v="1"/>
    <n v="7.03"/>
    <x v="1"/>
    <n v="10.113"/>
    <n v="6.1230000000000002"/>
    <n v="39.454167902699488"/>
    <n v="12.901849217638691"/>
    <n v="0.83128171388670147"/>
    <n v="47.63"/>
    <n v="0.82199999999999995"/>
    <n v="5.1390000000000002"/>
    <n v="1.2190000000000001"/>
    <n v="1.58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3"/>
    <s v="SB"/>
    <x v="1"/>
    <x v="1"/>
    <n v="4"/>
    <x v="1"/>
    <n v="7.03"/>
    <x v="1"/>
    <n v="12.708"/>
    <n v="6.0739999999999998"/>
    <n v="52.203336480956878"/>
    <n v="13.598862019914657"/>
    <n v="0.83931651975896193"/>
    <n v="47.93"/>
    <n v="0.878"/>
    <n v="5.4859999999999998"/>
    <n v="0.99399999999999999"/>
    <n v="1.40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0"/>
    <s v="SB"/>
    <x v="1"/>
    <x v="1"/>
    <n v="5"/>
    <x v="1"/>
    <n v="6.99"/>
    <x v="1"/>
    <n v="14.095000000000001"/>
    <n v="5.9580000000000002"/>
    <n v="57.729691379921952"/>
    <n v="14.763948497854077"/>
    <n v="0.85289288251457362"/>
    <n v="47.57"/>
    <n v="0.85099999999999998"/>
    <n v="5.3209999999999997"/>
    <n v="0.83"/>
    <n v="1.40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9"/>
    <s v="SB"/>
    <x v="0"/>
    <x v="1"/>
    <n v="2"/>
    <x v="1"/>
    <n v="6.95"/>
    <x v="1"/>
    <n v="9.36"/>
    <n v="5.9820000000000002"/>
    <n v="36.089743589743584"/>
    <n v="13.928057553956833"/>
    <n v="0.84313387992888977"/>
    <n v="49"/>
    <n v="0.82"/>
    <n v="5.1269999999999998"/>
    <n v="0.749"/>
    <n v="1.12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1"/>
    <s v="SB"/>
    <x v="1"/>
    <x v="1"/>
    <n v="1"/>
    <x v="1"/>
    <n v="6.95"/>
    <x v="1"/>
    <n v="13.363"/>
    <n v="6.0220000000000002"/>
    <n v="54.935269026416222"/>
    <n v="13.352517985611509"/>
    <n v="0.83646941007710396"/>
    <n v="48.2"/>
    <n v="0.76"/>
    <n v="4.7519999999999998"/>
    <n v="0.75900000000000001"/>
    <n v="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80"/>
    <s v="SB"/>
    <x v="0"/>
    <x v="1"/>
    <n v="3"/>
    <x v="1"/>
    <n v="6.92"/>
    <x v="1"/>
    <n v="9.6769999999999996"/>
    <n v="6.0449999999999999"/>
    <n v="37.532293066032857"/>
    <n v="12.644508670520233"/>
    <n v="0.82833146612276742"/>
    <n v="46.73"/>
    <n v="0.73899999999999999"/>
    <n v="4.6159999999999997"/>
    <n v="0.79900000000000004"/>
    <n v="1.4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2"/>
    <s v="BC"/>
    <x v="1"/>
    <x v="0"/>
    <n v="4"/>
    <x v="1"/>
    <n v="7.02"/>
    <x v="1"/>
    <n v="13.427"/>
    <n v="6.0810000000000004"/>
    <n v="45.289342369851795"/>
    <n v="13.376068376068364"/>
    <n v="0.83674124245969217"/>
    <n v="48.13"/>
    <n v="0.95899999999999996"/>
    <n v="5.9930000000000003"/>
    <n v="2.2629999999999999"/>
    <n v="1.95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8"/>
    <s v="BC"/>
    <x v="1"/>
    <x v="0"/>
    <n v="5"/>
    <x v="1"/>
    <n v="7.04"/>
    <x v="1"/>
    <n v="12.294"/>
    <n v="5.8170000000000002"/>
    <n v="47.315763787213271"/>
    <n v="17.37215909090909"/>
    <n v="0.88397068580127192"/>
    <n v="27.36"/>
    <n v="0.94099999999999995"/>
    <n v="5.8789999999999996"/>
    <n v="2.7080000000000002"/>
    <n v="2.41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1"/>
    <s v="BC"/>
    <x v="1"/>
    <x v="0"/>
    <n v="2"/>
    <x v="1"/>
    <n v="7.04"/>
    <x v="1"/>
    <n v="11.292999999999999"/>
    <n v="5.95"/>
    <n v="52.687505534401843"/>
    <n v="15.482954545454545"/>
    <n v="0.86136413117235788"/>
    <n v="48.52"/>
    <n v="0.95299999999999996"/>
    <n v="5.9589999999999996"/>
    <n v="2.4039999999999999"/>
    <n v="1.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6"/>
    <s v="BC"/>
    <x v="0"/>
    <x v="0"/>
    <n v="3"/>
    <x v="1"/>
    <n v="6.94"/>
    <x v="1"/>
    <n v="12.138999999999999"/>
    <n v="6.0540000000000003"/>
    <n v="49.872312381580038"/>
    <n v="12.766570605187322"/>
    <n v="0.82972974447913161"/>
    <n v="47.9"/>
    <n v="0.94"/>
    <n v="5.8719999999999999"/>
    <n v="2.4569999999999999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1"/>
    <s v="BC"/>
    <x v="0"/>
    <x v="0"/>
    <n v="2"/>
    <x v="1"/>
    <n v="7.03"/>
    <x v="1"/>
    <n v="10.032"/>
    <n v="6.1950000000000003"/>
    <n v="61.752392344497608"/>
    <n v="11.877667140825036"/>
    <n v="0.81959137130141302"/>
    <n v="47.98"/>
    <n v="0.998"/>
    <n v="6.2359999999999998"/>
    <n v="2.8119999999999998"/>
    <n v="2.275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6"/>
    <s v="BC"/>
    <x v="0"/>
    <x v="0"/>
    <n v="4"/>
    <x v="1"/>
    <n v="6.98"/>
    <x v="1"/>
    <n v="12.401"/>
    <n v="6.0209999999999999"/>
    <n v="48.552536085799531"/>
    <n v="13.739255014326654"/>
    <n v="0.84094273885191573"/>
    <n v="48.02"/>
    <n v="0.99399999999999999"/>
    <n v="6.2149999999999999"/>
    <n v="2.4569999999999999"/>
    <n v="2.35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8"/>
    <s v="BC"/>
    <x v="0"/>
    <x v="0"/>
    <n v="5"/>
    <x v="1"/>
    <n v="7.02"/>
    <x v="1"/>
    <n v="11.574"/>
    <n v="6.1420000000000003"/>
    <n v="53.067219630205642"/>
    <n v="12.507122507122498"/>
    <n v="0.82675997657903422"/>
    <n v="48.12"/>
    <n v="1.0009999999999999"/>
    <n v="6.2590000000000003"/>
    <n v="2.778"/>
    <n v="1.9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5"/>
    <s v="BC"/>
    <x v="1"/>
    <x v="0"/>
    <n v="3"/>
    <x v="1"/>
    <n v="6.96"/>
    <x v="1"/>
    <n v="13.132999999999999"/>
    <n v="5.891"/>
    <n v="44.856468438285241"/>
    <n v="15.35919540229885"/>
    <n v="0.85990089236672329"/>
    <n v="48.19"/>
    <n v="0.92"/>
    <n v="5.7480000000000002"/>
    <n v="2.573"/>
    <n v="0.907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7"/>
    <s v="BC"/>
    <x v="0"/>
    <x v="0"/>
    <n v="1"/>
    <x v="1"/>
    <n v="7"/>
    <x v="1"/>
    <n v="8.9969999999999999"/>
    <n v="5.9409999999999998"/>
    <n v="66.03312215182838"/>
    <n v="15.12857142857143"/>
    <n v="0.85717986024165427"/>
    <n v="48.18"/>
    <n v="1.1220000000000001"/>
    <n v="7.0110000000000001"/>
    <n v="2.0739999999999998"/>
    <n v="1.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2"/>
    <s v="BC"/>
    <x v="1"/>
    <x v="0"/>
    <n v="1"/>
    <x v="1"/>
    <n v="6.92"/>
    <x v="1"/>
    <n v="14.63"/>
    <n v="5.891"/>
    <n v="40.266575529733423"/>
    <n v="14.86994219653179"/>
    <n v="0.85413718764997326"/>
    <n v="47.52"/>
    <n v="0.98299999999999998"/>
    <n v="6.1440000000000001"/>
    <n v="2.31"/>
    <n v="1.73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5"/>
    <s v="BC"/>
    <x v="1"/>
    <x v="1"/>
    <n v="3"/>
    <x v="1"/>
    <n v="7.09"/>
    <x v="1"/>
    <n v="13.23"/>
    <n v="5.9870000000000001"/>
    <n v="45.253212396069536"/>
    <n v="15.55712270803949"/>
    <n v="0.86224206916076629"/>
    <n v="47.76"/>
    <n v="1.079"/>
    <n v="6.7430000000000003"/>
    <n v="0.998"/>
    <n v="1.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5"/>
    <s v="BC"/>
    <x v="0"/>
    <x v="1"/>
    <n v="5"/>
    <x v="1"/>
    <n v="6.91"/>
    <x v="1"/>
    <n v="11.863"/>
    <n v="6.01"/>
    <n v="50.661721318384892"/>
    <n v="13.024602026049209"/>
    <n v="0.83269206979240762"/>
    <n v="46.63"/>
    <n v="0.73899999999999999"/>
    <n v="4.6180000000000003"/>
    <n v="0.94699999999999995"/>
    <n v="1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6"/>
    <s v="BC"/>
    <x v="1"/>
    <x v="1"/>
    <n v="1"/>
    <x v="1"/>
    <n v="7.06"/>
    <x v="1"/>
    <n v="12.689"/>
    <n v="6.1260000000000003"/>
    <n v="48.278036094254865"/>
    <n v="13.229461756373928"/>
    <n v="0.83505022365451242"/>
    <n v="47.31"/>
    <n v="0.876"/>
    <n v="5.4779999999999998"/>
    <n v="0.95"/>
    <n v="1.65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1"/>
    <s v="BC"/>
    <x v="1"/>
    <x v="1"/>
    <n v="5"/>
    <x v="1"/>
    <n v="6.98"/>
    <x v="1"/>
    <n v="11.087"/>
    <n v="5.9649999999999999"/>
    <n v="53.801749797059614"/>
    <n v="14.541547277936969"/>
    <n v="0.85028704178434711"/>
    <n v="47.84"/>
    <n v="1.179"/>
    <n v="7.3710000000000004"/>
    <n v="0.61299999999999999"/>
    <n v="0.86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2"/>
    <s v="BC"/>
    <x v="0"/>
    <x v="1"/>
    <n v="4"/>
    <x v="1"/>
    <n v="6.95"/>
    <x v="1"/>
    <n v="11.641"/>
    <n v="6.0469999999999997"/>
    <n v="51.945709131517901"/>
    <n v="12.99280575539569"/>
    <n v="0.83232655884557027"/>
    <n v="47.35"/>
    <n v="0.80800000000000005"/>
    <n v="5.0469999999999997"/>
    <n v="1.331"/>
    <n v="1.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6"/>
    <s v="BC"/>
    <x v="0"/>
    <x v="1"/>
    <n v="2"/>
    <x v="1"/>
    <n v="7.05"/>
    <x v="1"/>
    <n v="10.648"/>
    <n v="6.2370000000000001"/>
    <n v="58.574380165289263"/>
    <n v="11.531914893617017"/>
    <n v="0.81567549984013699"/>
    <n v="47.49"/>
    <n v="0.61399999999999999"/>
    <n v="3.84"/>
    <n v="1.0489999999999999"/>
    <n v="1.7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7"/>
    <s v="BC"/>
    <x v="1"/>
    <x v="1"/>
    <n v="4"/>
    <x v="1"/>
    <n v="7.05"/>
    <x v="1"/>
    <n v="13.554"/>
    <n v="5.9850000000000003"/>
    <n v="44.156706507304115"/>
    <n v="15.106382978723399"/>
    <n v="0.85691845837418601"/>
    <n v="47.64"/>
    <n v="0.89500000000000002"/>
    <n v="5.5940000000000003"/>
    <n v="0.92400000000000004"/>
    <n v="1.2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2"/>
    <s v="BC"/>
    <x v="0"/>
    <x v="1"/>
    <n v="1"/>
    <x v="1"/>
    <n v="7.09"/>
    <x v="1"/>
    <n v="12.119"/>
    <n v="5.5309999999999997"/>
    <n v="45.639079131941578"/>
    <n v="21.988716502115661"/>
    <n v="0.94146389009144049"/>
    <n v="47.28"/>
    <n v="0.746"/>
    <n v="4.6630000000000003"/>
    <n v="2.1"/>
    <n v="1.90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3"/>
    <s v="BC"/>
    <x v="0"/>
    <x v="1"/>
    <n v="3"/>
    <x v="1"/>
    <n v="7.07"/>
    <x v="1"/>
    <n v="13.896000000000001"/>
    <n v="5.9009999999999998"/>
    <n v="42.465457685664937"/>
    <n v="16.53465346534654"/>
    <n v="0.87388583239339501"/>
    <n v="46.51"/>
    <n v="0.873"/>
    <n v="5.4580000000000002"/>
    <n v="1.1100000000000001"/>
    <n v="1.6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0"/>
    <s v="BC"/>
    <x v="1"/>
    <x v="1"/>
    <n v="2"/>
    <x v="1"/>
    <n v="6.97"/>
    <x v="1"/>
    <n v="11.816000000000001"/>
    <n v="5.9550000000000001"/>
    <n v="50.397765741367643"/>
    <n v="14.562410329985648"/>
    <n v="0.85053120252511438"/>
    <n v="48.27"/>
    <n v="0.74199999999999999"/>
    <n v="4.6349999999999998"/>
    <n v="1.1819999999999999"/>
    <n v="2.10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"/>
    <s v="HH"/>
    <x v="0"/>
    <x v="0"/>
    <n v="3"/>
    <x v="1"/>
    <n v="6.96"/>
    <x v="2"/>
    <n v="6.0289999999999999"/>
    <n v="5.4169999999999998"/>
    <n v="10.150937137170345"/>
    <n v="22.169540229885058"/>
    <n v="2.0423967868986215"/>
    <n v="47.86"/>
    <n v="1.17"/>
    <n v="6.6360000000000001"/>
    <n v="2.23"/>
    <n v="1.54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"/>
    <s v="HH"/>
    <x v="0"/>
    <x v="0"/>
    <n v="5"/>
    <x v="1"/>
    <n v="7.03"/>
    <x v="2"/>
    <n v="6.1760000000000002"/>
    <n v="5.4420000000000002"/>
    <n v="11.884715025906734"/>
    <n v="22.588904694167852"/>
    <n v="2.0477995346895739"/>
    <n v="47.42"/>
    <n v="1.1100000000000001"/>
    <n v="6.9359999999999999"/>
    <n v="1.97"/>
    <n v="1.42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"/>
    <s v="HH"/>
    <x v="1"/>
    <x v="0"/>
    <n v="4"/>
    <x v="1"/>
    <n v="6.99"/>
    <x v="2"/>
    <n v="13.884"/>
    <n v="5.74"/>
    <n v="29.847306251800632"/>
    <n v="17.882689556509298"/>
    <n v="1.988780815142299"/>
    <n v="33.53"/>
    <n v="1.02"/>
    <n v="6.3739999999999997"/>
    <n v="0.62"/>
    <n v="0.643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"/>
    <s v="HH"/>
    <x v="0"/>
    <x v="0"/>
    <n v="1"/>
    <x v="1"/>
    <n v="6.99"/>
    <x v="2"/>
    <n v="6.0090000000000003"/>
    <n v="5.4249999999999998"/>
    <n v="9.7187552005325433"/>
    <n v="22.389127324749648"/>
    <n v="2.0452221260472507"/>
    <n v="34.14"/>
    <n v="1.171"/>
    <n v="7.32"/>
    <n v="1.641"/>
    <n v="1.29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"/>
    <s v="HH"/>
    <x v="1"/>
    <x v="0"/>
    <n v="2"/>
    <x v="1"/>
    <n v="7.05"/>
    <x v="2"/>
    <n v="5.9340000000000002"/>
    <n v="5.2949999999999999"/>
    <n v="10.768452982810924"/>
    <n v="24.893617021276597"/>
    <n v="2.0780241069988623"/>
    <n v="46.06"/>
    <n v="1.06"/>
    <n v="6.6280000000000001"/>
    <n v="1.853"/>
    <n v="1.61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"/>
    <s v="HH"/>
    <x v="1"/>
    <x v="0"/>
    <n v="5"/>
    <x v="1"/>
    <n v="6.95"/>
    <x v="2"/>
    <n v="6.3220000000000001"/>
    <n v="5.2439999999999998"/>
    <n v="17.0515659601392"/>
    <n v="24.546762589928061"/>
    <n v="2.0734165629033026"/>
    <n v="47.99"/>
    <n v="1.214"/>
    <n v="7.5860000000000003"/>
    <n v="2.0390000000000001"/>
    <n v="1.893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s v="HH"/>
    <x v="1"/>
    <x v="0"/>
    <n v="3"/>
    <x v="1"/>
    <n v="7.03"/>
    <x v="2"/>
    <n v="6.1449999999999996"/>
    <n v="5.5119999999999996"/>
    <n v="10.301057770545158"/>
    <n v="21.593172119487917"/>
    <n v="2.035018641339271"/>
    <n v="48.09"/>
    <n v="1.105"/>
    <n v="6.9059999999999997"/>
    <n v="1.4319999999999999"/>
    <n v="1.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"/>
    <s v="HH"/>
    <x v="1"/>
    <x v="0"/>
    <n v="1"/>
    <x v="1"/>
    <n v="6.63"/>
    <x v="2"/>
    <n v="6.2329999999999997"/>
    <n v="5.2880000000000003"/>
    <n v="15.16123856890742"/>
    <n v="20.241327300150825"/>
    <n v="2.0179241708764408"/>
    <n v="44.73"/>
    <n v="1.3149999999999999"/>
    <n v="8.2210000000000001"/>
    <n v="0.95"/>
    <n v="0.72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"/>
    <s v="HH"/>
    <x v="0"/>
    <x v="0"/>
    <n v="4"/>
    <x v="1"/>
    <n v="6.97"/>
    <x v="2"/>
    <n v="6.2009999999999996"/>
    <n v="5.3529999999999998"/>
    <n v="13.675213675213675"/>
    <n v="23.199426111908178"/>
    <n v="2.0557175425892433"/>
    <n v="48.59"/>
    <n v="1.0940000000000001"/>
    <n v="6.835"/>
    <n v="1.56"/>
    <n v="1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8"/>
    <s v="HH"/>
    <x v="0"/>
    <x v="1"/>
    <n v="4"/>
    <x v="1"/>
    <n v="7.08"/>
    <x v="2"/>
    <n v="6.351"/>
    <n v="5.58"/>
    <n v="12.139820500708549"/>
    <n v="21.1864406779661"/>
    <n v="2.0298446005404638"/>
    <n v="46.56"/>
    <n v="0.84399999999999997"/>
    <n v="5.2729999999999997"/>
    <n v="0.66400000000000003"/>
    <n v="0.76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5"/>
    <s v="HH"/>
    <x v="0"/>
    <x v="1"/>
    <n v="5"/>
    <x v="1"/>
    <n v="7.01"/>
    <x v="2"/>
    <n v="6.4690000000000003"/>
    <n v="5.5940000000000003"/>
    <n v="13.526047302519709"/>
    <n v="20.199714693295288"/>
    <n v="2.0174025754947857"/>
    <n v="47.82"/>
    <n v="0.77100000000000002"/>
    <n v="4.8209999999999997"/>
    <n v="0.96399999999999997"/>
    <n v="1.61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"/>
    <s v="HH"/>
    <x v="1"/>
    <x v="1"/>
    <n v="5"/>
    <x v="1"/>
    <n v="7.05"/>
    <x v="2"/>
    <n v="6.6609999999999996"/>
    <n v="5.5019999999999998"/>
    <n v="17.399789821348143"/>
    <n v="21.957446808510639"/>
    <n v="2.0396754235498493"/>
    <n v="47.23"/>
    <n v="0.82199999999999995"/>
    <n v="5.1390000000000002"/>
    <n v="0.73899999999999999"/>
    <n v="1.00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2"/>
    <s v="HH"/>
    <x v="1"/>
    <x v="1"/>
    <n v="3"/>
    <x v="1"/>
    <n v="6.95"/>
    <x v="2"/>
    <n v="6.56"/>
    <n v="5.6260000000000003"/>
    <n v="14.23780487804877"/>
    <n v="19.050359712230215"/>
    <n v="2.0031024187370905"/>
    <n v="47.23"/>
    <n v="0.85799999999999998"/>
    <n v="5.3609999999999998"/>
    <n v="0.78300000000000003"/>
    <n v="1.34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4"/>
    <s v="HH"/>
    <x v="1"/>
    <x v="1"/>
    <n v="4"/>
    <x v="1"/>
    <n v="6.98"/>
    <x v="2"/>
    <n v="6.3360000000000003"/>
    <n v="5.2480000000000002"/>
    <n v="17.171717171717169"/>
    <n v="24.813753581661892"/>
    <n v="2.0769613343605484"/>
    <n v="46.24"/>
    <n v="1.1659999999999999"/>
    <n v="7.2850000000000001"/>
    <n v="0.42899999999999999"/>
    <n v="0.238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4"/>
    <s v="HH"/>
    <x v="0"/>
    <x v="1"/>
    <n v="3"/>
    <x v="1"/>
    <n v="7.05"/>
    <x v="2"/>
    <n v="6.0540000000000003"/>
    <n v="5.375"/>
    <n v="11.215725140403043"/>
    <n v="23.75886524822695"/>
    <n v="2.0630285120385055"/>
    <n v="41.28"/>
    <n v="1.278"/>
    <n v="7.9850000000000003"/>
    <n v="1.1559999999999999"/>
    <n v="1.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6"/>
    <s v="HH"/>
    <x v="0"/>
    <x v="1"/>
    <m/>
    <x v="1"/>
    <n v="7.06"/>
    <x v="2"/>
    <n v="6.34"/>
    <n v="5.6660000000000004"/>
    <n v="10.630914826498415"/>
    <n v="19.74504249291784"/>
    <n v="2.0117211193248807"/>
    <n v="46.72"/>
    <n v="1.0740000000000001"/>
    <n v="6.7149999999999999"/>
    <n v="0.69299999999999995"/>
    <n v="0.775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8"/>
    <s v="HH"/>
    <x v="0"/>
    <x v="1"/>
    <n v="2"/>
    <x v="1"/>
    <n v="7.05"/>
    <x v="2"/>
    <n v="6.4420000000000002"/>
    <n v="5.7030000000000003"/>
    <n v="11.47159267308289"/>
    <n v="19.106382978723399"/>
    <n v="2.0037947338778306"/>
    <n v="47.09"/>
    <n v="0.97499999999999998"/>
    <n v="6.093"/>
    <n v="0.70699999999999996"/>
    <n v="1.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9"/>
    <s v="HH"/>
    <x v="1"/>
    <x v="1"/>
    <n v="1"/>
    <x v="1"/>
    <n v="7.04"/>
    <x v="2"/>
    <n v="6.7350000000000003"/>
    <n v="5.6120000000000001"/>
    <n v="16.674090571640683"/>
    <n v="20.284090909090907"/>
    <n v="2.0184604771577916"/>
    <n v="46.08"/>
    <n v="1.036"/>
    <n v="6.4720000000000004"/>
    <n v="0.65"/>
    <n v="0.783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3"/>
    <s v="HH"/>
    <x v="1"/>
    <x v="1"/>
    <n v="2"/>
    <x v="1"/>
    <n v="7.01"/>
    <x v="2"/>
    <n v="6.4550000000000001"/>
    <n v="5.6340000000000003"/>
    <n v="12.718822618125481"/>
    <n v="19.629101283880164"/>
    <n v="2.010277500820373"/>
    <n v="46.64"/>
    <n v="1.089"/>
    <n v="6.8090000000000002"/>
    <n v="0.96699999999999997"/>
    <n v="1.287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"/>
    <s v="HH"/>
    <x v="0"/>
    <x v="1"/>
    <n v="2"/>
    <x v="1"/>
    <n v="7.08"/>
    <x v="2"/>
    <n v="6.11"/>
    <n v="5.4710000000000001"/>
    <n v="10.458265139116206"/>
    <n v="22.725988700564972"/>
    <n v="2.0495719618519943"/>
    <n v="47.17"/>
    <n v="0.91"/>
    <n v="5.6870000000000003"/>
    <n v="0.82299999999999995"/>
    <n v="0.635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1"/>
    <s v="SB"/>
    <x v="1"/>
    <x v="0"/>
    <n v="1"/>
    <x v="1"/>
    <n v="7"/>
    <x v="2"/>
    <n v="27.158000000000001"/>
    <n v="5.1909999999999998"/>
    <n v="80.885926798733337"/>
    <n v="25.842857142857145"/>
    <n v="2.0907432614382762"/>
    <n v="47.61"/>
    <n v="1.6830000000000001"/>
    <n v="10.52"/>
    <n v="0.35899999999999999"/>
    <n v="0.339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0"/>
    <s v="SB"/>
    <x v="1"/>
    <x v="0"/>
    <n v="5"/>
    <x v="1"/>
    <n v="7.07"/>
    <x v="2"/>
    <n v="6.7270000000000003"/>
    <n v="5.2"/>
    <n v="22.699568901441953"/>
    <n v="26.449787835926454"/>
    <n v="2.0989613235491547"/>
    <n v="47.44"/>
    <n v="1.3220000000000001"/>
    <n v="8.2629999999999999"/>
    <n v="0.91"/>
    <n v="1.21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3"/>
    <s v="SB"/>
    <x v="0"/>
    <x v="0"/>
    <n v="2"/>
    <x v="1"/>
    <n v="7.05"/>
    <x v="2"/>
    <n v="6.2850000000000001"/>
    <n v="5.5620000000000003"/>
    <n v="11.503579952267302"/>
    <n v="21.106382978723399"/>
    <n v="2.028829330240459"/>
    <n v="48.2"/>
    <n v="1.2050000000000001"/>
    <n v="7.5279999999999996"/>
    <n v="1.581"/>
    <n v="1.59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5"/>
    <s v="SB"/>
    <x v="1"/>
    <x v="0"/>
    <n v="4"/>
    <x v="1"/>
    <n v="6.97"/>
    <x v="2"/>
    <n v="6.234"/>
    <n v="5.3979999999999997"/>
    <n v="13.410330445941614"/>
    <n v="22.553802008608322"/>
    <n v="2.0473461794046748"/>
    <n v="47.52"/>
    <n v="1.234"/>
    <n v="7.7110000000000003"/>
    <n v="1.0189999999999999"/>
    <n v="1.1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"/>
    <s v="SB"/>
    <x v="0"/>
    <x v="0"/>
    <n v="1"/>
    <x v="1"/>
    <n v="7.02"/>
    <x v="2"/>
    <n v="6.7130000000000001"/>
    <n v="5.6040000000000001"/>
    <n v="16.520184716222257"/>
    <n v="20.170940170940167"/>
    <n v="2.0170420587910143"/>
    <n v="48"/>
    <n v="1.357"/>
    <n v="8.48"/>
    <n v="0.97099999999999997"/>
    <n v="1.0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9"/>
    <s v="SB"/>
    <x v="0"/>
    <x v="0"/>
    <n v="4"/>
    <x v="1"/>
    <n v="7.02"/>
    <x v="2"/>
    <n v="6.2160000000000002"/>
    <n v="5.1289999999999996"/>
    <n v="17.487129987129997"/>
    <n v="26.93732193732194"/>
    <n v="2.1056119788586432"/>
    <n v="47.13"/>
    <n v="1.508"/>
    <n v="9.4269999999999996"/>
    <n v="0.76300000000000001"/>
    <n v="0.964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1"/>
    <s v="SB"/>
    <x v="0"/>
    <x v="0"/>
    <n v="3"/>
    <x v="1"/>
    <n v="7.01"/>
    <x v="2"/>
    <n v="6.2560000000000002"/>
    <n v="5.1639999999999997"/>
    <n v="17.455242966751928"/>
    <n v="26.33380884450785"/>
    <n v="2.0973856972901577"/>
    <n v="46.25"/>
    <n v="1.2150000000000001"/>
    <n v="7.593"/>
    <n v="1.085"/>
    <n v="0.896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0"/>
    <s v="SB"/>
    <x v="1"/>
    <x v="0"/>
    <n v="3"/>
    <x v="1"/>
    <n v="6.98"/>
    <x v="2"/>
    <n v="6.3360000000000003"/>
    <n v="5.2910000000000004"/>
    <n v="16.493055555555554"/>
    <n v="24.197707736389685"/>
    <n v="2.0688011220803415"/>
    <n v="47.09"/>
    <n v="1.0369999999999999"/>
    <n v="6.4790000000000001"/>
    <n v="1.4930000000000001"/>
    <n v="1.19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1"/>
    <s v="SB"/>
    <x v="1"/>
    <x v="0"/>
    <n v="2"/>
    <x v="1"/>
    <n v="7.07"/>
    <x v="2"/>
    <n v="6.2949999999999999"/>
    <n v="5.3090000000000002"/>
    <n v="15.663224781572675"/>
    <n v="24.908062234794908"/>
    <n v="2.078216455535002"/>
    <n v="46.75"/>
    <n v="1.1539999999999999"/>
    <n v="7.2119999999999997"/>
    <n v="1.28"/>
    <n v="1.1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5"/>
    <s v="SB"/>
    <x v="0"/>
    <x v="0"/>
    <n v="5"/>
    <x v="1"/>
    <n v="6.93"/>
    <x v="2"/>
    <n v="5.94"/>
    <n v="4.9130000000000003"/>
    <n v="17.289562289562291"/>
    <n v="29.105339105339102"/>
    <n v="2.1357345292433556"/>
    <n v="47.03"/>
    <n v="1.038"/>
    <n v="6.49"/>
    <n v="1.085"/>
    <n v="1.13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6"/>
    <s v="SB"/>
    <x v="1"/>
    <x v="1"/>
    <n v="5"/>
    <x v="1"/>
    <n v="7.01"/>
    <x v="2"/>
    <n v="6.617"/>
    <n v="5.3380000000000001"/>
    <n v="19.329001057881214"/>
    <n v="23.851640513552063"/>
    <n v="2.0642461192922212"/>
    <n v="37.67"/>
    <n v="0.85499999999999998"/>
    <n v="5.343"/>
    <n v="0.49399999999999999"/>
    <n v="0.637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"/>
    <s v="SB"/>
    <x v="0"/>
    <x v="1"/>
    <n v="1"/>
    <x v="1"/>
    <n v="6.97"/>
    <x v="2"/>
    <n v="6.9660000000000002"/>
    <n v="5.7469999999999999"/>
    <n v="17.499282227964404"/>
    <n v="17.546628407460542"/>
    <n v="1.9846967144748831"/>
    <n v="48.12"/>
    <n v="0.72"/>
    <n v="4.4989999999999997"/>
    <n v="0.876"/>
    <n v="1.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3"/>
    <s v="SB"/>
    <x v="1"/>
    <x v="1"/>
    <n v="3"/>
    <x v="1"/>
    <n v="6.97"/>
    <x v="2"/>
    <n v="6.6479999999999997"/>
    <n v="5.5279999999999996"/>
    <n v="16.847172081829122"/>
    <n v="20.688665710186516"/>
    <n v="2.023548607535119"/>
    <n v="48.5"/>
    <n v="0.85399999999999998"/>
    <n v="5.335"/>
    <n v="0.55100000000000005"/>
    <n v="1.29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4"/>
    <s v="SB"/>
    <x v="0"/>
    <x v="1"/>
    <n v="5"/>
    <x v="1"/>
    <n v="6.95"/>
    <x v="2"/>
    <n v="6.5449999999999999"/>
    <n v="5.375"/>
    <n v="17.876241405653172"/>
    <n v="22.661870503597122"/>
    <n v="2.0487425547910294"/>
    <n v="47.08"/>
    <n v="1"/>
    <n v="6.2489999999999997"/>
    <n v="0.67"/>
    <n v="0.74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6"/>
    <s v="SB"/>
    <x v="1"/>
    <x v="1"/>
    <n v="1"/>
    <x v="1"/>
    <n v="6.94"/>
    <x v="2"/>
    <n v="17.437999999999999"/>
    <n v="5.1159999999999997"/>
    <n v="70.661773139121465"/>
    <n v="26.282420749279549"/>
    <n v="2.0966883600301718"/>
    <n v="44.78"/>
    <n v="1.083"/>
    <n v="6.7690000000000001"/>
    <n v="0.40899999999999997"/>
    <n v="0.457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7"/>
    <s v="SB"/>
    <x v="0"/>
    <x v="1"/>
    <n v="4"/>
    <x v="1"/>
    <n v="6.98"/>
    <x v="2"/>
    <n v="6.5979999999999999"/>
    <n v="5.1040000000000001"/>
    <n v="22.643225219763565"/>
    <n v="26.876790830945563"/>
    <n v="2.1047838399598473"/>
    <n v="46.3"/>
    <n v="1.2"/>
    <n v="7.5"/>
    <n v="0.46800000000000003"/>
    <n v="0.491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2"/>
    <s v="SB"/>
    <x v="0"/>
    <x v="1"/>
    <n v="2"/>
    <x v="1"/>
    <n v="6.98"/>
    <x v="2"/>
    <n v="6.3220000000000001"/>
    <n v="5.42"/>
    <n v="14.267636823789942"/>
    <n v="22.349570200573073"/>
    <n v="2.0447125705507814"/>
    <n v="46.39"/>
    <n v="0.96099999999999997"/>
    <n v="6.0060000000000002"/>
    <n v="0.626"/>
    <n v="1.157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6"/>
    <s v="SB"/>
    <x v="1"/>
    <x v="1"/>
    <n v="2"/>
    <x v="1"/>
    <n v="6.99"/>
    <x v="2"/>
    <n v="7.4349999999999996"/>
    <n v="5.3330000000000002"/>
    <n v="28.271687962340273"/>
    <n v="23.705293276108726"/>
    <n v="2.0623260938553085"/>
    <n v="47.21"/>
    <n v="0.95899999999999996"/>
    <n v="5.9909999999999997"/>
    <n v="0.60499999999999998"/>
    <n v="0.842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6"/>
    <s v="SB"/>
    <x v="0"/>
    <x v="1"/>
    <n v="3"/>
    <x v="1"/>
    <n v="7.02"/>
    <x v="2"/>
    <n v="6.827"/>
    <n v="5.4189999999999996"/>
    <n v="20.623992969093312"/>
    <n v="22.806267806267808"/>
    <n v="2.0506113906817975"/>
    <n v="47.05"/>
    <n v="0.9"/>
    <n v="5.6239999999999997"/>
    <n v="0.47299999999999998"/>
    <n v="0.833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8"/>
    <s v="SB"/>
    <x v="1"/>
    <x v="1"/>
    <n v="4"/>
    <x v="1"/>
    <n v="7.09"/>
    <x v="2"/>
    <n v="6.556"/>
    <n v="5.7460000000000004"/>
    <n v="12.355094569859665"/>
    <n v="18.956276445698158"/>
    <n v="2.0019408492149933"/>
    <n v="47.99"/>
    <n v="1.26"/>
    <n v="7.8739999999999997"/>
    <n v="0.70899999999999996"/>
    <n v="1.3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1"/>
    <s v="BC"/>
    <x v="0"/>
    <x v="0"/>
    <n v="4"/>
    <x v="1"/>
    <n v="6.9"/>
    <x v="2"/>
    <n v="6.7469999999999999"/>
    <n v="5.2610000000000001"/>
    <n v="77.975396472506304"/>
    <n v="23.753623188405797"/>
    <n v="2.0629597580825987"/>
    <n v="47.74"/>
    <n v="1.0580000000000001"/>
    <n v="6.6109999999999998"/>
    <n v="1.837"/>
    <n v="1.301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6"/>
    <s v="BC"/>
    <x v="1"/>
    <x v="0"/>
    <n v="3"/>
    <x v="1"/>
    <n v="7.07"/>
    <x v="2"/>
    <n v="6.9240000000000004"/>
    <n v="5.681"/>
    <n v="82.047949162333907"/>
    <n v="19.64639321074965"/>
    <n v="2.0104926755615464"/>
    <n v="47.5"/>
    <n v="1.0149999999999999"/>
    <n v="6.3449999999999998"/>
    <n v="1.9850000000000001"/>
    <n v="1.65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4"/>
    <s v="BC"/>
    <x v="0"/>
    <x v="0"/>
    <n v="5"/>
    <x v="1"/>
    <n v="7.04"/>
    <x v="2"/>
    <n v="6.3739999999999997"/>
    <n v="5.3479999999999999"/>
    <n v="83.903357389394415"/>
    <n v="24.03409090909091"/>
    <n v="2.0666449801583093"/>
    <n v="48.41"/>
    <n v="1.161"/>
    <n v="7.2590000000000003"/>
    <n v="2.105"/>
    <n v="2.10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2"/>
    <s v="BC"/>
    <x v="1"/>
    <x v="0"/>
    <n v="2"/>
    <x v="1"/>
    <n v="6.92"/>
    <x v="2"/>
    <n v="6.9279999999999999"/>
    <n v="5.2149999999999999"/>
    <n v="75.274249422632792"/>
    <n v="24.638728323699425"/>
    <n v="2.0746361504048974"/>
    <n v="46.99"/>
    <n v="1.0589999999999999"/>
    <n v="6.6210000000000004"/>
    <n v="1.1080000000000001"/>
    <n v="0.854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2"/>
    <s v="BC"/>
    <x v="1"/>
    <x v="0"/>
    <n v="4"/>
    <x v="1"/>
    <n v="6.99"/>
    <x v="2"/>
    <n v="6.8959999999999999"/>
    <n v="5.6210000000000004"/>
    <n v="81.511020881670532"/>
    <n v="19.585121602288979"/>
    <n v="2.0097304414538359"/>
    <n v="46.38"/>
    <n v="0.98399999999999999"/>
    <n v="6.1520000000000001"/>
    <n v="1.7170000000000001"/>
    <n v="1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4"/>
    <s v="BC"/>
    <x v="0"/>
    <x v="0"/>
    <n v="2"/>
    <x v="1"/>
    <n v="6.9"/>
    <x v="2"/>
    <n v="6.6760000000000002"/>
    <n v="5.5579999999999998"/>
    <n v="83.253445176752535"/>
    <n v="19.449275362318847"/>
    <n v="2.0080425495109568"/>
    <n v="46.79"/>
    <n v="1.0509999999999999"/>
    <n v="6.5679999999999996"/>
    <n v="2.3069999999999999"/>
    <n v="1.82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6"/>
    <s v="BC"/>
    <x v="1"/>
    <x v="0"/>
    <n v="5"/>
    <x v="1"/>
    <n v="6.97"/>
    <x v="2"/>
    <n v="6.5750000000000002"/>
    <n v="5.3929999999999998"/>
    <n v="82.022813688212921"/>
    <n v="22.625538020086083"/>
    <n v="2.0482728776453976"/>
    <n v="47.76"/>
    <n v="1.02"/>
    <n v="6.3769999999999998"/>
    <n v="1.8240000000000001"/>
    <n v="1.481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0"/>
    <s v="BC"/>
    <x v="1"/>
    <x v="0"/>
    <n v="1"/>
    <x v="1"/>
    <n v="6.99"/>
    <x v="2"/>
    <n v="7.5049999999999999"/>
    <n v="5.694"/>
    <n v="75.869420386409061"/>
    <n v="18.540772532188846"/>
    <n v="1.9968270366179282"/>
    <n v="47.51"/>
    <n v="1.3360000000000001"/>
    <n v="8.3480000000000008"/>
    <n v="2.3370000000000002"/>
    <n v="1.90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4"/>
    <s v="BC"/>
    <x v="0"/>
    <x v="0"/>
    <n v="1"/>
    <x v="1"/>
    <n v="6.97"/>
    <x v="2"/>
    <n v="6.782"/>
    <n v="5.556"/>
    <n v="81.92273665585374"/>
    <n v="20.286944045911042"/>
    <n v="2.0184962691083901"/>
    <n v="47.32"/>
    <n v="1.0720000000000001"/>
    <n v="6.7009999999999996"/>
    <n v="2.1150000000000002"/>
    <n v="1.42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3"/>
    <s v="BC"/>
    <x v="0"/>
    <x v="0"/>
    <n v="3"/>
    <x v="1"/>
    <n v="7.04"/>
    <x v="2"/>
    <n v="6.7539999999999996"/>
    <n v="5.64"/>
    <n v="83.506070476754516"/>
    <n v="19.88636363636364"/>
    <n v="2.0134835738880388"/>
    <n v="47.83"/>
    <n v="1.095"/>
    <n v="6.8419999999999996"/>
    <n v="2.077"/>
    <n v="1.80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6"/>
    <s v="BC"/>
    <x v="1"/>
    <x v="1"/>
    <n v="1"/>
    <x v="1"/>
    <n v="6.97"/>
    <x v="2"/>
    <n v="6.6189999999999998"/>
    <n v="5.415"/>
    <n v="81.809941078712797"/>
    <n v="22.309899569583926"/>
    <n v="2.0442018135475335"/>
    <n v="47.9"/>
    <n v="0.81499999999999995"/>
    <n v="5.0919999999999996"/>
    <n v="0.65"/>
    <n v="0.803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5"/>
    <s v="BC"/>
    <x v="0"/>
    <x v="1"/>
    <n v="4"/>
    <x v="1"/>
    <n v="7"/>
    <x v="2"/>
    <n v="6.54"/>
    <n v="5.415"/>
    <n v="82.798165137614674"/>
    <n v="22.642857142857142"/>
    <n v="2.0484967378304146"/>
    <n v="47.43"/>
    <n v="0.93300000000000005"/>
    <n v="5.8330000000000002"/>
    <n v="0.68400000000000005"/>
    <n v="1.036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8"/>
    <s v="BC"/>
    <x v="1"/>
    <x v="1"/>
    <n v="2"/>
    <x v="1"/>
    <n v="7.05"/>
    <x v="2"/>
    <n v="7.0019999999999998"/>
    <n v="5.444"/>
    <n v="77.749214510139964"/>
    <n v="22.780141843971631"/>
    <n v="2.0502730012630126"/>
    <n v="47.9"/>
    <n v="0.875"/>
    <n v="5.4710000000000001"/>
    <n v="0.72899999999999998"/>
    <n v="1.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3"/>
    <s v="BC"/>
    <x v="0"/>
    <x v="1"/>
    <n v="5"/>
    <x v="1"/>
    <n v="6.9"/>
    <x v="2"/>
    <n v="6.1260000000000003"/>
    <n v="5.1159999999999997"/>
    <n v="83.512895853738158"/>
    <n v="25.855072463768124"/>
    <n v="2.0909079971146727"/>
    <n v="47.2"/>
    <n v="0.98299999999999998"/>
    <n v="6.1459999999999999"/>
    <n v="0.68100000000000005"/>
    <n v="0.633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6"/>
    <s v="BC"/>
    <x v="0"/>
    <x v="1"/>
    <n v="2"/>
    <x v="1"/>
    <n v="6.91"/>
    <x v="2"/>
    <n v="6.4740000000000002"/>
    <n v="5.15"/>
    <n v="79.548965091133766"/>
    <n v="25.470332850940665"/>
    <n v="2.0857323923319888"/>
    <n v="47.71"/>
    <n v="0.82799999999999996"/>
    <n v="5.1760000000000002"/>
    <n v="0.97099999999999997"/>
    <n v="1.10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8"/>
    <s v="BC"/>
    <x v="1"/>
    <x v="1"/>
    <n v="3"/>
    <x v="1"/>
    <n v="6.93"/>
    <x v="2"/>
    <n v="6.88"/>
    <n v="5.3040000000000003"/>
    <n v="77.093023255813961"/>
    <n v="23.463203463203456"/>
    <n v="2.0591580295463054"/>
    <n v="45.98"/>
    <n v="1.329"/>
    <n v="8.3059999999999992"/>
    <n v="0.91500000000000004"/>
    <n v="1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9"/>
    <s v="BC"/>
    <x v="1"/>
    <x v="1"/>
    <n v="4"/>
    <x v="1"/>
    <n v="6.94"/>
    <x v="2"/>
    <n v="6.2910000000000004"/>
    <n v="5.1980000000000004"/>
    <n v="82.625973613098083"/>
    <n v="25.100864553314118"/>
    <n v="2.0807873075274697"/>
    <n v="45.98"/>
    <n v="1.236"/>
    <n v="7.7279999999999998"/>
    <n v="0.747"/>
    <n v="0.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6"/>
    <s v="BC"/>
    <x v="1"/>
    <x v="1"/>
    <n v="5"/>
    <x v="1"/>
    <n v="6.96"/>
    <x v="2"/>
    <n v="7.2210000000000001"/>
    <n v="5.0250000000000004"/>
    <n v="69.588699626090573"/>
    <n v="27.801724137931028"/>
    <n v="2.1175134896292436"/>
    <n v="44.89"/>
    <n v="1.01"/>
    <n v="6.31"/>
    <n v="0.83"/>
    <n v="0.665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8"/>
    <s v="BC"/>
    <x v="0"/>
    <x v="1"/>
    <n v="1"/>
    <x v="1"/>
    <n v="6.9"/>
    <x v="2"/>
    <n v="6.1909999999999998"/>
    <n v="5.1349999999999998"/>
    <n v="82.942981747698269"/>
    <n v="25.579710144927542"/>
    <n v="2.0872010374507473"/>
    <n v="47.9"/>
    <n v="1.0489999999999999"/>
    <n v="6.5540000000000003"/>
    <n v="0.9"/>
    <n v="1.10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9"/>
    <s v="BC"/>
    <x v="0"/>
    <x v="1"/>
    <n v="3"/>
    <x v="1"/>
    <n v="7.03"/>
    <x v="2"/>
    <n v="6.6550000000000002"/>
    <n v="5.6360000000000001"/>
    <n v="84.688204357625835"/>
    <n v="19.829302987197725"/>
    <n v="2.0127715810141948"/>
    <n v="47.13"/>
    <n v="1.071"/>
    <n v="6.6950000000000003"/>
    <n v="1.097"/>
    <n v="1.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"/>
    <s v="HH"/>
    <x v="0"/>
    <x v="0"/>
    <n v="1"/>
    <x v="1"/>
    <n v="6.99"/>
    <x v="3"/>
    <n v="17.684999999999999"/>
    <n v="4.1779999999999999"/>
    <n v="76.37545942889453"/>
    <n v="40.228898426323326"/>
    <n v="2.9995545428993453"/>
    <n v="44.96"/>
    <n v="1.3109999999999999"/>
    <n v="8.1940000000000008"/>
    <n v="1.054"/>
    <n v="0.47086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"/>
    <s v="HH"/>
    <x v="1"/>
    <x v="0"/>
    <n v="4"/>
    <x v="1"/>
    <n v="6.98"/>
    <x v="3"/>
    <n v="18.338000000000001"/>
    <n v="3.97"/>
    <n v="78.350965208855925"/>
    <n v="43.123209169054441"/>
    <n v="3.0491894718631825"/>
    <n v="46.29"/>
    <n v="1.7669999999999999"/>
    <n v="11.047000000000001"/>
    <n v="0.68"/>
    <n v="0.565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"/>
    <s v="HH"/>
    <x v="0"/>
    <x v="0"/>
    <n v="3"/>
    <x v="1"/>
    <n v="6.94"/>
    <x v="3"/>
    <n v="16.143000000000001"/>
    <n v="3.879"/>
    <n v="75.97100910611411"/>
    <n v="44.106628242074933"/>
    <n v="3.0666310358488835"/>
    <n v="46.35"/>
    <n v="1.752"/>
    <n v="10.952999999999999"/>
    <n v="1.03"/>
    <n v="0.55687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6"/>
    <s v="HH"/>
    <x v="1"/>
    <x v="0"/>
    <n v="1"/>
    <x v="1"/>
    <n v="7.04"/>
    <x v="3"/>
    <n v="22.119"/>
    <n v="5.1369999999999996"/>
    <n v="76.775622767756218"/>
    <n v="27.031250000000007"/>
    <n v="2.8000455684728207"/>
    <n v="45.45"/>
    <n v="1.0349999999999999"/>
    <n v="6.4660000000000002"/>
    <n v="0.44400000000000001"/>
    <n v="0.386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5"/>
    <s v="HH"/>
    <x v="1"/>
    <x v="0"/>
    <n v="5"/>
    <x v="1"/>
    <n v="6.99"/>
    <x v="3"/>
    <n v="20.507999999999999"/>
    <n v="4.625"/>
    <n v="77.447825238931145"/>
    <n v="33.834048640915597"/>
    <n v="2.8979108350693306"/>
    <n v="41.73"/>
    <n v="1.698"/>
    <n v="10.613"/>
    <n v="0.38500000000000001"/>
    <n v="0.163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6"/>
    <s v="HH"/>
    <x v="0"/>
    <x v="0"/>
    <n v="5"/>
    <x v="1"/>
    <n v="7.03"/>
    <x v="3"/>
    <n v="18.664999999999999"/>
    <n v="3.4"/>
    <n v="81.784087864987939"/>
    <n v="51.635846372688476"/>
    <n v="3.2113179239884584"/>
    <n v="44.75"/>
    <n v="1.798"/>
    <n v="11.24"/>
    <n v="0.52800000000000002"/>
    <n v="0.220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"/>
    <s v="HH"/>
    <x v="1"/>
    <x v="0"/>
    <n v="2"/>
    <x v="1"/>
    <n v="6.99"/>
    <x v="3"/>
    <n v="17.861999999999998"/>
    <n v="3.4390000000000001"/>
    <n v="80.746836860373975"/>
    <n v="50.80114449213162"/>
    <n v="3.1942064745835901"/>
    <n v="44.96"/>
    <n v="1.7789999999999999"/>
    <n v="11.119"/>
    <n v="0.72899999999999998"/>
    <n v="0.404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"/>
    <s v="HH"/>
    <x v="1"/>
    <x v="0"/>
    <n v="3"/>
    <x v="1"/>
    <n v="7"/>
    <x v="3"/>
    <n v="19.440000000000001"/>
    <n v="3.7589999999999999"/>
    <n v="80.663580246913583"/>
    <n v="46.300000000000004"/>
    <n v="3.1066638342612727"/>
    <n v="42.59"/>
    <n v="1.665"/>
    <n v="10.407"/>
    <n v="0.78300000000000003"/>
    <n v="0.51587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"/>
    <s v="HH"/>
    <x v="0"/>
    <x v="0"/>
    <n v="2"/>
    <x v="1"/>
    <n v="7.03"/>
    <x v="3"/>
    <n v="20.728999999999999"/>
    <n v="3.7170000000000001"/>
    <n v="82.068599546529015"/>
    <n v="47.126600284495026"/>
    <n v="3.1221764642954586"/>
    <n v="46.41"/>
    <n v="1.847"/>
    <n v="11.547000000000001"/>
    <n v="0.754"/>
    <n v="0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"/>
    <s v="HH"/>
    <x v="0"/>
    <x v="0"/>
    <n v="2"/>
    <x v="1"/>
    <n v="7.01"/>
    <x v="3"/>
    <n v="21.091000000000001"/>
    <n v="3.5339999999999998"/>
    <n v="83.24403774121663"/>
    <n v="49.586305278174038"/>
    <n v="3.1698139769369944"/>
    <n v="47.11"/>
    <n v="1.8819999999999999"/>
    <n v="11.762"/>
    <n v="0.69799999999999995"/>
    <n v="0.529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"/>
    <s v="HH"/>
    <x v="0"/>
    <x v="0"/>
    <n v="4"/>
    <x v="1"/>
    <n v="7.01"/>
    <x v="3"/>
    <n v="16.163"/>
    <n v="3.839"/>
    <n v="76.248221246055806"/>
    <n v="45.235378031383739"/>
    <n v="3.0870324348158382"/>
    <n v="48.21"/>
    <n v="1.6379999999999999"/>
    <n v="10.239000000000001"/>
    <n v="0.8"/>
    <n v="0.450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"/>
    <s v="HH"/>
    <x v="0"/>
    <x v="1"/>
    <n v="4"/>
    <x v="1"/>
    <n v="7.01"/>
    <x v="3"/>
    <n v="16.273"/>
    <n v="3.9390000000000001"/>
    <n v="75.794260431389418"/>
    <n v="43.808844507845933"/>
    <n v="3.0613174668457304"/>
    <n v="47.52"/>
    <n v="1.466"/>
    <n v="9.1609999999999996"/>
    <n v="0.505"/>
    <n v="0.28286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4"/>
    <s v="HH"/>
    <x v="0"/>
    <x v="1"/>
    <n v="5"/>
    <x v="1"/>
    <n v="6.96"/>
    <x v="3"/>
    <n v="18.783999999999999"/>
    <n v="3.907"/>
    <n v="79.200383304940374"/>
    <n v="43.864942528735625"/>
    <n v="3.0623163080613951"/>
    <n v="45.54"/>
    <n v="1.419"/>
    <n v="8.8689999999999998"/>
    <n v="0.57799999999999996"/>
    <n v="0.493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3"/>
    <s v="HH"/>
    <x v="1"/>
    <x v="1"/>
    <n v="3"/>
    <x v="1"/>
    <n v="7.06"/>
    <x v="3"/>
    <n v="17.530999999999999"/>
    <n v="4.6520000000000001"/>
    <n v="73.464149221379259"/>
    <n v="34.107648725212456"/>
    <n v="2.9020544666367329"/>
    <n v="38.24"/>
    <n v="1.629"/>
    <n v="10.183999999999999"/>
    <n v="0.35799999999999998"/>
    <n v="0.133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5"/>
    <s v="HH"/>
    <x v="0"/>
    <x v="1"/>
    <n v="3"/>
    <x v="1"/>
    <n v="7.06"/>
    <x v="3"/>
    <n v="14.94"/>
    <n v="4.5780000000000003"/>
    <n v="69.357429718875494"/>
    <n v="35.155807365439088"/>
    <n v="2.9180894797627759"/>
    <n v="45.3"/>
    <n v="1.357"/>
    <n v="8.4789999999999992"/>
    <n v="0.38100000000000001"/>
    <n v="0.25386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0"/>
    <s v="HH"/>
    <x v="0"/>
    <x v="1"/>
    <n v="1"/>
    <x v="1"/>
    <n v="7.09"/>
    <x v="3"/>
    <n v="18.763000000000002"/>
    <n v="5.0209999999999999"/>
    <n v="73.239887011671897"/>
    <n v="29.181946403385052"/>
    <n v="2.8299628732794679"/>
    <n v="44.19"/>
    <n v="1.3959999999999999"/>
    <n v="8.7249999999999996"/>
    <n v="0.45300000000000001"/>
    <n v="6.386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7"/>
    <s v="HH"/>
    <x v="1"/>
    <x v="1"/>
    <n v="2"/>
    <x v="1"/>
    <n v="6.99"/>
    <x v="3"/>
    <n v="16.321000000000002"/>
    <n v="3.8210000000000002"/>
    <n v="76.588444335518659"/>
    <n v="45.336194563662374"/>
    <n v="3.0888750375689562"/>
    <n v="44.18"/>
    <n v="1.234"/>
    <n v="7.7119999999999997"/>
    <n v="0.311"/>
    <n v="5.687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7"/>
    <s v="HH"/>
    <x v="1"/>
    <x v="1"/>
    <n v="1"/>
    <x v="1"/>
    <n v="6.97"/>
    <x v="3"/>
    <n v="18.968"/>
    <n v="3.9990000000000001"/>
    <n v="78.917123576549969"/>
    <n v="42.625538020086076"/>
    <n v="3.0404775446957517"/>
    <n v="44.08"/>
    <n v="1.587"/>
    <n v="9.9190000000000005"/>
    <n v="0.38"/>
    <n v="0.773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2"/>
    <s v="SB"/>
    <x v="0"/>
    <x v="0"/>
    <n v="2"/>
    <x v="1"/>
    <n v="6.98"/>
    <x v="3"/>
    <n v="21.507000000000001"/>
    <n v="4.0019999999999998"/>
    <n v="81.392104896080355"/>
    <n v="42.664756446991412"/>
    <n v="3.0411613304007399"/>
    <n v="47.5"/>
    <n v="1.651"/>
    <n v="10.316000000000001"/>
    <n v="0.58199999999999996"/>
    <n v="0.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4"/>
    <s v="SB"/>
    <x v="1"/>
    <x v="0"/>
    <n v="4"/>
    <x v="1"/>
    <n v="6.99"/>
    <x v="3"/>
    <n v="18.765999999999998"/>
    <n v="3.8809999999999998"/>
    <n v="79.318981136097193"/>
    <n v="44.47782546494993"/>
    <n v="3.0732943536469501"/>
    <n v="47.13"/>
    <n v="1.9159999999999999"/>
    <n v="11.972"/>
    <n v="0.77100000000000002"/>
    <n v="0.101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6"/>
    <s v="SB"/>
    <x v="1"/>
    <x v="0"/>
    <n v="1"/>
    <x v="1"/>
    <n v="6.99"/>
    <x v="3"/>
    <n v="20.731000000000002"/>
    <n v="4.0679999999999996"/>
    <n v="80.377212869615562"/>
    <n v="41.80257510729615"/>
    <n v="3.0262357278474057"/>
    <n v="45.85"/>
    <n v="1.5629999999999999"/>
    <n v="9.7710000000000008"/>
    <n v="0.56699999999999995"/>
    <n v="0.23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6"/>
    <s v="SB"/>
    <x v="0"/>
    <x v="0"/>
    <n v="1"/>
    <x v="1"/>
    <n v="6.99"/>
    <x v="3"/>
    <n v="15.778"/>
    <n v="3.8490000000000002"/>
    <n v="75.605273165166693"/>
    <n v="44.935622317596561"/>
    <n v="3.08157383173211"/>
    <n v="46.11"/>
    <n v="1.627"/>
    <n v="10.166"/>
    <n v="0.76200000000000001"/>
    <n v="0.75887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5"/>
    <s v="SB"/>
    <x v="1"/>
    <x v="0"/>
    <n v="5"/>
    <x v="1"/>
    <n v="6.97"/>
    <x v="3"/>
    <n v="20.335000000000001"/>
    <n v="3.7770000000000001"/>
    <n v="81.426112613720179"/>
    <n v="45.810616929698703"/>
    <n v="3.0975918308301127"/>
    <n v="40.119999999999997"/>
    <n v="1.696"/>
    <n v="10.6"/>
    <n v="0.51100000000000001"/>
    <n v="0.597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6"/>
    <s v="SB"/>
    <x v="0"/>
    <x v="0"/>
    <n v="5"/>
    <x v="1"/>
    <n v="7.04"/>
    <x v="3"/>
    <n v="16.013999999999999"/>
    <n v="3.3359999999999999"/>
    <n v="79.168227800674401"/>
    <n v="52.61363636363636"/>
    <n v="3.2317423354614512"/>
    <n v="46.63"/>
    <n v="1.903"/>
    <n v="11.893000000000001"/>
    <n v="0.46200000000000002"/>
    <n v="0.23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8"/>
    <s v="SB"/>
    <x v="0"/>
    <x v="0"/>
    <n v="4"/>
    <x v="1"/>
    <n v="7"/>
    <x v="3"/>
    <n v="23.914000000000001"/>
    <n v="3.605"/>
    <n v="84.925148448607516"/>
    <n v="48.5"/>
    <n v="3.1484950281064013"/>
    <n v="46.99"/>
    <n v="2.0459999999999998"/>
    <n v="12.786"/>
    <n v="0.39500000000000002"/>
    <n v="0.186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2"/>
    <s v="SB"/>
    <x v="1"/>
    <x v="0"/>
    <n v="3"/>
    <x v="1"/>
    <n v="7.03"/>
    <x v="3"/>
    <n v="19.576000000000001"/>
    <n v="4.1239999999999997"/>
    <n v="78.933387821822649"/>
    <n v="41.337126600284499"/>
    <n v="3.0182697894558603"/>
    <n v="46.94"/>
    <n v="1.738"/>
    <n v="10.864000000000001"/>
    <n v="0.92600000000000005"/>
    <n v="0.5880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3"/>
    <s v="SB"/>
    <x v="1"/>
    <x v="0"/>
    <n v="2"/>
    <x v="1"/>
    <n v="7.02"/>
    <x v="3"/>
    <n v="18.379000000000001"/>
    <n v="3.4049999999999998"/>
    <n v="81.473420751945156"/>
    <n v="51.495726495726487"/>
    <n v="3.2084249282242445"/>
    <n v="46.12"/>
    <n v="1.778"/>
    <n v="11.113"/>
    <n v="0.56699999999999995"/>
    <n v="0.5850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8"/>
    <s v="SB"/>
    <x v="0"/>
    <x v="0"/>
    <n v="3"/>
    <x v="1"/>
    <n v="6.96"/>
    <x v="3"/>
    <n v="19.530999999999999"/>
    <n v="3.1930000000000001"/>
    <n v="83.651630740873472"/>
    <n v="54.1235632183908"/>
    <n v="3.2641252104016836"/>
    <n v="44.58"/>
    <n v="1.9379999999999999"/>
    <n v="12.112"/>
    <n v="0.629"/>
    <n v="0.20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3"/>
    <s v="SB"/>
    <x v="1"/>
    <x v="1"/>
    <n v="3"/>
    <x v="1"/>
    <n v="6.99"/>
    <x v="3"/>
    <n v="14.423999999999999"/>
    <n v="4.3369999999999997"/>
    <n v="69.932057681641709"/>
    <n v="37.954220314735345"/>
    <n v="2.9622043411804904"/>
    <n v="46.77"/>
    <n v="1.4530000000000001"/>
    <n v="9.0809999999999995"/>
    <n v="0.61499999999999999"/>
    <n v="0.471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6"/>
    <s v="SB"/>
    <x v="1"/>
    <x v="1"/>
    <n v="5"/>
    <x v="1"/>
    <n v="6.96"/>
    <x v="3"/>
    <n v="24.687999999999999"/>
    <n v="4.4539999999999997"/>
    <n v="81.958846403110812"/>
    <n v="36.005747126436781"/>
    <n v="2.9312835552991525"/>
    <n v="39.380000000000003"/>
    <n v="1.47"/>
    <n v="9.1869999999999994"/>
    <n v="0.30399999999999999"/>
    <n v="0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8"/>
    <s v="SB"/>
    <x v="0"/>
    <x v="1"/>
    <n v="1"/>
    <x v="1"/>
    <n v="7.03"/>
    <x v="3"/>
    <n v="15.638"/>
    <n v="4.7"/>
    <n v="69.945005755211653"/>
    <n v="33.143669985775247"/>
    <n v="2.8875308468945611"/>
    <n v="46.23"/>
    <n v="1.373"/>
    <n v="8.5809999999999995"/>
    <n v="0.35799999999999998"/>
    <n v="0.300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9"/>
    <s v="SB"/>
    <x v="1"/>
    <x v="1"/>
    <n v="2"/>
    <x v="1"/>
    <n v="7"/>
    <x v="3"/>
    <n v="18.916"/>
    <n v="4.3479999999999999"/>
    <n v="77.014167900190316"/>
    <n v="37.885714285714286"/>
    <n v="2.9611008295843506"/>
    <n v="46.78"/>
    <n v="1.5309999999999999"/>
    <n v="9.5690000000000008"/>
    <n v="0.497"/>
    <n v="0.46886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4"/>
    <s v="SB"/>
    <x v="0"/>
    <x v="1"/>
    <n v="2"/>
    <x v="1"/>
    <n v="6.96"/>
    <x v="3"/>
    <n v="20.212"/>
    <n v="3.899"/>
    <n v="80.709479517118538"/>
    <n v="43.979885057471265"/>
    <n v="3.0643660141338684"/>
    <n v="46.46"/>
    <n v="1.274"/>
    <n v="7.9630000000000001"/>
    <n v="0.48899999999999999"/>
    <n v="0.443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2"/>
    <s v="SB"/>
    <x v="1"/>
    <x v="1"/>
    <n v="4"/>
    <x v="1"/>
    <n v="6.92"/>
    <x v="3"/>
    <n v="20.859000000000002"/>
    <n v="4.2770000000000001"/>
    <n v="79.495661345222686"/>
    <n v="38.193641618497111"/>
    <n v="2.9660705901728068"/>
    <n v="47.59"/>
    <n v="1.637"/>
    <n v="10.23"/>
    <n v="0.376"/>
    <n v="0.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4"/>
    <s v="SB"/>
    <x v="0"/>
    <x v="1"/>
    <n v="3"/>
    <x v="1"/>
    <n v="7"/>
    <x v="3"/>
    <n v="22.498999999999999"/>
    <n v="4.5140000000000002"/>
    <n v="79.936886083825954"/>
    <n v="35.514285714285712"/>
    <n v="2.9236331204479695"/>
    <n v="47.12"/>
    <n v="1.4470000000000001"/>
    <n v="9.0429999999999993"/>
    <n v="0.317"/>
    <n v="0.136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s v="SB"/>
    <x v="0"/>
    <x v="1"/>
    <n v="5"/>
    <x v="1"/>
    <n v="7.01"/>
    <x v="3"/>
    <n v="17.388999999999999"/>
    <n v="4.1020000000000003"/>
    <n v="76.410374374604629"/>
    <n v="41.483594864479315"/>
    <n v="3.0207696911843103"/>
    <n v="46.98"/>
    <n v="1.409"/>
    <n v="8.8059999999999992"/>
    <n v="0.40699999999999997"/>
    <n v="0.28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7"/>
    <s v="SB"/>
    <x v="1"/>
    <x v="1"/>
    <n v="1"/>
    <x v="1"/>
    <n v="6.91"/>
    <x v="3"/>
    <n v="22.274999999999999"/>
    <n v="4.4340000000000002"/>
    <n v="80.094276094276083"/>
    <n v="35.832127351664255"/>
    <n v="2.9285741763734592"/>
    <n v="46.78"/>
    <n v="1.5660000000000001"/>
    <n v="9.7850000000000001"/>
    <n v="0.34100000000000003"/>
    <n v="0.194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9"/>
    <s v="BC"/>
    <x v="1"/>
    <x v="0"/>
    <n v="5"/>
    <x v="1"/>
    <n v="6.98"/>
    <x v="3"/>
    <n v="14.869"/>
    <n v="3.2829999999999999"/>
    <n v="22.079494249781426"/>
    <n v="52.965616045845273"/>
    <n v="3.239197928042826"/>
    <n v="46.95"/>
    <n v="1.554"/>
    <n v="9.7129999999999992"/>
    <n v="0.94399999999999995"/>
    <n v="0.584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0"/>
    <s v="BC"/>
    <x v="0"/>
    <x v="0"/>
    <n v="2"/>
    <x v="1"/>
    <n v="7.04"/>
    <x v="3"/>
    <n v="18.042000000000002"/>
    <n v="3.8969999999999998"/>
    <n v="21.599600931160623"/>
    <n v="44.644886363636367"/>
    <n v="3.0763077936013792"/>
    <n v="47.21"/>
    <n v="1.8220000000000001"/>
    <n v="11.387"/>
    <n v="0.77200000000000002"/>
    <n v="0.43686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9"/>
    <s v="BC"/>
    <x v="1"/>
    <x v="0"/>
    <n v="3"/>
    <x v="1"/>
    <n v="7.04"/>
    <x v="3"/>
    <n v="19.204999999999998"/>
    <n v="4.3979999999999997"/>
    <n v="22.900286383754231"/>
    <n v="37.528409090909101"/>
    <n v="2.9553649278253822"/>
    <n v="44.4"/>
    <n v="1.41"/>
    <n v="8.8119999999999994"/>
    <n v="0.76400000000000001"/>
    <n v="0.78087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0"/>
    <s v="BC"/>
    <x v="0"/>
    <x v="0"/>
    <n v="4"/>
    <x v="1"/>
    <n v="6.91"/>
    <x v="3"/>
    <n v="20.382999999999999"/>
    <n v="4.5590000000000002"/>
    <n v="22.366678114114706"/>
    <n v="34.02315484804631"/>
    <n v="2.9007729863362743"/>
    <n v="46.92"/>
    <n v="1.407"/>
    <n v="8.7959999999999994"/>
    <n v="1.0880000000000001"/>
    <n v="0.400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1"/>
    <s v="BC"/>
    <x v="0"/>
    <x v="0"/>
    <n v="1"/>
    <x v="1"/>
    <n v="7.08"/>
    <x v="3"/>
    <n v="20.768000000000001"/>
    <n v="4.476"/>
    <n v="21.552388289676426"/>
    <n v="36.779661016949156"/>
    <n v="2.94345076704395"/>
    <n v="47.78"/>
    <n v="1.7210000000000001"/>
    <n v="10.753"/>
    <n v="0.97199999999999998"/>
    <n v="0.51387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3"/>
    <s v="BC"/>
    <x v="0"/>
    <x v="0"/>
    <n v="5"/>
    <x v="1"/>
    <n v="7.05"/>
    <x v="3"/>
    <n v="18.670999999999999"/>
    <n v="3.944"/>
    <n v="21.123667719993573"/>
    <n v="44.056737588652481"/>
    <n v="3.0657388298717887"/>
    <n v="46.98"/>
    <n v="1.823"/>
    <n v="11.395"/>
    <n v="0.78100000000000003"/>
    <n v="5.8869999999999999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6"/>
    <s v="BC"/>
    <x v="0"/>
    <x v="0"/>
    <n v="3"/>
    <x v="1"/>
    <n v="6.97"/>
    <x v="3"/>
    <n v="14.916"/>
    <n v="4.3070000000000004"/>
    <n v="28.875033521051225"/>
    <n v="38.206599713055944"/>
    <n v="2.9662802684884593"/>
    <n v="47.53"/>
    <n v="1.5960000000000001"/>
    <n v="9.9779999999999998"/>
    <n v="1.6"/>
    <n v="0.848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1"/>
    <s v="BC"/>
    <x v="1"/>
    <x v="0"/>
    <n v="2"/>
    <x v="1"/>
    <n v="6.96"/>
    <x v="3"/>
    <n v="23.120999999999999"/>
    <n v="5.149"/>
    <n v="22.26979801911682"/>
    <n v="26.020114942528732"/>
    <n v="2.7862836030703244"/>
    <n v="38.01"/>
    <n v="1.298"/>
    <n v="8.1150000000000002"/>
    <n v="0.46500000000000002"/>
    <n v="0.180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8"/>
    <s v="BC"/>
    <x v="0"/>
    <x v="0"/>
    <n v="1"/>
    <x v="1"/>
    <n v="7.05"/>
    <x v="3"/>
    <n v="20.768000000000001"/>
    <n v="3.9769999999999999"/>
    <n v="19.149653312788907"/>
    <n v="43.588652482269502"/>
    <n v="3.057406500386624"/>
    <n v="46.2"/>
    <n v="1.5580000000000001"/>
    <n v="9.7390000000000008"/>
    <n v="0.65500000000000003"/>
    <n v="0.52787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00"/>
    <s v="BC"/>
    <x v="1"/>
    <x v="0"/>
    <n v="1"/>
    <x v="1"/>
    <n v="7.07"/>
    <x v="3"/>
    <n v="16.491"/>
    <n v="3.2120000000000002"/>
    <n v="19.477290643381238"/>
    <n v="54.568599717114566"/>
    <n v="3.2738733336119665"/>
    <n v="46.53"/>
    <n v="1.954"/>
    <n v="12.211"/>
    <n v="0.97899999999999998"/>
    <n v="1.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4"/>
    <s v="BC"/>
    <x v="1"/>
    <x v="1"/>
    <n v="5"/>
    <x v="1"/>
    <n v="6.92"/>
    <x v="3"/>
    <n v="18.231000000000002"/>
    <n v="4.6210000000000004"/>
    <n v="25.346936536668313"/>
    <n v="33.22254335260115"/>
    <n v="2.8887112875294489"/>
    <n v="47.38"/>
    <n v="1.5589999999999999"/>
    <n v="9.7409999999999997"/>
    <n v="0.41299999999999998"/>
    <n v="0.195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2"/>
    <s v="BC"/>
    <x v="0"/>
    <x v="1"/>
    <n v="1"/>
    <x v="1"/>
    <n v="6.99"/>
    <x v="3"/>
    <n v="16.481000000000002"/>
    <n v="3.62"/>
    <n v="21.96468660882228"/>
    <n v="48.211731044349072"/>
    <n v="3.1429131801960395"/>
    <n v="46.9"/>
    <n v="1.589"/>
    <n v="9.9339999999999993"/>
    <n v="0.34499999999999997"/>
    <n v="0.156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7"/>
    <s v="BC"/>
    <x v="0"/>
    <x v="1"/>
    <n v="3"/>
    <x v="1"/>
    <n v="7"/>
    <x v="3"/>
    <n v="17.381"/>
    <n v="3.8780000000000001"/>
    <n v="22.311719693918647"/>
    <n v="44.6"/>
    <n v="3.0754972420228537"/>
    <n v="47.06"/>
    <n v="1.7989999999999999"/>
    <n v="11.244999999999999"/>
    <n v="0.51400000000000001"/>
    <n v="1.870000000000000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6"/>
    <s v="BC"/>
    <x v="0"/>
    <x v="1"/>
    <n v="2"/>
    <x v="1"/>
    <n v="6.92"/>
    <x v="3"/>
    <n v="15.885999999999999"/>
    <n v="3.871"/>
    <n v="24.367367493390407"/>
    <n v="44.060693641618499"/>
    <n v="3.0658095478220675"/>
    <n v="45.57"/>
    <n v="1.5309999999999999"/>
    <n v="9.5670000000000002"/>
    <n v="0.373"/>
    <n v="0.348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9"/>
    <s v="BC"/>
    <x v="1"/>
    <x v="1"/>
    <n v="1"/>
    <x v="1"/>
    <n v="7.01"/>
    <x v="3"/>
    <n v="18.715"/>
    <n v="3.7530000000000001"/>
    <n v="20.053433075073471"/>
    <n v="46.462196861626239"/>
    <n v="3.1096888306816153"/>
    <n v="47.73"/>
    <n v="1.6359999999999999"/>
    <n v="10.228"/>
    <n v="0.315"/>
    <n v="0.16487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2"/>
    <s v="BC"/>
    <x v="1"/>
    <x v="1"/>
    <n v="3"/>
    <x v="1"/>
    <n v="6.93"/>
    <x v="3"/>
    <n v="20.026"/>
    <n v="3.8340000000000001"/>
    <n v="19.145111355238189"/>
    <n v="44.675324675324674"/>
    <n v="3.0768578183663591"/>
    <n v="45.74"/>
    <n v="2.0150000000000001"/>
    <n v="12.593"/>
    <n v="0.57699999999999996"/>
    <n v="9.486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5"/>
    <s v="BC"/>
    <x v="0"/>
    <x v="1"/>
    <n v="5"/>
    <x v="1"/>
    <n v="6.96"/>
    <x v="3"/>
    <n v="19.356000000000002"/>
    <n v="4.3250000000000002"/>
    <n v="22.344492663773504"/>
    <n v="37.859195402298845"/>
    <n v="2.9606739837504858"/>
    <n v="46.04"/>
    <n v="1.591"/>
    <n v="9.9469999999999992"/>
    <n v="0.47099999999999997"/>
    <n v="0.246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9"/>
    <s v="BC"/>
    <x v="0"/>
    <x v="1"/>
    <n v="4"/>
    <x v="1"/>
    <n v="7.05"/>
    <x v="3"/>
    <n v="20.404"/>
    <n v="3.887"/>
    <n v="19.050186237992548"/>
    <n v="44.865248226950357"/>
    <n v="3.0802966147420912"/>
    <n v="47.32"/>
    <n v="1.571"/>
    <n v="9.8190000000000008"/>
    <n v="0.42199999999999999"/>
    <n v="0.2628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1"/>
    <s v="BC"/>
    <x v="1"/>
    <x v="1"/>
    <n v="4"/>
    <x v="1"/>
    <n v="6.93"/>
    <x v="3"/>
    <n v="17.757000000000001"/>
    <n v="4.0960000000000001"/>
    <n v="23.066959508926054"/>
    <n v="40.894660894660888"/>
    <n v="3.0107555752526056"/>
    <n v="46.73"/>
    <n v="1.2210000000000001"/>
    <n v="7.633"/>
    <n v="0.438"/>
    <n v="0.5830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5"/>
    <s v="BC"/>
    <x v="1"/>
    <x v="1"/>
    <n v="2"/>
    <x v="1"/>
    <n v="6.98"/>
    <x v="3"/>
    <n v="20.51"/>
    <n v="4.4119999999999999"/>
    <n v="21.511457825450996"/>
    <n v="36.790830945558746"/>
    <n v="2.9436274651710255"/>
    <n v="41.06"/>
    <n v="1.4850000000000001"/>
    <n v="9.2799999999999994"/>
    <n v="0.314"/>
    <n v="0.69799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4"/>
    <s v="HH"/>
    <x v="1"/>
    <x v="1"/>
    <n v="4"/>
    <x v="1"/>
    <n v="7"/>
    <x v="3"/>
    <n v="16.898"/>
    <n v="3.927"/>
    <n v="76.760563380281681"/>
    <n v="43.9"/>
    <n v="3.0629410232474408"/>
    <n v="47.07"/>
    <n v="1.0980000000000001"/>
    <n v="6.8650000000000002"/>
    <n v="0.42299999999999999"/>
    <n v="0.18487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5"/>
    <s v="HH"/>
    <x v="1"/>
    <x v="1"/>
    <n v="5"/>
    <x v="1"/>
    <n v="7"/>
    <x v="3"/>
    <n v="21.645"/>
    <n v="5.2030000000000003"/>
    <n v="75.962115962115959"/>
    <n v="25.671428571428567"/>
    <n v="2.7815814165351473"/>
    <n v="28.88"/>
    <n v="1.2729999999999999"/>
    <n v="7.9539999999999997"/>
    <n v="0.187"/>
    <n v="0.201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"/>
    <s v="HH"/>
    <x v="0"/>
    <x v="0"/>
    <n v="2"/>
    <x v="1"/>
    <n v="6.99"/>
    <x v="4"/>
    <n v="4.12"/>
    <n v="2.5779999999999998"/>
    <n v="37.427184466019426"/>
    <n v="63.118741058655239"/>
    <n v="3.8878384096248881"/>
    <n v="44.58"/>
    <n v="1.5249999999999999"/>
    <n v="9.5289999999999999"/>
    <n v="0.29399999999999998"/>
    <n v="0.255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"/>
    <s v="HH"/>
    <x v="1"/>
    <x v="0"/>
    <n v="5"/>
    <x v="1"/>
    <n v="7.06"/>
    <x v="4"/>
    <n v="6.0250000000000004"/>
    <n v="2.3650000000000002"/>
    <n v="60.746887966804977"/>
    <n v="66.501416430594901"/>
    <n v="3.9840387874574192"/>
    <n v="44.09"/>
    <n v="1.9490000000000001"/>
    <n v="12.180999999999999"/>
    <n v="0.42299999999999999"/>
    <n v="0.38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"/>
    <s v="HH"/>
    <x v="1"/>
    <x v="0"/>
    <n v="1"/>
    <x v="1"/>
    <n v="7"/>
    <x v="4"/>
    <n v="4.1452999999999998"/>
    <n v="3.4186999999999999"/>
    <n v="17.528285045714423"/>
    <n v="51.161428571428566"/>
    <n v="3.6070215450987928"/>
    <n v="45.57"/>
    <n v="1.6639999999999999"/>
    <n v="10.401999999999999"/>
    <n v="0.60299999999999998"/>
    <n v="0.60361999999999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"/>
    <s v="HH"/>
    <x v="0"/>
    <x v="0"/>
    <n v="5"/>
    <x v="1"/>
    <n v="7.05"/>
    <x v="4"/>
    <n v="5.22"/>
    <n v="2.8359999999999999"/>
    <n v="45.670498084291189"/>
    <n v="59.773049645390074"/>
    <n v="3.8010047660504611"/>
    <n v="47.92"/>
    <n v="1.661"/>
    <n v="10.379"/>
    <n v="0.32400000000000001"/>
    <n v="0.25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7"/>
    <s v="HH"/>
    <x v="1"/>
    <x v="0"/>
    <n v="2"/>
    <x v="1"/>
    <n v="7.02"/>
    <x v="4"/>
    <n v="3.98"/>
    <n v="2.444"/>
    <n v="38.5929648241206"/>
    <n v="65.185185185185176"/>
    <n v="3.9454989346245357"/>
    <n v="44.54"/>
    <n v="2.0099999999999998"/>
    <n v="12.565"/>
    <n v="0.49399999999999999"/>
    <n v="0.396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"/>
    <s v="HH"/>
    <x v="0"/>
    <x v="0"/>
    <n v="4"/>
    <x v="1"/>
    <n v="6.99"/>
    <x v="4"/>
    <n v="3.786"/>
    <n v="2.9134000000000002"/>
    <n v="23.048071843634439"/>
    <n v="58.320457796852644"/>
    <n v="3.7655315301091732"/>
    <n v="44.62"/>
    <n v="1.597"/>
    <n v="9.9789999999999992"/>
    <n v="0.313"/>
    <n v="0.5060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90"/>
    <s v="HH"/>
    <x v="0"/>
    <x v="0"/>
    <n v="1"/>
    <x v="1"/>
    <n v="7.05"/>
    <x v="4"/>
    <n v="4.4347000000000003"/>
    <n v="3.7911000000000001"/>
    <n v="14.512819356438994"/>
    <n v="46.225531914893615"/>
    <n v="3.5107431602697341"/>
    <n v="47.63"/>
    <n v="1.591"/>
    <n v="9.9440000000000008"/>
    <n v="0.311"/>
    <n v="0.211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0"/>
    <s v="HH"/>
    <x v="1"/>
    <x v="1"/>
    <n v="4"/>
    <x v="1"/>
    <n v="7.05"/>
    <x v="4"/>
    <n v="12.268000000000001"/>
    <n v="2.8279999999999998"/>
    <n v="76.948157808933814"/>
    <n v="59.88652482269503"/>
    <n v="3.8038296266860154"/>
    <n v="41.9"/>
    <n v="1.25"/>
    <n v="7.8140000000000001"/>
    <n v="0.21099999999999999"/>
    <n v="0.234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4"/>
    <s v="HH"/>
    <x v="1"/>
    <x v="1"/>
    <n v="3"/>
    <x v="1"/>
    <n v="7.08"/>
    <x v="4"/>
    <n v="4.0381999999999998"/>
    <n v="2.7092999999999998"/>
    <n v="32.90822643752167"/>
    <n v="61.733050847457626"/>
    <n v="3.8509553666590675"/>
    <n v="37.979999999999997"/>
    <n v="1.6439999999999999"/>
    <n v="10.273999999999999"/>
    <n v="0.245"/>
    <n v="0.23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"/>
    <s v="HH"/>
    <x v="0"/>
    <x v="1"/>
    <n v="1"/>
    <x v="1"/>
    <n v="6.99"/>
    <x v="4"/>
    <n v="5.0750000000000002"/>
    <n v="3.6459999999999999"/>
    <n v="28.157635467980302"/>
    <n v="47.839771101573682"/>
    <n v="3.5412216378854122"/>
    <n v="45.38"/>
    <n v="1.5009999999999999"/>
    <n v="9.3800000000000008"/>
    <n v="0.24299999999999999"/>
    <n v="6.361999999999999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8"/>
    <s v="HH"/>
    <x v="0"/>
    <x v="1"/>
    <n v="3"/>
    <x v="1"/>
    <n v="7"/>
    <x v="4"/>
    <n v="7.0010000000000003"/>
    <n v="2.798"/>
    <n v="60.034280817026143"/>
    <n v="60.028571428571432"/>
    <n v="3.8073770307081887"/>
    <n v="46.89"/>
    <n v="1.893"/>
    <n v="11.832000000000001"/>
    <n v="0.317"/>
    <n v="0.293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1"/>
    <s v="HH"/>
    <x v="0"/>
    <x v="1"/>
    <n v="2"/>
    <x v="1"/>
    <n v="7.02"/>
    <x v="4"/>
    <n v="4.2119999999999997"/>
    <n v="2.8069999999999999"/>
    <n v="33.357075023741686"/>
    <n v="60.014245014245006"/>
    <n v="3.8070186785541389"/>
    <n v="47.51"/>
    <n v="1.56"/>
    <n v="9.7490000000000006"/>
    <n v="0.32200000000000001"/>
    <n v="0.367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2"/>
    <s v="HH"/>
    <x v="1"/>
    <x v="1"/>
    <n v="1"/>
    <x v="1"/>
    <n v="7.03"/>
    <x v="4"/>
    <n v="4.5434000000000001"/>
    <n v="3.4338000000000002"/>
    <n v="24.422238851961083"/>
    <n v="51.155049786628737"/>
    <n v="3.6068909440577634"/>
    <n v="43.43"/>
    <n v="1.4219999999999999"/>
    <n v="8.89"/>
    <n v="0.246"/>
    <n v="0.15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4"/>
    <s v="HH"/>
    <x v="0"/>
    <x v="1"/>
    <n v="5"/>
    <x v="1"/>
    <n v="6.98"/>
    <x v="4"/>
    <n v="4.87"/>
    <n v="3.343"/>
    <n v="31.355236139630392"/>
    <n v="52.106017191977081"/>
    <n v="3.6265520672324842"/>
    <n v="47.43"/>
    <n v="1.1679999999999999"/>
    <n v="7.3"/>
    <n v="0.316"/>
    <n v="0.226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3"/>
    <s v="SB"/>
    <x v="0"/>
    <x v="0"/>
    <n v="4"/>
    <x v="1"/>
    <n v="7.06"/>
    <x v="4"/>
    <n v="6.2767999999999997"/>
    <n v="2.7496999999999998"/>
    <n v="56.192645934234008"/>
    <n v="61.052407932011334"/>
    <n v="3.8333249945827723"/>
    <n v="47.12"/>
    <n v="1.873"/>
    <n v="11.706"/>
    <n v="0.20899999999999999"/>
    <n v="0.564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6"/>
    <s v="SB"/>
    <x v="1"/>
    <x v="0"/>
    <n v="4"/>
    <x v="1"/>
    <n v="7.03"/>
    <x v="4"/>
    <n v="7.5119999999999996"/>
    <n v="4.1561000000000003"/>
    <n v="44.673855165069213"/>
    <n v="40.880512091038398"/>
    <n v="3.4159813291735426"/>
    <n v="45.92"/>
    <n v="1.8919999999999999"/>
    <n v="11.826000000000001"/>
    <n v="0.4"/>
    <n v="0.52461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"/>
    <s v="SB"/>
    <x v="1"/>
    <x v="0"/>
    <n v="1"/>
    <x v="1"/>
    <n v="7.02"/>
    <x v="4"/>
    <n v="25.846"/>
    <n v="2"/>
    <n v="92.261858701539893"/>
    <n v="71.509971509971507"/>
    <n v="4.145987795373939"/>
    <n v="45.73"/>
    <n v="1.827"/>
    <n v="11.420999999999999"/>
    <n v="0.22700000000000001"/>
    <n v="0.105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0"/>
    <s v="SB"/>
    <x v="0"/>
    <x v="0"/>
    <n v="1"/>
    <x v="1"/>
    <n v="7.01"/>
    <x v="4"/>
    <n v="7.2756999999999996"/>
    <n v="3.0716000000000001"/>
    <n v="57.782756298363033"/>
    <n v="56.182596291012828"/>
    <n v="3.7155108604684122"/>
    <n v="37.200000000000003"/>
    <n v="1.786"/>
    <n v="11.162000000000001"/>
    <n v="0.34699999999999998"/>
    <n v="0.341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3"/>
    <s v="SB"/>
    <x v="0"/>
    <x v="0"/>
    <n v="3"/>
    <x v="1"/>
    <n v="7.01"/>
    <x v="4"/>
    <n v="10.6053"/>
    <n v="2.3628999999999998"/>
    <n v="77.719630750662404"/>
    <n v="66.292439372325248"/>
    <n v="3.9778197807192783"/>
    <n v="46.93"/>
    <n v="1.7070000000000001"/>
    <n v="10.666"/>
    <n v="0.35799999999999998"/>
    <n v="0.480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0"/>
    <s v="SB"/>
    <x v="1"/>
    <x v="0"/>
    <n v="2"/>
    <x v="1"/>
    <n v="7.01"/>
    <x v="4"/>
    <n v="8.5434999999999999"/>
    <n v="2.7999000000000001"/>
    <n v="67.227716977819398"/>
    <n v="60.058487874465051"/>
    <n v="3.8081257566849898"/>
    <n v="46.18"/>
    <n v="1.726"/>
    <n v="10.788"/>
    <n v="0.16300000000000001"/>
    <n v="0.290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7"/>
    <s v="SB"/>
    <x v="1"/>
    <x v="1"/>
    <n v="2"/>
    <x v="1"/>
    <n v="6.97"/>
    <x v="4"/>
    <n v="7.3247"/>
    <n v="3.8814000000000002"/>
    <n v="47.009433833467575"/>
    <n v="44.312769010043034"/>
    <n v="3.4757910693727396"/>
    <n v="47.55"/>
    <n v="1.2929999999999999"/>
    <n v="8.0790000000000006"/>
    <n v="0.28599999999999998"/>
    <n v="0.353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5"/>
    <s v="SB"/>
    <x v="1"/>
    <x v="0"/>
    <n v="3"/>
    <x v="1"/>
    <n v="7.09"/>
    <x v="4"/>
    <n v="23.710999999999999"/>
    <n v="2.456"/>
    <n v="89.641938340854452"/>
    <n v="65.359661495063477"/>
    <n v="3.9505230881553048"/>
    <n v="44.96"/>
    <n v="1.48"/>
    <n v="9.2479999999999993"/>
    <n v="0.25"/>
    <n v="0.212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0"/>
    <s v="SB"/>
    <x v="1"/>
    <x v="1"/>
    <n v="5"/>
    <x v="1"/>
    <n v="7.03"/>
    <x v="4"/>
    <n v="12.102399999999999"/>
    <n v="3.8773"/>
    <n v="67.962552882072984"/>
    <n v="44.846372688477956"/>
    <n v="3.4854194286065039"/>
    <n v="45.9"/>
    <n v="1.74"/>
    <n v="10.877000000000001"/>
    <n v="0.28899999999999998"/>
    <n v="0.29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7"/>
    <s v="SB"/>
    <x v="0"/>
    <x v="1"/>
    <n v="3"/>
    <x v="1"/>
    <n v="7"/>
    <x v="4"/>
    <n v="9.3742999999999999"/>
    <n v="2.6974"/>
    <n v="71.225584843668315"/>
    <n v="61.465714285714292"/>
    <n v="3.843993560850858"/>
    <n v="45.94"/>
    <n v="1.6870000000000001"/>
    <n v="10.545999999999999"/>
    <n v="0.28599999999999998"/>
    <n v="0.230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2"/>
    <s v="SB"/>
    <x v="1"/>
    <x v="1"/>
    <n v="3"/>
    <x v="1"/>
    <n v="7.01"/>
    <x v="4"/>
    <n v="5.0590999999999999"/>
    <n v="3.3264"/>
    <n v="34.249174754402958"/>
    <n v="52.547788873038513"/>
    <n v="3.635818820821052"/>
    <n v="47.01"/>
    <n v="1.508"/>
    <n v="9.4239999999999995"/>
    <n v="0.26900000000000002"/>
    <n v="0.191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3"/>
    <s v="SB"/>
    <x v="0"/>
    <x v="1"/>
    <n v="4"/>
    <x v="1"/>
    <n v="6.98"/>
    <x v="4"/>
    <n v="9.3079999999999998"/>
    <n v="3.5206"/>
    <n v="62.176622260421141"/>
    <n v="49.561604584527224"/>
    <n v="3.5747892450407108"/>
    <n v="44.91"/>
    <n v="1.623"/>
    <n v="10.141999999999999"/>
    <n v="0.29799999999999999"/>
    <n v="0.2979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0"/>
    <s v="SB"/>
    <x v="1"/>
    <x v="1"/>
    <n v="4"/>
    <x v="1"/>
    <n v="6.92"/>
    <x v="4"/>
    <n v="16.217099999999999"/>
    <n v="4.1101999999999999"/>
    <n v="74.655147961102784"/>
    <n v="40.604046242774565"/>
    <n v="3.4113158384010602"/>
    <n v="46.21"/>
    <n v="1.9"/>
    <n v="11.875"/>
    <n v="0.66500000000000004"/>
    <n v="0.4059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3"/>
    <s v="BC"/>
    <x v="1"/>
    <x v="0"/>
    <n v="2"/>
    <x v="1"/>
    <n v="6.97"/>
    <x v="4"/>
    <n v="6.5140000000000002"/>
    <n v="2.6917"/>
    <n v="41.321768498618361"/>
    <n v="61.381635581061687"/>
    <n v="3.8418140184037379"/>
    <n v="44.57"/>
    <n v="1.5449999999999999"/>
    <n v="9.6530000000000005"/>
    <n v="0.26400000000000001"/>
    <n v="0.311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47"/>
    <s v="BC"/>
    <x v="1"/>
    <x v="0"/>
    <n v="1"/>
    <x v="1"/>
    <n v="6.99"/>
    <x v="4"/>
    <n v="4.7830000000000004"/>
    <n v="2.4188000000000001"/>
    <n v="50.570771482333264"/>
    <n v="65.396280400572252"/>
    <n v="3.9515807647249628"/>
    <n v="45.37"/>
    <n v="1.47"/>
    <n v="9.1880000000000006"/>
    <n v="0.41099999999999998"/>
    <n v="0.354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0"/>
    <s v="BC"/>
    <x v="1"/>
    <x v="0"/>
    <n v="5"/>
    <x v="1"/>
    <n v="6.99"/>
    <x v="4"/>
    <n v="4.2279999999999998"/>
    <n v="2.331"/>
    <n v="55.132450331125824"/>
    <n v="66.652360515021471"/>
    <n v="3.9885549540882637"/>
    <n v="44.81"/>
    <n v="1.8540000000000001"/>
    <n v="11.587"/>
    <n v="0.47199999999999998"/>
    <n v="0.32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2"/>
    <s v="BC"/>
    <x v="1"/>
    <x v="0"/>
    <n v="3"/>
    <x v="1"/>
    <n v="6.95"/>
    <x v="4"/>
    <n v="4.6840000000000002"/>
    <n v="3.1177000000000001"/>
    <n v="66.560631938514092"/>
    <n v="55.141007194244608"/>
    <n v="3.6920178669890622"/>
    <n v="45.67"/>
    <n v="1.4359999999999999"/>
    <n v="8.9760000000000009"/>
    <n v="0.57299999999999995"/>
    <n v="0.69361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3"/>
    <s v="BC"/>
    <x v="0"/>
    <x v="0"/>
    <n v="5"/>
    <x v="1"/>
    <n v="7.09"/>
    <x v="4"/>
    <n v="6.1280000000000001"/>
    <n v="2.2604000000000002"/>
    <n v="36.886422976501308"/>
    <n v="68.118476727785605"/>
    <n v="4.0335153096666492"/>
    <n v="44.55"/>
    <n v="1.9890000000000001"/>
    <n v="12.430999999999999"/>
    <n v="0.41399999999999998"/>
    <n v="0.34361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5"/>
    <s v="BC"/>
    <x v="1"/>
    <x v="0"/>
    <n v="4"/>
    <x v="1"/>
    <n v="6.99"/>
    <x v="4"/>
    <n v="5.625"/>
    <n v="2.738"/>
    <n v="48.675555555555555"/>
    <n v="60.829756795422043"/>
    <n v="3.8276245872756265"/>
    <n v="43.82"/>
    <n v="1.7689999999999999"/>
    <n v="11.054"/>
    <n v="0.54700000000000004"/>
    <n v="0.62261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8"/>
    <s v="BC"/>
    <x v="0"/>
    <x v="0"/>
    <n v="1"/>
    <x v="1"/>
    <n v="6.94"/>
    <x v="4"/>
    <n v="4.4850000000000003"/>
    <n v="3.0750999999999999"/>
    <n v="68.564102564102555"/>
    <n v="55.690201729106633"/>
    <n v="3.7043361113599675"/>
    <n v="45.51"/>
    <n v="1.7330000000000001"/>
    <n v="10.832000000000001"/>
    <n v="0.57299999999999995"/>
    <n v="0.42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3"/>
    <s v="BC"/>
    <x v="0"/>
    <x v="0"/>
    <n v="3"/>
    <x v="1"/>
    <n v="7.07"/>
    <x v="4"/>
    <n v="4.1040000000000001"/>
    <n v="2.8109999999999999"/>
    <n v="68.494152046783626"/>
    <n v="60.240452616690241"/>
    <n v="3.8126919458802515"/>
    <n v="46.79"/>
    <n v="1.7350000000000001"/>
    <n v="10.843"/>
    <n v="0.57299999999999995"/>
    <n v="0.421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2"/>
    <s v="BC"/>
    <x v="0"/>
    <x v="0"/>
    <n v="4"/>
    <x v="1"/>
    <n v="6.95"/>
    <x v="4"/>
    <n v="5.9349999999999996"/>
    <n v="3.5190000000000001"/>
    <n v="59.292333614153335"/>
    <n v="49.366906474820141"/>
    <n v="3.5709365591334175"/>
    <n v="44.92"/>
    <n v="1.6120000000000001"/>
    <n v="10.073"/>
    <n v="0.95899999999999996"/>
    <n v="0.80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597"/>
    <s v="BC"/>
    <x v="0"/>
    <x v="0"/>
    <n v="2"/>
    <x v="1"/>
    <n v="6.98"/>
    <x v="4"/>
    <n v="5.4210000000000003"/>
    <n v="3.2262"/>
    <n v="59.513004980630882"/>
    <n v="53.779369627507165"/>
    <n v="3.6621157006088954"/>
    <n v="46.07"/>
    <n v="1.702"/>
    <n v="10.638"/>
    <n v="0.58099999999999996"/>
    <n v="0.56861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7"/>
    <s v="BC"/>
    <x v="1"/>
    <x v="1"/>
    <n v="1"/>
    <x v="1"/>
    <n v="6.92"/>
    <x v="4"/>
    <n v="8.0310000000000006"/>
    <n v="2.9689999999999999"/>
    <n v="36.969244178807124"/>
    <n v="57.095375722543352"/>
    <n v="3.7365623317441203"/>
    <n v="45.24"/>
    <n v="1.425"/>
    <n v="8.9039999999999999"/>
    <n v="0.28699999999999998"/>
    <n v="0.256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68"/>
    <s v="BC"/>
    <x v="0"/>
    <x v="1"/>
    <n v="1"/>
    <x v="1"/>
    <n v="6.93"/>
    <x v="4"/>
    <n v="5.85"/>
    <n v="3.9477000000000002"/>
    <n v="67.482051282051287"/>
    <n v="43.034632034632033"/>
    <n v="3.4530984402559088"/>
    <n v="46.15"/>
    <n v="1.512"/>
    <n v="9.4489999999999998"/>
    <n v="0.38700000000000001"/>
    <n v="0.35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1"/>
    <s v="BC"/>
    <x v="0"/>
    <x v="1"/>
    <n v="5"/>
    <x v="1"/>
    <n v="6.92"/>
    <x v="4"/>
    <n v="5.5359999999999996"/>
    <n v="3.0019"/>
    <n v="54.225072254335259"/>
    <n v="56.619942196531795"/>
    <n v="3.7255421059952165"/>
    <n v="46.34"/>
    <n v="1.774"/>
    <n v="11.085000000000001"/>
    <n v="0.317"/>
    <n v="0.326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3"/>
    <s v="BC"/>
    <x v="0"/>
    <x v="1"/>
    <n v="4"/>
    <x v="1"/>
    <n v="7.08"/>
    <x v="4"/>
    <n v="5.39"/>
    <n v="2.75"/>
    <n v="51.020408163265309"/>
    <n v="61.158192090395481"/>
    <n v="3.8360447539233133"/>
    <n v="47.14"/>
    <n v="1.4810000000000001"/>
    <n v="9.2590000000000003"/>
    <n v="0.434"/>
    <n v="4.1620000000000004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9"/>
    <s v="BC"/>
    <x v="0"/>
    <x v="1"/>
    <n v="3"/>
    <x v="1"/>
    <n v="6.91"/>
    <x v="4"/>
    <n v="6.35"/>
    <n v="2.6440000000000001"/>
    <n v="41.637795275590555"/>
    <n v="61.736613603473224"/>
    <n v="3.8510484736863035"/>
    <n v="46.69"/>
    <n v="1.5580000000000001"/>
    <n v="9.7360000000000007"/>
    <n v="0.38200000000000001"/>
    <n v="0.54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1"/>
    <s v="BC"/>
    <x v="1"/>
    <x v="1"/>
    <n v="2"/>
    <x v="1"/>
    <n v="6.99"/>
    <x v="4"/>
    <n v="7.8319999999999999"/>
    <n v="2.6006"/>
    <n v="33.204800817160368"/>
    <n v="62.795422031473535"/>
    <n v="3.8791101265068013"/>
    <n v="44.99"/>
    <n v="1.363"/>
    <n v="8.52"/>
    <n v="0.24099999999999999"/>
    <n v="0.159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4"/>
    <s v="BC"/>
    <x v="0"/>
    <x v="1"/>
    <n v="2"/>
    <x v="1"/>
    <n v="7.04"/>
    <x v="4"/>
    <n v="6.0780000000000003"/>
    <n v="3.4584000000000001"/>
    <n v="56.900296150049357"/>
    <n v="50.875"/>
    <n v="3.6011738736948309"/>
    <n v="41.38"/>
    <n v="1.4910000000000001"/>
    <n v="9.32"/>
    <n v="0.32100000000000001"/>
    <n v="0.337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2"/>
    <s v="BC"/>
    <x v="1"/>
    <x v="1"/>
    <n v="5"/>
    <x v="1"/>
    <n v="6.98"/>
    <x v="4"/>
    <n v="5.6420000000000003"/>
    <n v="2.6555"/>
    <n v="47.066643034384967"/>
    <n v="61.95558739255015"/>
    <n v="3.856787713790129"/>
    <n v="45.54"/>
    <n v="1.5609999999999999"/>
    <n v="9.7550000000000008"/>
    <n v="0.36199999999999999"/>
    <n v="0.35361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4"/>
    <s v="BC"/>
    <x v="1"/>
    <x v="1"/>
    <n v="3"/>
    <x v="1"/>
    <n v="7.02"/>
    <x v="4"/>
    <n v="5.1440000000000001"/>
    <n v="2.8039999999999998"/>
    <n v="54.510108864696726"/>
    <n v="60.056980056980045"/>
    <n v="3.8080880067615408"/>
    <n v="46.65"/>
    <n v="1.4279999999999999"/>
    <n v="8.9220000000000006"/>
    <n v="0.45100000000000001"/>
    <n v="0.182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10"/>
    <s v="BC"/>
    <x v="1"/>
    <x v="1"/>
    <n v="4"/>
    <x v="1"/>
    <n v="6.96"/>
    <x v="4"/>
    <n v="6.28"/>
    <n v="2.3359000000000001"/>
    <n v="37.195859872611464"/>
    <n v="66.438218390804607"/>
    <n v="3.9821539764119884"/>
    <n v="44.61"/>
    <n v="1.903"/>
    <n v="11.891"/>
    <n v="0.35199999999999998"/>
    <n v="0.388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P3"/>
    <s v="HH"/>
    <x v="1"/>
    <x v="0"/>
    <n v="3"/>
    <x v="1"/>
    <n v="7"/>
    <x v="4"/>
    <n v="6.1989999999999998"/>
    <n v="3.109"/>
    <n v="49.846749475721893"/>
    <n v="55.585714285714282"/>
    <n v="3.7019807758748615"/>
    <n v="40.71"/>
    <n v="1.728"/>
    <n v="10.8"/>
    <n v="0.32"/>
    <n v="0.31862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P4"/>
    <s v="HH"/>
    <x v="1"/>
    <x v="0"/>
    <n v="4"/>
    <x v="1"/>
    <n v="7"/>
    <x v="4"/>
    <n v="14.0335"/>
    <n v="2.9097"/>
    <n v="79.266041970997961"/>
    <n v="58.432857142857145"/>
    <n v="3.7682319238660082"/>
    <n v="43.1"/>
    <n v="1.5580000000000001"/>
    <n v="9.7390000000000008"/>
    <n v="0.26800000000000002"/>
    <n v="0.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2"/>
    <s v="HH"/>
    <x v="1"/>
    <x v="1"/>
    <n v="2"/>
    <x v="1"/>
    <n v="6.92"/>
    <x v="4"/>
    <n v="5"/>
    <n v="2.9660000000000002"/>
    <n v="40.679999999999993"/>
    <n v="57.138728323699418"/>
    <n v="3.7375732838100024"/>
    <n v="46.41"/>
    <n v="1.6339999999999999"/>
    <n v="10.214"/>
    <n v="0.36199999999999999"/>
    <n v="0.336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LR5"/>
    <s v="HH"/>
    <x v="1"/>
    <x v="1"/>
    <n v="5"/>
    <x v="1"/>
    <n v="7"/>
    <x v="4"/>
    <n v="4.2610000000000001"/>
    <n v="2.9020000000000001"/>
    <n v="31.893921614644448"/>
    <n v="58.542857142857144"/>
    <n v="3.770881752489482"/>
    <n v="45.73"/>
    <n v="1.615"/>
    <n v="10.093"/>
    <n v="0.29399999999999998"/>
    <n v="0.26362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UP3"/>
    <s v="HH"/>
    <x v="0"/>
    <x v="0"/>
    <n v="3"/>
    <x v="1"/>
    <n v="7"/>
    <x v="4"/>
    <n v="7.6390000000000002"/>
    <n v="2.9710000000000001"/>
    <n v="61.107474800366532"/>
    <n v="57.55714285714285"/>
    <n v="3.7473833104710073"/>
    <n v="43.73"/>
    <n v="1.964"/>
    <n v="12.276"/>
    <n v="0.32400000000000001"/>
    <n v="0.40062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HFUR4"/>
    <s v="HH"/>
    <x v="0"/>
    <x v="1"/>
    <n v="4"/>
    <x v="1"/>
    <n v="7"/>
    <x v="4"/>
    <n v="3.661"/>
    <n v="2.6"/>
    <n v="28.981152690521711"/>
    <n v="62.857142857142868"/>
    <n v="3.8807704619240417"/>
    <n v="46.01"/>
    <n v="1.5249999999999999"/>
    <n v="9.5289999999999999"/>
    <n v="0.30399999999999999"/>
    <n v="0.2859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SFLP5"/>
    <s v="SB"/>
    <x v="1"/>
    <x v="0"/>
    <n v="5"/>
    <x v="1"/>
    <n v="7"/>
    <x v="4"/>
    <n v="14.5121"/>
    <n v="3.2248999999999999"/>
    <n v="77.777854342238555"/>
    <n v="53.93"/>
    <n v="3.6653799649364305"/>
    <n v="37.270000000000003"/>
    <n v="1.38"/>
    <n v="8.6229999999999993"/>
    <n v="0.24"/>
    <n v="0.10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BC"/>
    <x v="1"/>
    <x v="0"/>
    <s v="NA"/>
    <x v="2"/>
    <s v="NA"/>
    <x v="5"/>
    <s v="NA"/>
    <s v="NA"/>
    <s v="NA"/>
    <s v="NA"/>
    <s v="NA"/>
    <n v="48.231827111984103"/>
    <n v="0.69599999999999995"/>
    <n v="4.3470000000000004"/>
    <n v="2.0009999999999999"/>
    <n v="2.946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HH"/>
    <x v="1"/>
    <x v="0"/>
    <s v="NA"/>
    <x v="2"/>
    <s v="NA"/>
    <x v="5"/>
    <s v="NA"/>
    <s v="NA"/>
    <s v="NA"/>
    <s v="NA"/>
    <s v="NA"/>
    <n v="47.188755020080364"/>
    <n v="0.71199999999999997"/>
    <n v="4.4509999999999996"/>
    <n v="2.0529999999999999"/>
    <n v="2.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SB"/>
    <x v="1"/>
    <x v="0"/>
    <s v="NA"/>
    <x v="2"/>
    <s v="NA"/>
    <x v="5"/>
    <s v="NA"/>
    <s v="NA"/>
    <s v="NA"/>
    <s v="NA"/>
    <s v="NA"/>
    <n v="47.834645669291291"/>
    <n v="0.97499999999999998"/>
    <n v="6.0919999999999996"/>
    <n v="2.5379999999999998"/>
    <n v="1.3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BC"/>
    <x v="0"/>
    <x v="1"/>
    <s v="NA"/>
    <x v="2"/>
    <s v="NA"/>
    <x v="5"/>
    <s v="NA"/>
    <s v="NA"/>
    <s v="NA"/>
    <s v="NA"/>
    <s v="NA"/>
    <n v="48.712871287128536"/>
    <n v="0.71399999999999997"/>
    <n v="14.86"/>
    <n v="3.843"/>
    <n v="2.968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HH"/>
    <x v="0"/>
    <x v="1"/>
    <s v="NA"/>
    <x v="2"/>
    <s v="NA"/>
    <x v="5"/>
    <s v="NA"/>
    <s v="NA"/>
    <s v="NA"/>
    <s v="NA"/>
    <s v="NA"/>
    <n v="47.900000000000091"/>
    <n v="0.83899999999999997"/>
    <n v="5.2460000000000004"/>
    <n v="2.6789999999999998"/>
    <n v="2.498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initial"/>
    <s v="SB"/>
    <x v="0"/>
    <x v="1"/>
    <s v="NA"/>
    <x v="2"/>
    <s v="NA"/>
    <x v="5"/>
    <s v="NA"/>
    <s v="NA"/>
    <s v="NA"/>
    <s v="NA"/>
    <s v="NA"/>
    <n v="47.590361445783039"/>
    <n v="0.66200000000000003"/>
    <n v="4.1349999999999998"/>
    <n v="2.3769999999999998"/>
    <n v="2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17C3C-58C1-483F-8C2E-F859D6506E2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5"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bundance" fld="8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DEC86-EB51-4469-A532-F0C34784BE1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29" firstHeaderRow="1" firstDataRow="1" firstDataCol="1"/>
  <pivotFields count="95"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9">
        <item x="2"/>
        <item x="3"/>
        <item x="0"/>
        <item x="1"/>
        <item x="4"/>
        <item x="6"/>
        <item x="7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8">
        <item x="5"/>
        <item x="0"/>
        <item x="1"/>
        <item x="2"/>
        <item x="3"/>
        <item x="4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1"/>
  </rowFields>
  <rowItems count="2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 v="3"/>
    </i>
  </rowItems>
  <colItems count="1">
    <i/>
  </colItems>
  <dataFields count="1">
    <dataField name="Count of PercMassLos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42A5-C73A-41E1-9EB7-AF29868E6743}">
  <dimension ref="A1:CQ597"/>
  <sheetViews>
    <sheetView tabSelected="1" workbookViewId="0">
      <selection activeCell="R597" sqref="A592:R597"/>
    </sheetView>
  </sheetViews>
  <sheetFormatPr defaultRowHeight="14.4" x14ac:dyDescent="0.3"/>
  <cols>
    <col min="10" max="10" width="10.44140625" bestFit="1" customWidth="1"/>
    <col min="11" max="11" width="12" bestFit="1" customWidth="1"/>
    <col min="12" max="12" width="12.77734375" bestFit="1" customWidth="1"/>
    <col min="85" max="85" width="10.6640625" style="66" bestFit="1" customWidth="1"/>
    <col min="86" max="86" width="8.21875" style="70" bestFit="1" customWidth="1"/>
    <col min="87" max="87" width="10.77734375" bestFit="1" customWidth="1"/>
    <col min="88" max="88" width="10.5546875" bestFit="1" customWidth="1"/>
    <col min="89" max="89" width="11.33203125" bestFit="1" customWidth="1"/>
    <col min="90" max="90" width="13.21875" style="66" bestFit="1" customWidth="1"/>
    <col min="91" max="91" width="10.6640625" bestFit="1" customWidth="1"/>
    <col min="92" max="92" width="11.44140625" bestFit="1" customWidth="1"/>
    <col min="93" max="93" width="9.21875" bestFit="1" customWidth="1"/>
    <col min="94" max="94" width="9.109375" bestFit="1" customWidth="1"/>
    <col min="95" max="95" width="17.77734375" style="66" bestFit="1" customWidth="1"/>
  </cols>
  <sheetData>
    <row r="1" spans="1:95" x14ac:dyDescent="0.3">
      <c r="A1" s="3" t="s">
        <v>11</v>
      </c>
      <c r="B1" s="3" t="s">
        <v>8</v>
      </c>
      <c r="C1" s="3" t="s">
        <v>9</v>
      </c>
      <c r="D1" s="3" t="s">
        <v>10</v>
      </c>
      <c r="E1" s="3" t="s">
        <v>15</v>
      </c>
      <c r="F1" s="3" t="s">
        <v>12</v>
      </c>
      <c r="G1" s="3" t="s">
        <v>18</v>
      </c>
      <c r="H1" s="3" t="s">
        <v>24</v>
      </c>
      <c r="I1" s="3" t="s">
        <v>13</v>
      </c>
      <c r="J1" s="3" t="s">
        <v>17</v>
      </c>
      <c r="K1" s="3" t="s">
        <v>19</v>
      </c>
      <c r="L1" s="3" t="s">
        <v>20</v>
      </c>
      <c r="M1" s="3" t="s">
        <v>21</v>
      </c>
      <c r="N1" s="3" t="s">
        <v>26</v>
      </c>
      <c r="O1" s="3" t="s">
        <v>27</v>
      </c>
      <c r="P1" s="3" t="s">
        <v>28</v>
      </c>
      <c r="Q1" s="3" t="s">
        <v>79</v>
      </c>
      <c r="R1" s="3" t="s">
        <v>80</v>
      </c>
      <c r="S1" s="15" t="s">
        <v>47</v>
      </c>
      <c r="T1" s="15" t="s">
        <v>50</v>
      </c>
      <c r="U1" s="15" t="s">
        <v>53</v>
      </c>
      <c r="V1" s="15" t="s">
        <v>43</v>
      </c>
      <c r="W1" s="15" t="s">
        <v>46</v>
      </c>
      <c r="X1" s="15" t="s">
        <v>49</v>
      </c>
      <c r="Y1" s="15" t="s">
        <v>51</v>
      </c>
      <c r="Z1" s="15" t="s">
        <v>52</v>
      </c>
      <c r="AA1" s="15" t="s">
        <v>55</v>
      </c>
      <c r="AB1" s="15" t="s">
        <v>48</v>
      </c>
      <c r="AC1" s="15" t="s">
        <v>56</v>
      </c>
      <c r="AD1" s="15" t="s">
        <v>44</v>
      </c>
      <c r="AE1" s="15" t="s">
        <v>45</v>
      </c>
      <c r="AF1" s="16" t="s">
        <v>54</v>
      </c>
      <c r="AG1" s="17" t="s">
        <v>40</v>
      </c>
      <c r="AH1" s="15" t="s">
        <v>78</v>
      </c>
      <c r="AI1" s="15" t="s">
        <v>82</v>
      </c>
      <c r="AJ1" s="16" t="s">
        <v>83</v>
      </c>
      <c r="AK1" s="18" t="s">
        <v>84</v>
      </c>
      <c r="AL1" s="19" t="s">
        <v>85</v>
      </c>
      <c r="AM1" s="19" t="s">
        <v>86</v>
      </c>
      <c r="AN1" s="20" t="s">
        <v>87</v>
      </c>
      <c r="AO1" s="19" t="s">
        <v>88</v>
      </c>
      <c r="AP1" s="16" t="s">
        <v>89</v>
      </c>
      <c r="AQ1" s="15" t="s">
        <v>64</v>
      </c>
      <c r="AR1" s="16" t="s">
        <v>65</v>
      </c>
      <c r="AS1" s="18" t="s">
        <v>41</v>
      </c>
      <c r="AT1" s="15" t="s">
        <v>90</v>
      </c>
      <c r="AU1" s="15" t="s">
        <v>91</v>
      </c>
      <c r="AV1" s="15" t="s">
        <v>92</v>
      </c>
      <c r="AW1" s="16" t="s">
        <v>93</v>
      </c>
      <c r="AX1" s="15" t="s">
        <v>94</v>
      </c>
      <c r="AY1" s="15" t="s">
        <v>95</v>
      </c>
      <c r="AZ1" s="16" t="s">
        <v>96</v>
      </c>
      <c r="BA1" s="15" t="s">
        <v>97</v>
      </c>
      <c r="BB1" s="15" t="s">
        <v>98</v>
      </c>
      <c r="BC1" s="16" t="s">
        <v>99</v>
      </c>
      <c r="BD1" s="15" t="s">
        <v>100</v>
      </c>
      <c r="BE1" s="15" t="s">
        <v>101</v>
      </c>
      <c r="BF1" s="15" t="s">
        <v>102</v>
      </c>
      <c r="BG1" s="15" t="s">
        <v>103</v>
      </c>
      <c r="BH1" s="15" t="s">
        <v>104</v>
      </c>
      <c r="BI1" s="15" t="s">
        <v>105</v>
      </c>
      <c r="BJ1" s="15" t="s">
        <v>106</v>
      </c>
      <c r="BK1" s="16" t="s">
        <v>66</v>
      </c>
      <c r="BL1" s="16" t="s">
        <v>67</v>
      </c>
      <c r="BM1" s="16" t="s">
        <v>68</v>
      </c>
      <c r="BN1" s="16" t="s">
        <v>69</v>
      </c>
      <c r="BO1" s="16" t="s">
        <v>70</v>
      </c>
      <c r="BP1" s="15" t="s">
        <v>107</v>
      </c>
      <c r="BQ1" s="15" t="s">
        <v>108</v>
      </c>
      <c r="BR1" s="16" t="s">
        <v>109</v>
      </c>
      <c r="BS1" s="21" t="s">
        <v>76</v>
      </c>
      <c r="BT1" s="15" t="s">
        <v>42</v>
      </c>
      <c r="BU1" s="16" t="s">
        <v>77</v>
      </c>
      <c r="BV1" s="15" t="s">
        <v>110</v>
      </c>
      <c r="BW1" s="15" t="s">
        <v>111</v>
      </c>
      <c r="BX1" s="15" t="s">
        <v>112</v>
      </c>
      <c r="BY1" s="15" t="s">
        <v>113</v>
      </c>
      <c r="BZ1" s="15" t="s">
        <v>114</v>
      </c>
      <c r="CA1" s="15" t="s">
        <v>115</v>
      </c>
      <c r="CB1" s="15" t="s">
        <v>116</v>
      </c>
      <c r="CC1" s="15" t="s">
        <v>117</v>
      </c>
      <c r="CD1" s="15" t="s">
        <v>118</v>
      </c>
      <c r="CE1" s="15" t="s">
        <v>119</v>
      </c>
      <c r="CF1" s="22" t="s">
        <v>120</v>
      </c>
      <c r="CG1" s="22" t="s">
        <v>121</v>
      </c>
      <c r="CH1" s="68" t="s">
        <v>122</v>
      </c>
      <c r="CI1" s="15" t="s">
        <v>123</v>
      </c>
      <c r="CJ1" s="15" t="s">
        <v>124</v>
      </c>
      <c r="CK1" s="15" t="s">
        <v>125</v>
      </c>
      <c r="CL1" s="22" t="s">
        <v>126</v>
      </c>
      <c r="CM1" s="15" t="s">
        <v>131</v>
      </c>
      <c r="CN1" s="15" t="s">
        <v>127</v>
      </c>
      <c r="CO1" s="15" t="s">
        <v>129</v>
      </c>
      <c r="CP1" s="15" t="s">
        <v>130</v>
      </c>
      <c r="CQ1" s="22" t="s">
        <v>128</v>
      </c>
    </row>
    <row r="2" spans="1:95" x14ac:dyDescent="0.3">
      <c r="A2" s="7">
        <v>2</v>
      </c>
      <c r="B2" s="7" t="s">
        <v>0</v>
      </c>
      <c r="C2" s="7" t="s">
        <v>14</v>
      </c>
      <c r="D2" s="7" t="s">
        <v>4</v>
      </c>
      <c r="E2" s="7">
        <v>3</v>
      </c>
      <c r="F2" s="7" t="s">
        <v>6</v>
      </c>
      <c r="G2" s="7">
        <v>6.99</v>
      </c>
      <c r="H2" s="7">
        <v>1</v>
      </c>
      <c r="I2" s="7">
        <v>22.623000000000001</v>
      </c>
      <c r="J2" s="7">
        <v>5.9889999999999999</v>
      </c>
      <c r="K2" s="7">
        <v>73.526941608097957</v>
      </c>
      <c r="L2" s="7">
        <f>((G2-J2)/G2)*100</f>
        <v>14.320457796852651</v>
      </c>
      <c r="M2" s="7">
        <f t="shared" ref="M2:M33" si="0">-LN((J2/G2)/H2)</f>
        <v>0.15455610296339356</v>
      </c>
      <c r="N2" s="7">
        <v>48.46</v>
      </c>
      <c r="O2" s="7">
        <v>0.90400000000000003</v>
      </c>
      <c r="P2" s="7">
        <v>5.6509999999999998</v>
      </c>
      <c r="Q2" s="7">
        <v>3.55</v>
      </c>
      <c r="R2" s="7">
        <v>1.7709999999999999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23">
        <v>0</v>
      </c>
      <c r="AG2" s="24">
        <v>0</v>
      </c>
      <c r="AH2" s="5">
        <v>0</v>
      </c>
      <c r="AI2" s="5">
        <v>0</v>
      </c>
      <c r="AJ2" s="23">
        <v>0</v>
      </c>
      <c r="AK2" s="25">
        <v>0</v>
      </c>
      <c r="AL2" s="26">
        <v>0</v>
      </c>
      <c r="AM2" s="26">
        <v>0</v>
      </c>
      <c r="AN2" s="27">
        <v>0</v>
      </c>
      <c r="AO2" s="26">
        <v>0</v>
      </c>
      <c r="AP2" s="23">
        <v>0</v>
      </c>
      <c r="AQ2" s="5">
        <v>0</v>
      </c>
      <c r="AR2" s="23">
        <v>0</v>
      </c>
      <c r="AS2" s="25">
        <v>0</v>
      </c>
      <c r="AT2" s="5">
        <v>0</v>
      </c>
      <c r="AU2" s="5">
        <v>0</v>
      </c>
      <c r="AV2" s="5">
        <v>0</v>
      </c>
      <c r="AW2" s="23">
        <v>0</v>
      </c>
      <c r="AX2" s="5">
        <v>0</v>
      </c>
      <c r="AY2" s="5">
        <v>0</v>
      </c>
      <c r="AZ2" s="23">
        <v>0</v>
      </c>
      <c r="BA2" s="5">
        <v>0</v>
      </c>
      <c r="BB2" s="5">
        <v>0</v>
      </c>
      <c r="BC2" s="23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23">
        <v>0</v>
      </c>
      <c r="BL2" s="23">
        <v>0</v>
      </c>
      <c r="BM2" s="23">
        <v>0</v>
      </c>
      <c r="BN2" s="23">
        <v>0</v>
      </c>
      <c r="BO2" s="23">
        <v>0</v>
      </c>
      <c r="BP2" s="5">
        <v>0</v>
      </c>
      <c r="BQ2" s="5">
        <v>0</v>
      </c>
      <c r="BR2" s="23">
        <v>0</v>
      </c>
      <c r="BS2" s="28">
        <v>0</v>
      </c>
      <c r="BT2" s="5">
        <v>0</v>
      </c>
      <c r="BU2" s="23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29">
        <v>0</v>
      </c>
      <c r="CG2" s="67">
        <f t="shared" ref="CG2:CG33" si="1">SUM(S2:CF2)</f>
        <v>0</v>
      </c>
      <c r="CH2" s="69">
        <f t="shared" ref="CH2:CH33" si="2">COUNTIF(S2:CF2,"&gt;0")</f>
        <v>0</v>
      </c>
      <c r="CI2" s="30">
        <f t="shared" ref="CI2:CI65" si="3">SUM(AS2)</f>
        <v>0</v>
      </c>
      <c r="CJ2" s="30">
        <f t="shared" ref="CJ2:CJ33" si="4">SUM(S2:AH2,AJ2,AL2:AO2,AQ2:AR2,BL2:BM2)</f>
        <v>0</v>
      </c>
      <c r="CK2" s="30">
        <f t="shared" ref="CK2:CK65" si="5">SUM(AI2,AK2,AT2:BK2,BN2:CF2)</f>
        <v>0</v>
      </c>
      <c r="CL2" s="67">
        <f t="shared" ref="CL2:CL65" si="6">COUNTIF(CI2:CK2,"&gt;0")</f>
        <v>0</v>
      </c>
      <c r="CM2" s="30">
        <v>0</v>
      </c>
      <c r="CN2" s="30">
        <v>0</v>
      </c>
      <c r="CO2" s="30">
        <v>0</v>
      </c>
      <c r="CP2" s="30">
        <v>0</v>
      </c>
      <c r="CQ2" s="67">
        <v>0</v>
      </c>
    </row>
    <row r="3" spans="1:95" x14ac:dyDescent="0.3">
      <c r="A3" s="13">
        <v>5</v>
      </c>
      <c r="B3" s="7" t="s">
        <v>0</v>
      </c>
      <c r="C3" s="7" t="s">
        <v>1</v>
      </c>
      <c r="D3" s="7" t="s">
        <v>4</v>
      </c>
      <c r="E3" s="7">
        <v>4</v>
      </c>
      <c r="F3" s="7" t="s">
        <v>6</v>
      </c>
      <c r="G3" s="7">
        <v>7.02</v>
      </c>
      <c r="H3" s="7">
        <v>1</v>
      </c>
      <c r="I3" s="7">
        <v>21.009</v>
      </c>
      <c r="J3" s="7">
        <v>6.1109999999999998</v>
      </c>
      <c r="K3" s="7">
        <v>70.91246608596316</v>
      </c>
      <c r="L3" s="7">
        <v>12.948717948717947</v>
      </c>
      <c r="M3" s="7">
        <f t="shared" si="0"/>
        <v>0.13867279212494127</v>
      </c>
      <c r="N3" s="7">
        <v>48.08</v>
      </c>
      <c r="O3" s="7">
        <v>0.92100000000000004</v>
      </c>
      <c r="P3" s="7">
        <v>5.7569999999999997</v>
      </c>
      <c r="Q3" s="7">
        <v>2.6619999999999999</v>
      </c>
      <c r="R3" s="7">
        <v>1.607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23">
        <v>0</v>
      </c>
      <c r="AG3" s="24">
        <v>0</v>
      </c>
      <c r="AH3" s="5">
        <v>0</v>
      </c>
      <c r="AI3" s="5">
        <v>0</v>
      </c>
      <c r="AJ3" s="23">
        <v>7</v>
      </c>
      <c r="AK3" s="25">
        <v>0</v>
      </c>
      <c r="AL3" s="26">
        <v>0</v>
      </c>
      <c r="AM3" s="26">
        <v>0</v>
      </c>
      <c r="AN3" s="27">
        <v>0</v>
      </c>
      <c r="AO3" s="26">
        <v>0</v>
      </c>
      <c r="AP3" s="23">
        <v>0</v>
      </c>
      <c r="AQ3" s="5">
        <v>0</v>
      </c>
      <c r="AR3" s="23">
        <v>0</v>
      </c>
      <c r="AS3" s="25">
        <v>0</v>
      </c>
      <c r="AT3" s="5">
        <v>0</v>
      </c>
      <c r="AU3" s="5">
        <v>0</v>
      </c>
      <c r="AV3" s="5">
        <v>0</v>
      </c>
      <c r="AW3" s="23">
        <v>0</v>
      </c>
      <c r="AX3" s="5">
        <v>0</v>
      </c>
      <c r="AY3" s="5">
        <v>0</v>
      </c>
      <c r="AZ3" s="23">
        <v>0</v>
      </c>
      <c r="BA3" s="5">
        <v>0</v>
      </c>
      <c r="BB3" s="5">
        <v>0</v>
      </c>
      <c r="BC3" s="23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23">
        <v>0</v>
      </c>
      <c r="BL3" s="23">
        <v>0</v>
      </c>
      <c r="BM3" s="23">
        <v>0</v>
      </c>
      <c r="BN3" s="23">
        <v>0</v>
      </c>
      <c r="BO3" s="23">
        <v>0</v>
      </c>
      <c r="BP3" s="5">
        <v>0</v>
      </c>
      <c r="BQ3" s="5">
        <v>0</v>
      </c>
      <c r="BR3" s="23">
        <v>0</v>
      </c>
      <c r="BS3" s="28">
        <v>0</v>
      </c>
      <c r="BT3" s="5">
        <v>0</v>
      </c>
      <c r="BU3" s="23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29">
        <v>0</v>
      </c>
      <c r="CG3" s="67">
        <f t="shared" si="1"/>
        <v>7</v>
      </c>
      <c r="CH3" s="69">
        <f t="shared" si="2"/>
        <v>1</v>
      </c>
      <c r="CI3" s="30">
        <f t="shared" si="3"/>
        <v>0</v>
      </c>
      <c r="CJ3" s="30">
        <f t="shared" si="4"/>
        <v>7</v>
      </c>
      <c r="CK3" s="30">
        <f t="shared" si="5"/>
        <v>0</v>
      </c>
      <c r="CL3" s="67">
        <f t="shared" si="6"/>
        <v>1</v>
      </c>
      <c r="CM3" s="30">
        <v>7</v>
      </c>
      <c r="CN3" s="30">
        <v>0</v>
      </c>
      <c r="CO3" s="30">
        <v>0</v>
      </c>
      <c r="CP3" s="30">
        <v>0</v>
      </c>
      <c r="CQ3" s="67">
        <v>1</v>
      </c>
    </row>
    <row r="4" spans="1:95" x14ac:dyDescent="0.3">
      <c r="A4" s="13">
        <v>10</v>
      </c>
      <c r="B4" s="7" t="s">
        <v>0</v>
      </c>
      <c r="C4" s="7" t="s">
        <v>1</v>
      </c>
      <c r="D4" s="7" t="s">
        <v>4</v>
      </c>
      <c r="E4" s="7">
        <v>3</v>
      </c>
      <c r="F4" s="7" t="s">
        <v>6</v>
      </c>
      <c r="G4" s="7">
        <v>6.95</v>
      </c>
      <c r="H4" s="7">
        <v>1</v>
      </c>
      <c r="I4" s="7">
        <v>22.902999999999999</v>
      </c>
      <c r="J4" s="7">
        <v>6.1740000000000004</v>
      </c>
      <c r="K4" s="7">
        <v>73.042832816661573</v>
      </c>
      <c r="L4" s="7">
        <v>11.165467625899279</v>
      </c>
      <c r="M4" s="7">
        <f t="shared" si="0"/>
        <v>0.11839473349673311</v>
      </c>
      <c r="N4" s="7">
        <v>48.4</v>
      </c>
      <c r="O4" s="7">
        <v>0.94099999999999995</v>
      </c>
      <c r="P4" s="7">
        <v>5.8819999999999997</v>
      </c>
      <c r="Q4" s="7">
        <v>2.3039999999999998</v>
      </c>
      <c r="R4" s="7">
        <v>1.7870000000000001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1</v>
      </c>
      <c r="AE4" s="5">
        <v>0</v>
      </c>
      <c r="AF4" s="23">
        <v>0</v>
      </c>
      <c r="AG4" s="24">
        <v>0</v>
      </c>
      <c r="AH4" s="5">
        <v>0</v>
      </c>
      <c r="AI4" s="5">
        <v>0</v>
      </c>
      <c r="AJ4" s="23">
        <v>0</v>
      </c>
      <c r="AK4" s="25">
        <v>0</v>
      </c>
      <c r="AL4" s="26">
        <v>0</v>
      </c>
      <c r="AM4" s="26">
        <v>0</v>
      </c>
      <c r="AN4" s="27">
        <v>0</v>
      </c>
      <c r="AO4" s="26">
        <v>0</v>
      </c>
      <c r="AP4" s="23">
        <v>0</v>
      </c>
      <c r="AQ4" s="5">
        <v>0</v>
      </c>
      <c r="AR4" s="23">
        <v>0</v>
      </c>
      <c r="AS4" s="25">
        <v>0</v>
      </c>
      <c r="AT4" s="5">
        <v>0</v>
      </c>
      <c r="AU4" s="5">
        <v>0</v>
      </c>
      <c r="AV4" s="5">
        <v>0</v>
      </c>
      <c r="AW4" s="23">
        <v>0</v>
      </c>
      <c r="AX4" s="5">
        <v>0</v>
      </c>
      <c r="AY4" s="5">
        <v>0</v>
      </c>
      <c r="AZ4" s="23">
        <v>0</v>
      </c>
      <c r="BA4" s="5">
        <v>0</v>
      </c>
      <c r="BB4" s="5">
        <v>0</v>
      </c>
      <c r="BC4" s="23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23">
        <v>0</v>
      </c>
      <c r="BL4" s="23">
        <v>0</v>
      </c>
      <c r="BM4" s="23">
        <v>0</v>
      </c>
      <c r="BN4" s="23">
        <v>0</v>
      </c>
      <c r="BO4" s="23">
        <v>0</v>
      </c>
      <c r="BP4" s="5">
        <v>0</v>
      </c>
      <c r="BQ4" s="5">
        <v>0</v>
      </c>
      <c r="BR4" s="23">
        <v>0</v>
      </c>
      <c r="BS4" s="28">
        <v>0</v>
      </c>
      <c r="BT4" s="5">
        <v>0</v>
      </c>
      <c r="BU4" s="23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29">
        <v>0</v>
      </c>
      <c r="CG4" s="67">
        <f t="shared" si="1"/>
        <v>1</v>
      </c>
      <c r="CH4" s="69">
        <f t="shared" si="2"/>
        <v>1</v>
      </c>
      <c r="CI4" s="30">
        <f t="shared" si="3"/>
        <v>0</v>
      </c>
      <c r="CJ4" s="30">
        <f t="shared" si="4"/>
        <v>1</v>
      </c>
      <c r="CK4" s="30">
        <f t="shared" si="5"/>
        <v>0</v>
      </c>
      <c r="CL4" s="67">
        <f t="shared" si="6"/>
        <v>1</v>
      </c>
      <c r="CM4" s="30">
        <v>0</v>
      </c>
      <c r="CN4" s="30">
        <v>0</v>
      </c>
      <c r="CO4" s="30">
        <v>0</v>
      </c>
      <c r="CP4" s="30">
        <v>1</v>
      </c>
      <c r="CQ4" s="67">
        <v>0</v>
      </c>
    </row>
    <row r="5" spans="1:95" x14ac:dyDescent="0.3">
      <c r="A5" s="7">
        <v>17</v>
      </c>
      <c r="B5" s="7" t="s">
        <v>0</v>
      </c>
      <c r="C5" s="7" t="s">
        <v>1</v>
      </c>
      <c r="D5" s="7" t="s">
        <v>4</v>
      </c>
      <c r="E5" s="7">
        <v>1</v>
      </c>
      <c r="F5" s="7" t="s">
        <v>6</v>
      </c>
      <c r="G5" s="7">
        <v>7.02</v>
      </c>
      <c r="H5" s="7">
        <v>1</v>
      </c>
      <c r="I5" s="7">
        <v>22.751000000000001</v>
      </c>
      <c r="J5" s="7">
        <v>6.1760000000000002</v>
      </c>
      <c r="K5" s="7">
        <v>72.853940486132487</v>
      </c>
      <c r="L5" s="7">
        <v>12.022792022792016</v>
      </c>
      <c r="M5" s="7">
        <f t="shared" si="0"/>
        <v>0.12809240531524463</v>
      </c>
      <c r="N5" s="7">
        <v>47.83</v>
      </c>
      <c r="O5" s="7">
        <v>0.88900000000000001</v>
      </c>
      <c r="P5" s="7">
        <v>5.556</v>
      </c>
      <c r="Q5" s="7">
        <v>1.585</v>
      </c>
      <c r="R5" s="7">
        <v>1.7528888888888889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23">
        <v>0</v>
      </c>
      <c r="AG5" s="24">
        <v>0</v>
      </c>
      <c r="AH5" s="5">
        <v>0</v>
      </c>
      <c r="AI5" s="5">
        <v>0</v>
      </c>
      <c r="AJ5" s="23">
        <v>0</v>
      </c>
      <c r="AK5" s="25">
        <v>0</v>
      </c>
      <c r="AL5" s="26">
        <v>0</v>
      </c>
      <c r="AM5" s="26">
        <v>0</v>
      </c>
      <c r="AN5" s="27">
        <v>0</v>
      </c>
      <c r="AO5" s="26">
        <v>0</v>
      </c>
      <c r="AP5" s="23">
        <v>0</v>
      </c>
      <c r="AQ5" s="5">
        <v>0</v>
      </c>
      <c r="AR5" s="23">
        <v>0</v>
      </c>
      <c r="AS5" s="25">
        <v>0</v>
      </c>
      <c r="AT5" s="5">
        <v>0</v>
      </c>
      <c r="AU5" s="5">
        <v>0</v>
      </c>
      <c r="AV5" s="5">
        <v>0</v>
      </c>
      <c r="AW5" s="23">
        <v>0</v>
      </c>
      <c r="AX5" s="5">
        <v>0</v>
      </c>
      <c r="AY5" s="5">
        <v>0</v>
      </c>
      <c r="AZ5" s="23">
        <v>0</v>
      </c>
      <c r="BA5" s="5">
        <v>0</v>
      </c>
      <c r="BB5" s="5">
        <v>0</v>
      </c>
      <c r="BC5" s="23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23">
        <v>0</v>
      </c>
      <c r="BL5" s="23">
        <v>0</v>
      </c>
      <c r="BM5" s="23">
        <v>0</v>
      </c>
      <c r="BN5" s="23">
        <v>0</v>
      </c>
      <c r="BO5" s="23">
        <v>0</v>
      </c>
      <c r="BP5" s="5">
        <v>0</v>
      </c>
      <c r="BQ5" s="5">
        <v>0</v>
      </c>
      <c r="BR5" s="23">
        <v>0</v>
      </c>
      <c r="BS5" s="28">
        <v>0</v>
      </c>
      <c r="BT5" s="5">
        <v>0</v>
      </c>
      <c r="BU5" s="23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29">
        <v>0</v>
      </c>
      <c r="CG5" s="67">
        <f t="shared" si="1"/>
        <v>0</v>
      </c>
      <c r="CH5" s="69">
        <f t="shared" si="2"/>
        <v>0</v>
      </c>
      <c r="CI5" s="30">
        <f t="shared" si="3"/>
        <v>0</v>
      </c>
      <c r="CJ5" s="30">
        <f t="shared" si="4"/>
        <v>0</v>
      </c>
      <c r="CK5" s="30">
        <f t="shared" si="5"/>
        <v>0</v>
      </c>
      <c r="CL5" s="67">
        <f t="shared" si="6"/>
        <v>0</v>
      </c>
      <c r="CM5" s="30">
        <v>0</v>
      </c>
      <c r="CN5" s="30">
        <v>0</v>
      </c>
      <c r="CO5" s="30">
        <v>0</v>
      </c>
      <c r="CP5" s="30">
        <v>0</v>
      </c>
      <c r="CQ5" s="67">
        <v>0</v>
      </c>
    </row>
    <row r="6" spans="1:95" x14ac:dyDescent="0.3">
      <c r="A6" s="7">
        <v>19</v>
      </c>
      <c r="B6" s="7" t="s">
        <v>0</v>
      </c>
      <c r="C6" s="7" t="s">
        <v>14</v>
      </c>
      <c r="D6" s="7" t="s">
        <v>4</v>
      </c>
      <c r="E6" s="7">
        <v>1</v>
      </c>
      <c r="F6" s="7" t="s">
        <v>6</v>
      </c>
      <c r="G6" s="7">
        <v>7.08</v>
      </c>
      <c r="H6" s="7">
        <v>1</v>
      </c>
      <c r="I6" s="7">
        <v>23.952000000000002</v>
      </c>
      <c r="J6" s="7">
        <v>6.2489999999999997</v>
      </c>
      <c r="K6" s="7">
        <v>73.910320641282567</v>
      </c>
      <c r="L6" s="7">
        <v>11.737288135593225</v>
      </c>
      <c r="M6" s="7">
        <f t="shared" si="0"/>
        <v>0.12485245675868384</v>
      </c>
      <c r="N6" s="7">
        <v>48.01</v>
      </c>
      <c r="O6" s="7">
        <v>0.83899999999999997</v>
      </c>
      <c r="P6" s="7">
        <v>5.242</v>
      </c>
      <c r="Q6" s="7">
        <v>2.6989999999999998</v>
      </c>
      <c r="R6" s="7">
        <v>2.14575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23">
        <v>0</v>
      </c>
      <c r="AG6" s="24">
        <v>0</v>
      </c>
      <c r="AH6" s="5">
        <v>0</v>
      </c>
      <c r="AI6" s="5">
        <v>0</v>
      </c>
      <c r="AJ6" s="23">
        <v>0</v>
      </c>
      <c r="AK6" s="25">
        <v>0</v>
      </c>
      <c r="AL6" s="26">
        <v>0</v>
      </c>
      <c r="AM6" s="26">
        <v>0</v>
      </c>
      <c r="AN6" s="27">
        <v>0</v>
      </c>
      <c r="AO6" s="26">
        <v>0</v>
      </c>
      <c r="AP6" s="23">
        <v>0</v>
      </c>
      <c r="AQ6" s="5">
        <v>0</v>
      </c>
      <c r="AR6" s="23">
        <v>0</v>
      </c>
      <c r="AS6" s="25">
        <v>0</v>
      </c>
      <c r="AT6" s="5">
        <v>0</v>
      </c>
      <c r="AU6" s="5">
        <v>0</v>
      </c>
      <c r="AV6" s="5">
        <v>0</v>
      </c>
      <c r="AW6" s="23">
        <v>0</v>
      </c>
      <c r="AX6" s="5">
        <v>0</v>
      </c>
      <c r="AY6" s="5">
        <v>0</v>
      </c>
      <c r="AZ6" s="23">
        <v>0</v>
      </c>
      <c r="BA6" s="5">
        <v>0</v>
      </c>
      <c r="BB6" s="5">
        <v>0</v>
      </c>
      <c r="BC6" s="23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5">
        <v>0</v>
      </c>
      <c r="BQ6" s="5">
        <v>0</v>
      </c>
      <c r="BR6" s="23">
        <v>0</v>
      </c>
      <c r="BS6" s="28">
        <v>0</v>
      </c>
      <c r="BT6" s="5">
        <v>0</v>
      </c>
      <c r="BU6" s="23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29">
        <v>0</v>
      </c>
      <c r="CG6" s="67">
        <f t="shared" si="1"/>
        <v>0</v>
      </c>
      <c r="CH6" s="69">
        <f t="shared" si="2"/>
        <v>0</v>
      </c>
      <c r="CI6" s="30">
        <f t="shared" si="3"/>
        <v>0</v>
      </c>
      <c r="CJ6" s="30">
        <f t="shared" si="4"/>
        <v>0</v>
      </c>
      <c r="CK6" s="30">
        <f t="shared" si="5"/>
        <v>0</v>
      </c>
      <c r="CL6" s="67">
        <f t="shared" si="6"/>
        <v>0</v>
      </c>
      <c r="CM6" s="30">
        <v>0</v>
      </c>
      <c r="CN6" s="30">
        <v>0</v>
      </c>
      <c r="CO6" s="30">
        <v>0</v>
      </c>
      <c r="CP6" s="30">
        <v>0</v>
      </c>
      <c r="CQ6" s="67">
        <v>0</v>
      </c>
    </row>
    <row r="7" spans="1:95" x14ac:dyDescent="0.3">
      <c r="A7" s="13">
        <v>26</v>
      </c>
      <c r="B7" s="7" t="s">
        <v>0</v>
      </c>
      <c r="C7" s="7" t="s">
        <v>1</v>
      </c>
      <c r="D7" s="7" t="s">
        <v>4</v>
      </c>
      <c r="E7" s="7">
        <v>2</v>
      </c>
      <c r="F7" s="7" t="s">
        <v>6</v>
      </c>
      <c r="G7" s="7">
        <v>6.9799999999999995</v>
      </c>
      <c r="H7" s="7">
        <v>1</v>
      </c>
      <c r="I7" s="7">
        <v>23.552</v>
      </c>
      <c r="J7" s="7">
        <v>6.109</v>
      </c>
      <c r="K7" s="7">
        <v>74.061650815217376</v>
      </c>
      <c r="L7" s="7">
        <v>12.47851002865329</v>
      </c>
      <c r="M7" s="7">
        <f t="shared" si="0"/>
        <v>0.13328582310665113</v>
      </c>
      <c r="N7" s="7">
        <v>48.69</v>
      </c>
      <c r="O7" s="7">
        <v>1.02</v>
      </c>
      <c r="P7" s="7">
        <v>6.375</v>
      </c>
      <c r="Q7" s="7">
        <v>2.4129999999999998</v>
      </c>
      <c r="R7" s="7">
        <v>1.7379999999999998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23">
        <v>0</v>
      </c>
      <c r="AG7" s="24">
        <v>0</v>
      </c>
      <c r="AH7" s="5">
        <v>0</v>
      </c>
      <c r="AI7" s="5">
        <v>0</v>
      </c>
      <c r="AJ7" s="23">
        <v>0</v>
      </c>
      <c r="AK7" s="25">
        <v>0</v>
      </c>
      <c r="AL7" s="26">
        <v>0</v>
      </c>
      <c r="AM7" s="26">
        <v>0</v>
      </c>
      <c r="AN7" s="27">
        <v>0</v>
      </c>
      <c r="AO7" s="26">
        <v>0</v>
      </c>
      <c r="AP7" s="23">
        <v>0</v>
      </c>
      <c r="AQ7" s="5">
        <v>0</v>
      </c>
      <c r="AR7" s="23">
        <v>0</v>
      </c>
      <c r="AS7" s="25">
        <v>0</v>
      </c>
      <c r="AT7" s="5">
        <v>0</v>
      </c>
      <c r="AU7" s="5">
        <v>0</v>
      </c>
      <c r="AV7" s="5">
        <v>0</v>
      </c>
      <c r="AW7" s="23">
        <v>0</v>
      </c>
      <c r="AX7" s="5">
        <v>0</v>
      </c>
      <c r="AY7" s="5">
        <v>0</v>
      </c>
      <c r="AZ7" s="23">
        <v>0</v>
      </c>
      <c r="BA7" s="5">
        <v>0</v>
      </c>
      <c r="BB7" s="5">
        <v>0</v>
      </c>
      <c r="BC7" s="23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23">
        <v>0</v>
      </c>
      <c r="BL7" s="23">
        <v>0</v>
      </c>
      <c r="BM7" s="23">
        <v>0</v>
      </c>
      <c r="BN7" s="23">
        <v>0</v>
      </c>
      <c r="BO7" s="23">
        <v>0</v>
      </c>
      <c r="BP7" s="5">
        <v>0</v>
      </c>
      <c r="BQ7" s="5">
        <v>0</v>
      </c>
      <c r="BR7" s="23">
        <v>0</v>
      </c>
      <c r="BS7" s="28">
        <v>0</v>
      </c>
      <c r="BT7" s="5">
        <v>0</v>
      </c>
      <c r="BU7" s="23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29">
        <v>0</v>
      </c>
      <c r="CG7" s="67">
        <f t="shared" si="1"/>
        <v>0</v>
      </c>
      <c r="CH7" s="69">
        <f t="shared" si="2"/>
        <v>0</v>
      </c>
      <c r="CI7" s="30">
        <f t="shared" si="3"/>
        <v>0</v>
      </c>
      <c r="CJ7" s="30">
        <f t="shared" si="4"/>
        <v>0</v>
      </c>
      <c r="CK7" s="30">
        <f t="shared" si="5"/>
        <v>0</v>
      </c>
      <c r="CL7" s="67">
        <f t="shared" si="6"/>
        <v>0</v>
      </c>
      <c r="CM7" s="30">
        <v>0</v>
      </c>
      <c r="CN7" s="30">
        <v>0</v>
      </c>
      <c r="CO7" s="30">
        <v>0</v>
      </c>
      <c r="CP7" s="30">
        <v>0</v>
      </c>
      <c r="CQ7" s="67">
        <v>0</v>
      </c>
    </row>
    <row r="8" spans="1:95" x14ac:dyDescent="0.3">
      <c r="A8" s="13">
        <v>36</v>
      </c>
      <c r="B8" s="7" t="s">
        <v>0</v>
      </c>
      <c r="C8" s="7" t="s">
        <v>14</v>
      </c>
      <c r="D8" s="7" t="s">
        <v>4</v>
      </c>
      <c r="E8" s="7">
        <v>4</v>
      </c>
      <c r="F8" s="7" t="s">
        <v>6</v>
      </c>
      <c r="G8" s="7">
        <v>7</v>
      </c>
      <c r="H8" s="7">
        <v>1</v>
      </c>
      <c r="I8" s="7">
        <v>20.486999999999998</v>
      </c>
      <c r="J8" s="7">
        <v>5.7670000000000003</v>
      </c>
      <c r="K8" s="7">
        <v>71.850441743544692</v>
      </c>
      <c r="L8" s="7">
        <v>17.61428571428571</v>
      </c>
      <c r="M8" s="7">
        <f t="shared" si="0"/>
        <v>0.19375813442203763</v>
      </c>
      <c r="N8" s="7">
        <v>48.08</v>
      </c>
      <c r="O8" s="7">
        <v>0.92200000000000004</v>
      </c>
      <c r="P8" s="7">
        <v>5.7619999999999996</v>
      </c>
      <c r="Q8" s="7">
        <v>3.036</v>
      </c>
      <c r="R8" s="7">
        <v>2.2909999999999999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23">
        <v>0</v>
      </c>
      <c r="AG8" s="24">
        <v>0</v>
      </c>
      <c r="AH8" s="5">
        <v>0</v>
      </c>
      <c r="AI8" s="5">
        <v>0</v>
      </c>
      <c r="AJ8" s="23">
        <v>0</v>
      </c>
      <c r="AK8" s="25">
        <v>0</v>
      </c>
      <c r="AL8" s="26">
        <v>0</v>
      </c>
      <c r="AM8" s="26">
        <v>0</v>
      </c>
      <c r="AN8" s="27">
        <v>0</v>
      </c>
      <c r="AO8" s="26">
        <v>0</v>
      </c>
      <c r="AP8" s="23">
        <v>0</v>
      </c>
      <c r="AQ8" s="5">
        <v>0</v>
      </c>
      <c r="AR8" s="23">
        <v>0</v>
      </c>
      <c r="AS8" s="25">
        <v>0</v>
      </c>
      <c r="AT8" s="5">
        <v>0</v>
      </c>
      <c r="AU8" s="5">
        <v>0</v>
      </c>
      <c r="AV8" s="5">
        <v>0</v>
      </c>
      <c r="AW8" s="23">
        <v>0</v>
      </c>
      <c r="AX8" s="5">
        <v>0</v>
      </c>
      <c r="AY8" s="5">
        <v>0</v>
      </c>
      <c r="AZ8" s="23">
        <v>0</v>
      </c>
      <c r="BA8" s="5">
        <v>0</v>
      </c>
      <c r="BB8" s="5">
        <v>0</v>
      </c>
      <c r="BC8" s="23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23">
        <v>0</v>
      </c>
      <c r="BL8" s="23">
        <v>0</v>
      </c>
      <c r="BM8" s="23">
        <v>0</v>
      </c>
      <c r="BN8" s="23">
        <v>0</v>
      </c>
      <c r="BO8" s="23">
        <v>0</v>
      </c>
      <c r="BP8" s="5">
        <v>0</v>
      </c>
      <c r="BQ8" s="5">
        <v>0</v>
      </c>
      <c r="BR8" s="23">
        <v>0</v>
      </c>
      <c r="BS8" s="28">
        <v>0</v>
      </c>
      <c r="BT8" s="5">
        <v>0</v>
      </c>
      <c r="BU8" s="23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29">
        <v>0</v>
      </c>
      <c r="CG8" s="67">
        <f t="shared" si="1"/>
        <v>0</v>
      </c>
      <c r="CH8" s="69">
        <f t="shared" si="2"/>
        <v>0</v>
      </c>
      <c r="CI8" s="30">
        <f t="shared" si="3"/>
        <v>0</v>
      </c>
      <c r="CJ8" s="30">
        <f t="shared" si="4"/>
        <v>0</v>
      </c>
      <c r="CK8" s="30">
        <f t="shared" si="5"/>
        <v>0</v>
      </c>
      <c r="CL8" s="67">
        <f t="shared" si="6"/>
        <v>0</v>
      </c>
      <c r="CM8" s="30">
        <v>0</v>
      </c>
      <c r="CN8" s="30">
        <v>0</v>
      </c>
      <c r="CO8" s="30">
        <v>0</v>
      </c>
      <c r="CP8" s="30">
        <v>0</v>
      </c>
      <c r="CQ8" s="67">
        <v>0</v>
      </c>
    </row>
    <row r="9" spans="1:95" x14ac:dyDescent="0.3">
      <c r="A9" s="13">
        <v>38</v>
      </c>
      <c r="B9" s="7" t="s">
        <v>0</v>
      </c>
      <c r="C9" s="7" t="s">
        <v>14</v>
      </c>
      <c r="D9" s="7" t="s">
        <v>4</v>
      </c>
      <c r="E9" s="7">
        <v>2</v>
      </c>
      <c r="F9" s="7" t="s">
        <v>6</v>
      </c>
      <c r="G9" s="7">
        <v>7.03</v>
      </c>
      <c r="H9" s="7">
        <v>1</v>
      </c>
      <c r="I9" s="7">
        <v>21.471</v>
      </c>
      <c r="J9" s="7">
        <v>6.0810000000000004</v>
      </c>
      <c r="K9" s="7">
        <v>71.678077406734658</v>
      </c>
      <c r="L9" s="7">
        <v>13.499288762446653</v>
      </c>
      <c r="M9" s="7">
        <f t="shared" si="0"/>
        <v>0.1450175496846009</v>
      </c>
      <c r="N9" s="7">
        <v>48.01</v>
      </c>
      <c r="O9" s="7">
        <v>0.88600000000000001</v>
      </c>
      <c r="P9" s="7">
        <v>5.5389999999999997</v>
      </c>
      <c r="Q9" s="7">
        <v>2.73</v>
      </c>
      <c r="R9" s="7">
        <v>2.1989999999999998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23">
        <v>0</v>
      </c>
      <c r="AG9" s="24">
        <v>0</v>
      </c>
      <c r="AH9" s="5">
        <v>0</v>
      </c>
      <c r="AI9" s="5">
        <v>0</v>
      </c>
      <c r="AJ9" s="23">
        <v>0</v>
      </c>
      <c r="AK9" s="25">
        <v>0</v>
      </c>
      <c r="AL9" s="26">
        <v>0</v>
      </c>
      <c r="AM9" s="26">
        <v>0</v>
      </c>
      <c r="AN9" s="27">
        <v>0</v>
      </c>
      <c r="AO9" s="26">
        <v>0</v>
      </c>
      <c r="AP9" s="23">
        <v>0</v>
      </c>
      <c r="AQ9" s="5">
        <v>0</v>
      </c>
      <c r="AR9" s="23">
        <v>0</v>
      </c>
      <c r="AS9" s="25">
        <v>0</v>
      </c>
      <c r="AT9" s="5">
        <v>0</v>
      </c>
      <c r="AU9" s="5">
        <v>0</v>
      </c>
      <c r="AV9" s="5">
        <v>0</v>
      </c>
      <c r="AW9" s="23">
        <v>0</v>
      </c>
      <c r="AX9" s="5">
        <v>0</v>
      </c>
      <c r="AY9" s="5">
        <v>0</v>
      </c>
      <c r="AZ9" s="23">
        <v>0</v>
      </c>
      <c r="BA9" s="5">
        <v>0</v>
      </c>
      <c r="BB9" s="5">
        <v>0</v>
      </c>
      <c r="BC9" s="23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23">
        <v>0</v>
      </c>
      <c r="BL9" s="23">
        <v>0</v>
      </c>
      <c r="BM9" s="23">
        <v>0</v>
      </c>
      <c r="BN9" s="23">
        <v>0</v>
      </c>
      <c r="BO9" s="23">
        <v>0</v>
      </c>
      <c r="BP9" s="5">
        <v>0</v>
      </c>
      <c r="BQ9" s="5">
        <v>0</v>
      </c>
      <c r="BR9" s="23">
        <v>0</v>
      </c>
      <c r="BS9" s="28">
        <v>0</v>
      </c>
      <c r="BT9" s="5">
        <v>0</v>
      </c>
      <c r="BU9" s="23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29">
        <v>0</v>
      </c>
      <c r="CG9" s="67">
        <f t="shared" si="1"/>
        <v>0</v>
      </c>
      <c r="CH9" s="69">
        <f t="shared" si="2"/>
        <v>0</v>
      </c>
      <c r="CI9" s="30">
        <f t="shared" si="3"/>
        <v>0</v>
      </c>
      <c r="CJ9" s="30">
        <f t="shared" si="4"/>
        <v>0</v>
      </c>
      <c r="CK9" s="30">
        <f t="shared" si="5"/>
        <v>0</v>
      </c>
      <c r="CL9" s="67">
        <f t="shared" si="6"/>
        <v>0</v>
      </c>
      <c r="CM9" s="30">
        <v>0</v>
      </c>
      <c r="CN9" s="30">
        <v>0</v>
      </c>
      <c r="CO9" s="30">
        <v>0</v>
      </c>
      <c r="CP9" s="30">
        <v>0</v>
      </c>
      <c r="CQ9" s="67">
        <v>0</v>
      </c>
    </row>
    <row r="10" spans="1:95" x14ac:dyDescent="0.3">
      <c r="A10" s="13">
        <v>43</v>
      </c>
      <c r="B10" s="7" t="s">
        <v>0</v>
      </c>
      <c r="C10" s="7" t="s">
        <v>1</v>
      </c>
      <c r="D10" s="7" t="s">
        <v>4</v>
      </c>
      <c r="E10" s="7">
        <v>5</v>
      </c>
      <c r="F10" s="7" t="s">
        <v>6</v>
      </c>
      <c r="G10" s="7">
        <v>7.0600000000000005</v>
      </c>
      <c r="H10" s="7">
        <v>1</v>
      </c>
      <c r="I10" s="7">
        <v>25.106999999999999</v>
      </c>
      <c r="J10" s="7">
        <v>5.8559999999999999</v>
      </c>
      <c r="K10" s="7">
        <v>76.675827458477713</v>
      </c>
      <c r="L10" s="7">
        <v>17.053824362606239</v>
      </c>
      <c r="M10" s="7">
        <f t="shared" si="0"/>
        <v>0.18697827484614038</v>
      </c>
      <c r="N10" s="7">
        <v>48.09</v>
      </c>
      <c r="O10" s="7">
        <v>0.90700000000000003</v>
      </c>
      <c r="P10" s="7">
        <v>5.67</v>
      </c>
      <c r="Q10" s="7">
        <v>1.93</v>
      </c>
      <c r="R10" s="7">
        <v>1.4890000000000001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23">
        <v>0</v>
      </c>
      <c r="AG10" s="24">
        <v>0</v>
      </c>
      <c r="AH10" s="5">
        <v>0</v>
      </c>
      <c r="AI10" s="5">
        <v>0</v>
      </c>
      <c r="AJ10" s="23">
        <v>0</v>
      </c>
      <c r="AK10" s="25">
        <v>0</v>
      </c>
      <c r="AL10" s="26">
        <v>0</v>
      </c>
      <c r="AM10" s="26">
        <v>0</v>
      </c>
      <c r="AN10" s="27">
        <v>0</v>
      </c>
      <c r="AO10" s="26">
        <v>0</v>
      </c>
      <c r="AP10" s="23">
        <v>0</v>
      </c>
      <c r="AQ10" s="5">
        <v>0</v>
      </c>
      <c r="AR10" s="23">
        <v>0</v>
      </c>
      <c r="AS10" s="25">
        <v>0</v>
      </c>
      <c r="AT10" s="5">
        <v>0</v>
      </c>
      <c r="AU10" s="5">
        <v>0</v>
      </c>
      <c r="AV10" s="5">
        <v>0</v>
      </c>
      <c r="AW10" s="23">
        <v>0</v>
      </c>
      <c r="AX10" s="5">
        <v>0</v>
      </c>
      <c r="AY10" s="5">
        <v>0</v>
      </c>
      <c r="AZ10" s="23">
        <v>0</v>
      </c>
      <c r="BA10" s="5">
        <v>0</v>
      </c>
      <c r="BB10" s="5">
        <v>0</v>
      </c>
      <c r="BC10" s="23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23">
        <v>0</v>
      </c>
      <c r="BL10" s="23">
        <v>0</v>
      </c>
      <c r="BM10" s="23">
        <v>0</v>
      </c>
      <c r="BN10" s="23">
        <v>0</v>
      </c>
      <c r="BO10" s="23">
        <v>0</v>
      </c>
      <c r="BP10" s="5">
        <v>0</v>
      </c>
      <c r="BQ10" s="5">
        <v>0</v>
      </c>
      <c r="BR10" s="23">
        <v>0</v>
      </c>
      <c r="BS10" s="28">
        <v>0</v>
      </c>
      <c r="BT10" s="5">
        <v>0</v>
      </c>
      <c r="BU10" s="23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29">
        <v>0</v>
      </c>
      <c r="CG10" s="67">
        <f t="shared" si="1"/>
        <v>0</v>
      </c>
      <c r="CH10" s="69">
        <f t="shared" si="2"/>
        <v>0</v>
      </c>
      <c r="CI10" s="30">
        <f t="shared" si="3"/>
        <v>0</v>
      </c>
      <c r="CJ10" s="30">
        <f t="shared" si="4"/>
        <v>0</v>
      </c>
      <c r="CK10" s="30">
        <f t="shared" si="5"/>
        <v>0</v>
      </c>
      <c r="CL10" s="67">
        <f t="shared" si="6"/>
        <v>0</v>
      </c>
      <c r="CM10" s="30">
        <v>0</v>
      </c>
      <c r="CN10" s="30">
        <v>0</v>
      </c>
      <c r="CO10" s="30">
        <v>0</v>
      </c>
      <c r="CP10" s="30">
        <v>0</v>
      </c>
      <c r="CQ10" s="67">
        <v>0</v>
      </c>
    </row>
    <row r="11" spans="1:95" x14ac:dyDescent="0.3">
      <c r="A11" s="13">
        <v>51</v>
      </c>
      <c r="B11" s="7" t="s">
        <v>0</v>
      </c>
      <c r="C11" s="7" t="s">
        <v>14</v>
      </c>
      <c r="D11" s="7" t="s">
        <v>4</v>
      </c>
      <c r="E11" s="7">
        <v>5</v>
      </c>
      <c r="F11" s="7" t="s">
        <v>6</v>
      </c>
      <c r="G11" s="7">
        <v>7</v>
      </c>
      <c r="H11" s="7">
        <v>1</v>
      </c>
      <c r="I11" s="7">
        <v>23.167000000000002</v>
      </c>
      <c r="J11" s="7">
        <v>6.07</v>
      </c>
      <c r="K11" s="7">
        <v>73.798938144774894</v>
      </c>
      <c r="L11" s="7">
        <v>13.285714285714281</v>
      </c>
      <c r="M11" s="7">
        <f t="shared" si="0"/>
        <v>0.14255154398390632</v>
      </c>
      <c r="N11" s="7">
        <v>48.48</v>
      </c>
      <c r="O11" s="7">
        <v>0.877</v>
      </c>
      <c r="P11" s="7">
        <v>5.4809999999999999</v>
      </c>
      <c r="Q11" s="7">
        <v>2.8340000000000001</v>
      </c>
      <c r="R11" s="7">
        <v>2.4060000000000001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23">
        <v>0</v>
      </c>
      <c r="AG11" s="24">
        <v>0</v>
      </c>
      <c r="AH11" s="5">
        <v>0</v>
      </c>
      <c r="AI11" s="5">
        <v>0</v>
      </c>
      <c r="AJ11" s="23">
        <v>0</v>
      </c>
      <c r="AK11" s="25">
        <v>0</v>
      </c>
      <c r="AL11" s="26">
        <v>0</v>
      </c>
      <c r="AM11" s="26">
        <v>0</v>
      </c>
      <c r="AN11" s="27">
        <v>0</v>
      </c>
      <c r="AO11" s="26">
        <v>0</v>
      </c>
      <c r="AP11" s="23">
        <v>0</v>
      </c>
      <c r="AQ11" s="5">
        <v>0</v>
      </c>
      <c r="AR11" s="23">
        <v>0</v>
      </c>
      <c r="AS11" s="25">
        <v>0</v>
      </c>
      <c r="AT11" s="5">
        <v>0</v>
      </c>
      <c r="AU11" s="5">
        <v>0</v>
      </c>
      <c r="AV11" s="5">
        <v>0</v>
      </c>
      <c r="AW11" s="23">
        <v>0</v>
      </c>
      <c r="AX11" s="5">
        <v>0</v>
      </c>
      <c r="AY11" s="5">
        <v>0</v>
      </c>
      <c r="AZ11" s="23">
        <v>0</v>
      </c>
      <c r="BA11" s="5">
        <v>0</v>
      </c>
      <c r="BB11" s="5">
        <v>0</v>
      </c>
      <c r="BC11" s="23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23">
        <v>0</v>
      </c>
      <c r="BL11" s="23">
        <v>0</v>
      </c>
      <c r="BM11" s="23">
        <v>0</v>
      </c>
      <c r="BN11" s="23">
        <v>0</v>
      </c>
      <c r="BO11" s="23">
        <v>0</v>
      </c>
      <c r="BP11" s="5">
        <v>0</v>
      </c>
      <c r="BQ11" s="5">
        <v>0</v>
      </c>
      <c r="BR11" s="23">
        <v>0</v>
      </c>
      <c r="BS11" s="28">
        <v>0</v>
      </c>
      <c r="BT11" s="5">
        <v>0</v>
      </c>
      <c r="BU11" s="23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29">
        <v>0</v>
      </c>
      <c r="CG11" s="67">
        <f t="shared" si="1"/>
        <v>0</v>
      </c>
      <c r="CH11" s="69">
        <f t="shared" si="2"/>
        <v>0</v>
      </c>
      <c r="CI11" s="30">
        <f t="shared" si="3"/>
        <v>0</v>
      </c>
      <c r="CJ11" s="30">
        <f t="shared" si="4"/>
        <v>0</v>
      </c>
      <c r="CK11" s="30">
        <f t="shared" si="5"/>
        <v>0</v>
      </c>
      <c r="CL11" s="67">
        <f t="shared" si="6"/>
        <v>0</v>
      </c>
      <c r="CM11" s="30">
        <v>0</v>
      </c>
      <c r="CN11" s="30">
        <v>0</v>
      </c>
      <c r="CO11" s="30">
        <v>0</v>
      </c>
      <c r="CP11" s="30">
        <v>0</v>
      </c>
      <c r="CQ11" s="67">
        <v>0</v>
      </c>
    </row>
    <row r="12" spans="1:95" x14ac:dyDescent="0.3">
      <c r="A12" s="13">
        <v>125</v>
      </c>
      <c r="B12" s="7" t="s">
        <v>0</v>
      </c>
      <c r="C12" s="7" t="s">
        <v>1</v>
      </c>
      <c r="D12" s="7" t="s">
        <v>5</v>
      </c>
      <c r="E12" s="7">
        <v>3</v>
      </c>
      <c r="F12" s="7" t="s">
        <v>6</v>
      </c>
      <c r="G12" s="7">
        <v>7.01</v>
      </c>
      <c r="H12" s="7">
        <v>1</v>
      </c>
      <c r="I12" s="7">
        <v>25.106999999999999</v>
      </c>
      <c r="J12" s="7">
        <v>5.9390000000000001</v>
      </c>
      <c r="K12" s="7">
        <v>76.345242362687699</v>
      </c>
      <c r="L12" s="7">
        <v>15.278174037089867</v>
      </c>
      <c r="M12" s="7">
        <f t="shared" si="0"/>
        <v>0.16579693201277548</v>
      </c>
      <c r="N12" s="7">
        <v>47.26</v>
      </c>
      <c r="O12" s="7">
        <v>0.73199999999999998</v>
      </c>
      <c r="P12" s="7">
        <v>4.577</v>
      </c>
      <c r="Q12" s="7">
        <v>1.25</v>
      </c>
      <c r="R12" s="7">
        <v>1.536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4</v>
      </c>
      <c r="AC12" s="5">
        <v>0</v>
      </c>
      <c r="AD12" s="5">
        <v>0</v>
      </c>
      <c r="AE12" s="5">
        <v>0</v>
      </c>
      <c r="AF12" s="23">
        <v>0</v>
      </c>
      <c r="AG12" s="24">
        <v>0</v>
      </c>
      <c r="AH12" s="5">
        <v>1</v>
      </c>
      <c r="AI12" s="5">
        <v>0</v>
      </c>
      <c r="AJ12" s="23">
        <v>0</v>
      </c>
      <c r="AK12" s="25">
        <v>0</v>
      </c>
      <c r="AL12" s="26">
        <v>1</v>
      </c>
      <c r="AM12" s="26">
        <v>0</v>
      </c>
      <c r="AN12" s="27">
        <v>0</v>
      </c>
      <c r="AO12" s="26">
        <v>0</v>
      </c>
      <c r="AP12" s="23">
        <v>0</v>
      </c>
      <c r="AQ12" s="5">
        <v>0</v>
      </c>
      <c r="AR12" s="23">
        <v>0</v>
      </c>
      <c r="AS12" s="25">
        <v>0</v>
      </c>
      <c r="AT12" s="5">
        <v>0</v>
      </c>
      <c r="AU12" s="5">
        <v>0</v>
      </c>
      <c r="AV12" s="5">
        <v>0</v>
      </c>
      <c r="AW12" s="23">
        <v>0</v>
      </c>
      <c r="AX12" s="5">
        <v>0</v>
      </c>
      <c r="AY12" s="5">
        <v>0</v>
      </c>
      <c r="AZ12" s="23">
        <v>0</v>
      </c>
      <c r="BA12" s="5">
        <v>0</v>
      </c>
      <c r="BB12" s="5">
        <v>0</v>
      </c>
      <c r="BC12" s="23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23">
        <v>0</v>
      </c>
      <c r="BL12" s="23">
        <v>0</v>
      </c>
      <c r="BM12" s="23">
        <v>0</v>
      </c>
      <c r="BN12" s="23">
        <v>0</v>
      </c>
      <c r="BO12" s="23">
        <v>0</v>
      </c>
      <c r="BP12" s="5">
        <v>0</v>
      </c>
      <c r="BQ12" s="5">
        <v>0</v>
      </c>
      <c r="BR12" s="23">
        <v>0</v>
      </c>
      <c r="BS12" s="28">
        <v>0</v>
      </c>
      <c r="BT12" s="5">
        <v>0</v>
      </c>
      <c r="BU12" s="23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29">
        <v>0</v>
      </c>
      <c r="CG12" s="67">
        <f t="shared" si="1"/>
        <v>6</v>
      </c>
      <c r="CH12" s="69">
        <f t="shared" si="2"/>
        <v>3</v>
      </c>
      <c r="CI12" s="30">
        <f t="shared" si="3"/>
        <v>0</v>
      </c>
      <c r="CJ12" s="30">
        <f t="shared" si="4"/>
        <v>6</v>
      </c>
      <c r="CK12" s="30">
        <f t="shared" si="5"/>
        <v>0</v>
      </c>
      <c r="CL12" s="67">
        <f t="shared" si="6"/>
        <v>1</v>
      </c>
      <c r="CM12" s="30">
        <v>6</v>
      </c>
      <c r="CN12" s="30">
        <v>0</v>
      </c>
      <c r="CO12" s="30">
        <v>0</v>
      </c>
      <c r="CP12" s="30">
        <v>0</v>
      </c>
      <c r="CQ12" s="67">
        <v>1</v>
      </c>
    </row>
    <row r="13" spans="1:95" x14ac:dyDescent="0.3">
      <c r="A13" s="7">
        <v>127</v>
      </c>
      <c r="B13" s="7" t="s">
        <v>0</v>
      </c>
      <c r="C13" s="7" t="s">
        <v>1</v>
      </c>
      <c r="D13" s="7" t="s">
        <v>5</v>
      </c>
      <c r="E13" s="7">
        <v>1</v>
      </c>
      <c r="F13" s="7" t="s">
        <v>6</v>
      </c>
      <c r="G13" s="7">
        <v>7.03</v>
      </c>
      <c r="H13" s="7">
        <v>1</v>
      </c>
      <c r="I13" s="7">
        <v>17.065999999999999</v>
      </c>
      <c r="J13" s="7">
        <v>6.2430000000000003</v>
      </c>
      <c r="K13" s="7">
        <v>63.418492909879291</v>
      </c>
      <c r="L13" s="7">
        <v>11.194879089615931</v>
      </c>
      <c r="M13" s="7">
        <f t="shared" si="0"/>
        <v>0.11872586974296642</v>
      </c>
      <c r="N13" s="7">
        <v>47.83</v>
      </c>
      <c r="O13" s="7">
        <v>0.54900000000000004</v>
      </c>
      <c r="P13" s="7">
        <v>3.4289999999999998</v>
      </c>
      <c r="Q13" s="7">
        <v>1.869</v>
      </c>
      <c r="R13" s="7">
        <v>1.3952222222222224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23">
        <v>0</v>
      </c>
      <c r="AG13" s="24">
        <v>0</v>
      </c>
      <c r="AH13" s="5">
        <v>0</v>
      </c>
      <c r="AI13" s="5">
        <v>0</v>
      </c>
      <c r="AJ13" s="23">
        <v>0</v>
      </c>
      <c r="AK13" s="25">
        <v>0</v>
      </c>
      <c r="AL13" s="26">
        <v>1</v>
      </c>
      <c r="AM13" s="26">
        <v>0</v>
      </c>
      <c r="AN13" s="27">
        <v>0</v>
      </c>
      <c r="AO13" s="26">
        <v>0</v>
      </c>
      <c r="AP13" s="23">
        <v>0</v>
      </c>
      <c r="AQ13" s="5">
        <v>0</v>
      </c>
      <c r="AR13" s="23">
        <v>0</v>
      </c>
      <c r="AS13" s="25">
        <v>0</v>
      </c>
      <c r="AT13" s="5">
        <v>0</v>
      </c>
      <c r="AU13" s="5">
        <v>0</v>
      </c>
      <c r="AV13" s="5">
        <v>0</v>
      </c>
      <c r="AW13" s="23">
        <v>0</v>
      </c>
      <c r="AX13" s="5">
        <v>0</v>
      </c>
      <c r="AY13" s="5">
        <v>0</v>
      </c>
      <c r="AZ13" s="23">
        <v>0</v>
      </c>
      <c r="BA13" s="5">
        <v>0</v>
      </c>
      <c r="BB13" s="5">
        <v>0</v>
      </c>
      <c r="BC13" s="23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23">
        <v>0</v>
      </c>
      <c r="BL13" s="23">
        <v>0</v>
      </c>
      <c r="BM13" s="23">
        <v>0</v>
      </c>
      <c r="BN13" s="23">
        <v>0</v>
      </c>
      <c r="BO13" s="23">
        <v>0</v>
      </c>
      <c r="BP13" s="5">
        <v>0</v>
      </c>
      <c r="BQ13" s="5">
        <v>0</v>
      </c>
      <c r="BR13" s="23">
        <v>0</v>
      </c>
      <c r="BS13" s="28">
        <v>0</v>
      </c>
      <c r="BT13" s="5">
        <v>0</v>
      </c>
      <c r="BU13" s="23">
        <v>0</v>
      </c>
      <c r="BV13" s="5">
        <v>1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29">
        <v>0</v>
      </c>
      <c r="CG13" s="67">
        <f t="shared" si="1"/>
        <v>2</v>
      </c>
      <c r="CH13" s="69">
        <f t="shared" si="2"/>
        <v>2</v>
      </c>
      <c r="CI13" s="30">
        <f t="shared" si="3"/>
        <v>0</v>
      </c>
      <c r="CJ13" s="30">
        <f t="shared" si="4"/>
        <v>1</v>
      </c>
      <c r="CK13" s="30">
        <f t="shared" si="5"/>
        <v>1</v>
      </c>
      <c r="CL13" s="67">
        <f t="shared" si="6"/>
        <v>2</v>
      </c>
      <c r="CM13" s="30">
        <v>1</v>
      </c>
      <c r="CN13" s="30">
        <v>0</v>
      </c>
      <c r="CO13" s="30">
        <v>0</v>
      </c>
      <c r="CP13" s="30">
        <v>1</v>
      </c>
      <c r="CQ13" s="67">
        <v>1</v>
      </c>
    </row>
    <row r="14" spans="1:95" x14ac:dyDescent="0.3">
      <c r="A14" s="13">
        <v>132</v>
      </c>
      <c r="B14" s="7" t="s">
        <v>0</v>
      </c>
      <c r="C14" s="7" t="s">
        <v>14</v>
      </c>
      <c r="D14" s="7" t="s">
        <v>5</v>
      </c>
      <c r="E14" s="7">
        <v>4</v>
      </c>
      <c r="F14" s="7" t="s">
        <v>6</v>
      </c>
      <c r="G14" s="7">
        <v>7.05</v>
      </c>
      <c r="H14" s="7">
        <v>1</v>
      </c>
      <c r="I14" s="7">
        <v>25.042999999999999</v>
      </c>
      <c r="J14" s="7">
        <v>6.1660000000000004</v>
      </c>
      <c r="K14" s="7">
        <v>75.378349239308378</v>
      </c>
      <c r="L14" s="7">
        <v>12.539007092198574</v>
      </c>
      <c r="M14" s="7">
        <f t="shared" si="0"/>
        <v>0.13397728736021858</v>
      </c>
      <c r="N14" s="7">
        <v>48.54</v>
      </c>
      <c r="O14" s="7">
        <v>0.69299999999999995</v>
      </c>
      <c r="P14" s="7">
        <v>4.3310000000000004</v>
      </c>
      <c r="Q14" s="7">
        <v>0.86</v>
      </c>
      <c r="R14" s="7">
        <v>0.80600000000000005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23">
        <v>0</v>
      </c>
      <c r="AG14" s="24">
        <v>0</v>
      </c>
      <c r="AH14" s="5">
        <v>0</v>
      </c>
      <c r="AI14" s="5">
        <v>0</v>
      </c>
      <c r="AJ14" s="23">
        <v>0</v>
      </c>
      <c r="AK14" s="25">
        <v>0</v>
      </c>
      <c r="AL14" s="26">
        <v>0</v>
      </c>
      <c r="AM14" s="26">
        <v>0</v>
      </c>
      <c r="AN14" s="27">
        <v>0</v>
      </c>
      <c r="AO14" s="26">
        <v>0</v>
      </c>
      <c r="AP14" s="23">
        <v>0</v>
      </c>
      <c r="AQ14" s="5">
        <v>0</v>
      </c>
      <c r="AR14" s="23">
        <v>0</v>
      </c>
      <c r="AS14" s="25">
        <v>0</v>
      </c>
      <c r="AT14" s="5">
        <v>0</v>
      </c>
      <c r="AU14" s="5">
        <v>0</v>
      </c>
      <c r="AV14" s="5">
        <v>0</v>
      </c>
      <c r="AW14" s="23">
        <v>0</v>
      </c>
      <c r="AX14" s="5">
        <v>0</v>
      </c>
      <c r="AY14" s="5">
        <v>0</v>
      </c>
      <c r="AZ14" s="23">
        <v>0</v>
      </c>
      <c r="BA14" s="5">
        <v>0</v>
      </c>
      <c r="BB14" s="5">
        <v>0</v>
      </c>
      <c r="BC14" s="23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23">
        <v>0</v>
      </c>
      <c r="BL14" s="23">
        <v>0</v>
      </c>
      <c r="BM14" s="23">
        <v>0</v>
      </c>
      <c r="BN14" s="23">
        <v>0</v>
      </c>
      <c r="BO14" s="23">
        <v>0</v>
      </c>
      <c r="BP14" s="5">
        <v>0</v>
      </c>
      <c r="BQ14" s="5">
        <v>0</v>
      </c>
      <c r="BR14" s="23">
        <v>0</v>
      </c>
      <c r="BS14" s="28">
        <v>0</v>
      </c>
      <c r="BT14" s="5">
        <v>0</v>
      </c>
      <c r="BU14" s="23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29">
        <v>0</v>
      </c>
      <c r="CG14" s="67">
        <f t="shared" si="1"/>
        <v>0</v>
      </c>
      <c r="CH14" s="69">
        <f t="shared" si="2"/>
        <v>0</v>
      </c>
      <c r="CI14" s="30">
        <f t="shared" si="3"/>
        <v>0</v>
      </c>
      <c r="CJ14" s="30">
        <f t="shared" si="4"/>
        <v>0</v>
      </c>
      <c r="CK14" s="30">
        <f t="shared" si="5"/>
        <v>0</v>
      </c>
      <c r="CL14" s="67">
        <f t="shared" si="6"/>
        <v>0</v>
      </c>
      <c r="CM14" s="30">
        <v>0</v>
      </c>
      <c r="CN14" s="30">
        <v>0</v>
      </c>
      <c r="CO14" s="30">
        <v>0</v>
      </c>
      <c r="CP14" s="30">
        <v>0</v>
      </c>
      <c r="CQ14" s="67">
        <v>0</v>
      </c>
    </row>
    <row r="15" spans="1:95" x14ac:dyDescent="0.3">
      <c r="A15" s="13">
        <v>138</v>
      </c>
      <c r="B15" s="7" t="s">
        <v>0</v>
      </c>
      <c r="C15" s="7" t="s">
        <v>1</v>
      </c>
      <c r="D15" s="7" t="s">
        <v>5</v>
      </c>
      <c r="E15" s="7">
        <v>4</v>
      </c>
      <c r="F15" s="7" t="s">
        <v>6</v>
      </c>
      <c r="G15" s="7">
        <v>6.99</v>
      </c>
      <c r="H15" s="7">
        <v>1</v>
      </c>
      <c r="I15" s="7">
        <v>22.42</v>
      </c>
      <c r="J15" s="7">
        <v>6.1420000000000003</v>
      </c>
      <c r="K15" s="7">
        <v>72.604817127564687</v>
      </c>
      <c r="L15" s="7">
        <v>12.131616595135906</v>
      </c>
      <c r="M15" s="7">
        <f t="shared" si="0"/>
        <v>0.12933013422708825</v>
      </c>
      <c r="N15" s="7">
        <v>48.17</v>
      </c>
      <c r="O15" s="7">
        <v>0.71699999999999997</v>
      </c>
      <c r="P15" s="7">
        <v>4.4800000000000004</v>
      </c>
      <c r="Q15" s="7">
        <v>1.4650000000000001</v>
      </c>
      <c r="R15" s="7">
        <v>1.5370000000000001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23">
        <v>0</v>
      </c>
      <c r="AG15" s="24">
        <v>4</v>
      </c>
      <c r="AH15" s="5">
        <v>1</v>
      </c>
      <c r="AI15" s="5">
        <v>0</v>
      </c>
      <c r="AJ15" s="23">
        <v>10</v>
      </c>
      <c r="AK15" s="25">
        <v>1</v>
      </c>
      <c r="AL15" s="26">
        <v>0</v>
      </c>
      <c r="AM15" s="26">
        <v>0</v>
      </c>
      <c r="AN15" s="27">
        <v>0</v>
      </c>
      <c r="AO15" s="26">
        <v>0</v>
      </c>
      <c r="AP15" s="23">
        <v>0</v>
      </c>
      <c r="AQ15" s="5">
        <v>0</v>
      </c>
      <c r="AR15" s="23">
        <v>0</v>
      </c>
      <c r="AS15" s="25">
        <v>0</v>
      </c>
      <c r="AT15" s="5">
        <v>0</v>
      </c>
      <c r="AU15" s="5">
        <v>0</v>
      </c>
      <c r="AV15" s="5">
        <v>0</v>
      </c>
      <c r="AW15" s="23">
        <v>0</v>
      </c>
      <c r="AX15" s="5">
        <v>0</v>
      </c>
      <c r="AY15" s="5">
        <v>0</v>
      </c>
      <c r="AZ15" s="23">
        <v>0</v>
      </c>
      <c r="BA15" s="5">
        <v>0</v>
      </c>
      <c r="BB15" s="5">
        <v>0</v>
      </c>
      <c r="BC15" s="23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23">
        <v>0</v>
      </c>
      <c r="BL15" s="23">
        <v>0</v>
      </c>
      <c r="BM15" s="23">
        <v>0</v>
      </c>
      <c r="BN15" s="23">
        <v>0</v>
      </c>
      <c r="BO15" s="23">
        <v>0</v>
      </c>
      <c r="BP15" s="5">
        <v>0</v>
      </c>
      <c r="BQ15" s="5">
        <v>0</v>
      </c>
      <c r="BR15" s="23">
        <v>0</v>
      </c>
      <c r="BS15" s="28">
        <v>0</v>
      </c>
      <c r="BT15" s="5">
        <v>0</v>
      </c>
      <c r="BU15" s="23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29">
        <v>0</v>
      </c>
      <c r="CG15" s="67">
        <f t="shared" si="1"/>
        <v>16</v>
      </c>
      <c r="CH15" s="69">
        <f t="shared" si="2"/>
        <v>4</v>
      </c>
      <c r="CI15" s="30">
        <f t="shared" si="3"/>
        <v>0</v>
      </c>
      <c r="CJ15" s="30">
        <f t="shared" si="4"/>
        <v>15</v>
      </c>
      <c r="CK15" s="30">
        <f t="shared" si="5"/>
        <v>1</v>
      </c>
      <c r="CL15" s="67">
        <f t="shared" si="6"/>
        <v>2</v>
      </c>
      <c r="CM15" s="30">
        <v>16</v>
      </c>
      <c r="CN15" s="30">
        <v>0</v>
      </c>
      <c r="CO15" s="30">
        <v>0</v>
      </c>
      <c r="CP15" s="30">
        <v>0</v>
      </c>
      <c r="CQ15" s="67">
        <v>1</v>
      </c>
    </row>
    <row r="16" spans="1:95" x14ac:dyDescent="0.3">
      <c r="A16" s="13">
        <v>151</v>
      </c>
      <c r="B16" s="7" t="s">
        <v>0</v>
      </c>
      <c r="C16" s="7" t="s">
        <v>14</v>
      </c>
      <c r="D16" s="7" t="s">
        <v>5</v>
      </c>
      <c r="E16" s="7">
        <v>1</v>
      </c>
      <c r="F16" s="7" t="s">
        <v>6</v>
      </c>
      <c r="G16" s="7">
        <v>6.98</v>
      </c>
      <c r="H16" s="7">
        <v>1</v>
      </c>
      <c r="I16" s="7">
        <v>22.975000000000001</v>
      </c>
      <c r="J16" s="7">
        <v>6.1710000000000003</v>
      </c>
      <c r="K16" s="7">
        <v>73.140369967355824</v>
      </c>
      <c r="L16" s="7">
        <v>11.590257879656161</v>
      </c>
      <c r="M16" s="7">
        <f t="shared" si="0"/>
        <v>0.12318801743535132</v>
      </c>
      <c r="N16" s="7">
        <v>48.21</v>
      </c>
      <c r="O16" s="7">
        <v>0.67100000000000004</v>
      </c>
      <c r="P16" s="7">
        <v>4.1950000000000003</v>
      </c>
      <c r="Q16" s="7">
        <v>1.6859999999999999</v>
      </c>
      <c r="R16" s="7">
        <v>0.97199999999999998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23">
        <v>0</v>
      </c>
      <c r="AG16" s="24">
        <v>0</v>
      </c>
      <c r="AH16" s="5">
        <v>0</v>
      </c>
      <c r="AI16" s="5">
        <v>0</v>
      </c>
      <c r="AJ16" s="23">
        <v>0</v>
      </c>
      <c r="AK16" s="25">
        <v>1</v>
      </c>
      <c r="AL16" s="26">
        <v>0</v>
      </c>
      <c r="AM16" s="26">
        <v>0</v>
      </c>
      <c r="AN16" s="27">
        <v>0</v>
      </c>
      <c r="AO16" s="26">
        <v>0</v>
      </c>
      <c r="AP16" s="23">
        <v>0</v>
      </c>
      <c r="AQ16" s="5">
        <v>0</v>
      </c>
      <c r="AR16" s="23">
        <v>0</v>
      </c>
      <c r="AS16" s="25">
        <v>0</v>
      </c>
      <c r="AT16" s="5">
        <v>0</v>
      </c>
      <c r="AU16" s="5">
        <v>0</v>
      </c>
      <c r="AV16" s="5">
        <v>0</v>
      </c>
      <c r="AW16" s="23">
        <v>0</v>
      </c>
      <c r="AX16" s="5">
        <v>0</v>
      </c>
      <c r="AY16" s="5">
        <v>0</v>
      </c>
      <c r="AZ16" s="23">
        <v>0</v>
      </c>
      <c r="BA16" s="5">
        <v>0</v>
      </c>
      <c r="BB16" s="5">
        <v>0</v>
      </c>
      <c r="BC16" s="23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23">
        <v>0</v>
      </c>
      <c r="BL16" s="23">
        <v>0</v>
      </c>
      <c r="BM16" s="23">
        <v>0</v>
      </c>
      <c r="BN16" s="23">
        <v>0</v>
      </c>
      <c r="BO16" s="23">
        <v>0</v>
      </c>
      <c r="BP16" s="5">
        <v>0</v>
      </c>
      <c r="BQ16" s="5">
        <v>0</v>
      </c>
      <c r="BR16" s="23">
        <v>0</v>
      </c>
      <c r="BS16" s="28">
        <v>0</v>
      </c>
      <c r="BT16" s="5">
        <v>0</v>
      </c>
      <c r="BU16" s="23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29">
        <v>0</v>
      </c>
      <c r="CG16" s="67">
        <f t="shared" si="1"/>
        <v>1</v>
      </c>
      <c r="CH16" s="69">
        <f t="shared" si="2"/>
        <v>1</v>
      </c>
      <c r="CI16" s="30">
        <f t="shared" si="3"/>
        <v>0</v>
      </c>
      <c r="CJ16" s="30">
        <f t="shared" si="4"/>
        <v>0</v>
      </c>
      <c r="CK16" s="30">
        <f t="shared" si="5"/>
        <v>1</v>
      </c>
      <c r="CL16" s="67">
        <f t="shared" si="6"/>
        <v>1</v>
      </c>
      <c r="CM16" s="30">
        <v>1</v>
      </c>
      <c r="CN16" s="30">
        <v>0</v>
      </c>
      <c r="CO16" s="30">
        <v>0</v>
      </c>
      <c r="CP16" s="30">
        <v>0</v>
      </c>
      <c r="CQ16" s="67">
        <v>1</v>
      </c>
    </row>
    <row r="17" spans="1:95" x14ac:dyDescent="0.3">
      <c r="A17" s="13">
        <v>156</v>
      </c>
      <c r="B17" s="7" t="s">
        <v>0</v>
      </c>
      <c r="C17" s="7" t="s">
        <v>14</v>
      </c>
      <c r="D17" s="7" t="s">
        <v>5</v>
      </c>
      <c r="E17" s="7">
        <v>5</v>
      </c>
      <c r="F17" s="7" t="s">
        <v>6</v>
      </c>
      <c r="G17" s="7">
        <v>6.99</v>
      </c>
      <c r="H17" s="7">
        <v>1</v>
      </c>
      <c r="I17" s="7">
        <v>22.917000000000002</v>
      </c>
      <c r="J17" s="7">
        <v>5.9790000000000001</v>
      </c>
      <c r="K17" s="7">
        <v>73.910197669852082</v>
      </c>
      <c r="L17" s="7">
        <v>14.463519313304724</v>
      </c>
      <c r="M17" s="7">
        <f t="shared" si="0"/>
        <v>0.15622722634695149</v>
      </c>
      <c r="N17" s="7">
        <v>47.6</v>
      </c>
      <c r="O17" s="7">
        <v>0.83</v>
      </c>
      <c r="P17" s="7">
        <v>5.1849999999999996</v>
      </c>
      <c r="Q17" s="7">
        <v>1.0229999999999999</v>
      </c>
      <c r="R17" s="7">
        <v>1.2130000000000001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23">
        <v>0</v>
      </c>
      <c r="AG17" s="24">
        <v>0</v>
      </c>
      <c r="AH17" s="5">
        <v>0</v>
      </c>
      <c r="AI17" s="5">
        <v>0</v>
      </c>
      <c r="AJ17" s="23">
        <v>0</v>
      </c>
      <c r="AK17" s="25">
        <v>0</v>
      </c>
      <c r="AL17" s="26">
        <v>0</v>
      </c>
      <c r="AM17" s="26">
        <v>0</v>
      </c>
      <c r="AN17" s="27">
        <v>0</v>
      </c>
      <c r="AO17" s="26">
        <v>0</v>
      </c>
      <c r="AP17" s="23">
        <v>0</v>
      </c>
      <c r="AQ17" s="5">
        <v>0</v>
      </c>
      <c r="AR17" s="23">
        <v>0</v>
      </c>
      <c r="AS17" s="25">
        <v>0</v>
      </c>
      <c r="AT17" s="5">
        <v>0</v>
      </c>
      <c r="AU17" s="5">
        <v>0</v>
      </c>
      <c r="AV17" s="5">
        <v>0</v>
      </c>
      <c r="AW17" s="23">
        <v>0</v>
      </c>
      <c r="AX17" s="5">
        <v>0</v>
      </c>
      <c r="AY17" s="5">
        <v>0</v>
      </c>
      <c r="AZ17" s="23">
        <v>0</v>
      </c>
      <c r="BA17" s="5">
        <v>0</v>
      </c>
      <c r="BB17" s="5">
        <v>0</v>
      </c>
      <c r="BC17" s="23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23">
        <v>0</v>
      </c>
      <c r="BL17" s="23">
        <v>0</v>
      </c>
      <c r="BM17" s="23">
        <v>0</v>
      </c>
      <c r="BN17" s="23">
        <v>0</v>
      </c>
      <c r="BO17" s="23">
        <v>0</v>
      </c>
      <c r="BP17" s="5">
        <v>0</v>
      </c>
      <c r="BQ17" s="5">
        <v>0</v>
      </c>
      <c r="BR17" s="23">
        <v>0</v>
      </c>
      <c r="BS17" s="28">
        <v>0</v>
      </c>
      <c r="BT17" s="5">
        <v>0</v>
      </c>
      <c r="BU17" s="23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29">
        <v>0</v>
      </c>
      <c r="CG17" s="67">
        <f t="shared" si="1"/>
        <v>0</v>
      </c>
      <c r="CH17" s="69">
        <f t="shared" si="2"/>
        <v>0</v>
      </c>
      <c r="CI17" s="30">
        <f t="shared" si="3"/>
        <v>0</v>
      </c>
      <c r="CJ17" s="30">
        <f t="shared" si="4"/>
        <v>0</v>
      </c>
      <c r="CK17" s="30">
        <f t="shared" si="5"/>
        <v>0</v>
      </c>
      <c r="CL17" s="67">
        <f t="shared" si="6"/>
        <v>0</v>
      </c>
      <c r="CM17" s="30">
        <v>0</v>
      </c>
      <c r="CN17" s="30">
        <v>0</v>
      </c>
      <c r="CO17" s="30">
        <v>0</v>
      </c>
      <c r="CP17" s="30">
        <v>0</v>
      </c>
      <c r="CQ17" s="67">
        <v>0</v>
      </c>
    </row>
    <row r="18" spans="1:95" x14ac:dyDescent="0.3">
      <c r="A18" s="13">
        <v>164</v>
      </c>
      <c r="B18" s="7" t="s">
        <v>0</v>
      </c>
      <c r="C18" s="7" t="s">
        <v>14</v>
      </c>
      <c r="D18" s="7" t="s">
        <v>5</v>
      </c>
      <c r="E18" s="7">
        <v>2</v>
      </c>
      <c r="F18" s="7" t="s">
        <v>6</v>
      </c>
      <c r="G18" s="7">
        <v>7.09</v>
      </c>
      <c r="H18" s="7">
        <v>1</v>
      </c>
      <c r="I18" s="7">
        <v>20.623999999999999</v>
      </c>
      <c r="J18" s="7">
        <v>6.2439999999999998</v>
      </c>
      <c r="K18" s="7">
        <v>69.724592707525218</v>
      </c>
      <c r="L18" s="7">
        <v>11.932299012693937</v>
      </c>
      <c r="M18" s="7">
        <f t="shared" si="0"/>
        <v>0.1270643378908505</v>
      </c>
      <c r="N18" s="7">
        <v>47.87</v>
      </c>
      <c r="O18" s="7">
        <v>0.80900000000000005</v>
      </c>
      <c r="P18" s="7">
        <v>5.0570000000000004</v>
      </c>
      <c r="Q18" s="7">
        <v>1.0269999999999999</v>
      </c>
      <c r="R18" s="7">
        <v>1.492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23">
        <v>0</v>
      </c>
      <c r="AG18" s="24">
        <v>0</v>
      </c>
      <c r="AH18" s="5">
        <v>0</v>
      </c>
      <c r="AI18" s="5">
        <v>0</v>
      </c>
      <c r="AJ18" s="23">
        <v>0</v>
      </c>
      <c r="AK18" s="25">
        <v>0</v>
      </c>
      <c r="AL18" s="26">
        <v>0</v>
      </c>
      <c r="AM18" s="26">
        <v>0</v>
      </c>
      <c r="AN18" s="27">
        <v>0</v>
      </c>
      <c r="AO18" s="26">
        <v>0</v>
      </c>
      <c r="AP18" s="23">
        <v>0</v>
      </c>
      <c r="AQ18" s="5">
        <v>0</v>
      </c>
      <c r="AR18" s="23">
        <v>0</v>
      </c>
      <c r="AS18" s="25">
        <v>0</v>
      </c>
      <c r="AT18" s="5">
        <v>0</v>
      </c>
      <c r="AU18" s="5">
        <v>0</v>
      </c>
      <c r="AV18" s="5">
        <v>0</v>
      </c>
      <c r="AW18" s="23">
        <v>0</v>
      </c>
      <c r="AX18" s="5">
        <v>0</v>
      </c>
      <c r="AY18" s="5">
        <v>0</v>
      </c>
      <c r="AZ18" s="23">
        <v>0</v>
      </c>
      <c r="BA18" s="5">
        <v>0</v>
      </c>
      <c r="BB18" s="5">
        <v>0</v>
      </c>
      <c r="BC18" s="23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23">
        <v>0</v>
      </c>
      <c r="BL18" s="23">
        <v>0</v>
      </c>
      <c r="BM18" s="23">
        <v>0</v>
      </c>
      <c r="BN18" s="23">
        <v>0</v>
      </c>
      <c r="BO18" s="23">
        <v>0</v>
      </c>
      <c r="BP18" s="5">
        <v>0</v>
      </c>
      <c r="BQ18" s="5">
        <v>0</v>
      </c>
      <c r="BR18" s="23">
        <v>0</v>
      </c>
      <c r="BS18" s="28">
        <v>0</v>
      </c>
      <c r="BT18" s="5">
        <v>0</v>
      </c>
      <c r="BU18" s="23">
        <v>0</v>
      </c>
      <c r="BV18" s="5">
        <v>0</v>
      </c>
      <c r="BW18" s="5">
        <v>1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29">
        <v>0</v>
      </c>
      <c r="CG18" s="67">
        <f t="shared" si="1"/>
        <v>1</v>
      </c>
      <c r="CH18" s="69">
        <f t="shared" si="2"/>
        <v>1</v>
      </c>
      <c r="CI18" s="30">
        <f t="shared" si="3"/>
        <v>0</v>
      </c>
      <c r="CJ18" s="30">
        <f t="shared" si="4"/>
        <v>0</v>
      </c>
      <c r="CK18" s="30">
        <f t="shared" si="5"/>
        <v>1</v>
      </c>
      <c r="CL18" s="67">
        <f t="shared" si="6"/>
        <v>1</v>
      </c>
      <c r="CM18" s="30">
        <v>0</v>
      </c>
      <c r="CN18" s="30">
        <v>0</v>
      </c>
      <c r="CO18" s="30">
        <v>0</v>
      </c>
      <c r="CP18" s="30">
        <v>1</v>
      </c>
      <c r="CQ18" s="67">
        <v>0</v>
      </c>
    </row>
    <row r="19" spans="1:95" x14ac:dyDescent="0.3">
      <c r="A19" s="13">
        <v>165</v>
      </c>
      <c r="B19" s="7" t="s">
        <v>0</v>
      </c>
      <c r="C19" s="7" t="s">
        <v>14</v>
      </c>
      <c r="D19" s="7" t="s">
        <v>5</v>
      </c>
      <c r="E19" s="7">
        <v>3</v>
      </c>
      <c r="F19" s="7" t="s">
        <v>6</v>
      </c>
      <c r="G19" s="7">
        <v>6.97</v>
      </c>
      <c r="H19" s="7">
        <v>1</v>
      </c>
      <c r="I19" s="7">
        <v>19.972999999999999</v>
      </c>
      <c r="J19" s="7">
        <v>5.9189999999999996</v>
      </c>
      <c r="K19" s="7">
        <v>70.364992740199256</v>
      </c>
      <c r="L19" s="7">
        <v>15.078909612625541</v>
      </c>
      <c r="M19" s="7">
        <f t="shared" si="0"/>
        <v>0.16344770906384462</v>
      </c>
      <c r="N19" s="7">
        <v>47.91</v>
      </c>
      <c r="O19" s="7">
        <v>0.73199999999999998</v>
      </c>
      <c r="P19" s="7">
        <v>4.5780000000000003</v>
      </c>
      <c r="Q19" s="7">
        <v>0.85799999999999998</v>
      </c>
      <c r="R19" s="7">
        <v>1.1060000000000001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23">
        <v>0</v>
      </c>
      <c r="AG19" s="24">
        <v>0</v>
      </c>
      <c r="AH19" s="5">
        <v>0</v>
      </c>
      <c r="AI19" s="5">
        <v>0</v>
      </c>
      <c r="AJ19" s="23">
        <v>0</v>
      </c>
      <c r="AK19" s="25">
        <v>0</v>
      </c>
      <c r="AL19" s="26">
        <v>0</v>
      </c>
      <c r="AM19" s="26">
        <v>0</v>
      </c>
      <c r="AN19" s="27">
        <v>0</v>
      </c>
      <c r="AO19" s="26">
        <v>0</v>
      </c>
      <c r="AP19" s="23">
        <v>0</v>
      </c>
      <c r="AQ19" s="5">
        <v>0</v>
      </c>
      <c r="AR19" s="23">
        <v>0</v>
      </c>
      <c r="AS19" s="25">
        <v>0</v>
      </c>
      <c r="AT19" s="5">
        <v>0</v>
      </c>
      <c r="AU19" s="5">
        <v>0</v>
      </c>
      <c r="AV19" s="5">
        <v>0</v>
      </c>
      <c r="AW19" s="23">
        <v>0</v>
      </c>
      <c r="AX19" s="5">
        <v>0</v>
      </c>
      <c r="AY19" s="5">
        <v>0</v>
      </c>
      <c r="AZ19" s="23">
        <v>0</v>
      </c>
      <c r="BA19" s="5">
        <v>0</v>
      </c>
      <c r="BB19" s="5">
        <v>0</v>
      </c>
      <c r="BC19" s="23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23">
        <v>0</v>
      </c>
      <c r="BL19" s="23">
        <v>0</v>
      </c>
      <c r="BM19" s="23">
        <v>0</v>
      </c>
      <c r="BN19" s="23">
        <v>0</v>
      </c>
      <c r="BO19" s="23">
        <v>0</v>
      </c>
      <c r="BP19" s="5">
        <v>0</v>
      </c>
      <c r="BQ19" s="5">
        <v>0</v>
      </c>
      <c r="BR19" s="23">
        <v>0</v>
      </c>
      <c r="BS19" s="28">
        <v>0</v>
      </c>
      <c r="BT19" s="5">
        <v>0</v>
      </c>
      <c r="BU19" s="23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29">
        <v>0</v>
      </c>
      <c r="CG19" s="67">
        <f t="shared" si="1"/>
        <v>0</v>
      </c>
      <c r="CH19" s="69">
        <f t="shared" si="2"/>
        <v>0</v>
      </c>
      <c r="CI19" s="30">
        <f t="shared" si="3"/>
        <v>0</v>
      </c>
      <c r="CJ19" s="30">
        <f t="shared" si="4"/>
        <v>0</v>
      </c>
      <c r="CK19" s="30">
        <f t="shared" si="5"/>
        <v>0</v>
      </c>
      <c r="CL19" s="67">
        <f t="shared" si="6"/>
        <v>0</v>
      </c>
      <c r="CM19" s="30">
        <v>0</v>
      </c>
      <c r="CN19" s="30">
        <v>0</v>
      </c>
      <c r="CO19" s="30">
        <v>0</v>
      </c>
      <c r="CP19" s="30">
        <v>0</v>
      </c>
      <c r="CQ19" s="67">
        <v>0</v>
      </c>
    </row>
    <row r="20" spans="1:95" x14ac:dyDescent="0.3">
      <c r="A20" s="13">
        <v>170</v>
      </c>
      <c r="B20" s="7" t="s">
        <v>0</v>
      </c>
      <c r="C20" s="7" t="s">
        <v>1</v>
      </c>
      <c r="D20" s="7" t="s">
        <v>5</v>
      </c>
      <c r="E20" s="7">
        <v>1</v>
      </c>
      <c r="F20" s="7" t="s">
        <v>6</v>
      </c>
      <c r="G20" s="7">
        <v>7.05</v>
      </c>
      <c r="H20" s="7">
        <v>1</v>
      </c>
      <c r="I20" s="7">
        <v>22.440999999999999</v>
      </c>
      <c r="J20" s="7">
        <v>6.1580000000000004</v>
      </c>
      <c r="K20" s="7">
        <v>72.55915511786462</v>
      </c>
      <c r="L20" s="7">
        <v>12.65248226950354</v>
      </c>
      <c r="M20" s="7">
        <f t="shared" si="0"/>
        <v>0.13527556732186857</v>
      </c>
      <c r="N20" s="7">
        <v>48.2</v>
      </c>
      <c r="O20" s="7">
        <v>0.72899999999999998</v>
      </c>
      <c r="P20" s="7">
        <v>4.5549999999999997</v>
      </c>
      <c r="Q20" s="7">
        <v>2.16</v>
      </c>
      <c r="R20" s="7">
        <v>2.0859999999999999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23">
        <v>0</v>
      </c>
      <c r="AG20" s="24">
        <v>38</v>
      </c>
      <c r="AH20" s="5">
        <v>2</v>
      </c>
      <c r="AI20" s="5">
        <v>0</v>
      </c>
      <c r="AJ20" s="23">
        <v>2</v>
      </c>
      <c r="AK20" s="25">
        <v>0</v>
      </c>
      <c r="AL20" s="26">
        <v>0</v>
      </c>
      <c r="AM20" s="26">
        <v>0</v>
      </c>
      <c r="AN20" s="27">
        <v>0</v>
      </c>
      <c r="AO20" s="26">
        <v>0</v>
      </c>
      <c r="AP20" s="23">
        <v>0</v>
      </c>
      <c r="AQ20" s="5">
        <v>0</v>
      </c>
      <c r="AR20" s="23">
        <v>0</v>
      </c>
      <c r="AS20" s="25">
        <v>0</v>
      </c>
      <c r="AT20" s="5">
        <v>0</v>
      </c>
      <c r="AU20" s="5">
        <v>0</v>
      </c>
      <c r="AV20" s="5">
        <v>0</v>
      </c>
      <c r="AW20" s="23">
        <v>0</v>
      </c>
      <c r="AX20" s="5">
        <v>0</v>
      </c>
      <c r="AY20" s="5">
        <v>0</v>
      </c>
      <c r="AZ20" s="23">
        <v>0</v>
      </c>
      <c r="BA20" s="5">
        <v>0</v>
      </c>
      <c r="BB20" s="5">
        <v>0</v>
      </c>
      <c r="BC20" s="23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23">
        <v>0</v>
      </c>
      <c r="BL20" s="23">
        <v>0</v>
      </c>
      <c r="BM20" s="23">
        <v>0</v>
      </c>
      <c r="BN20" s="23">
        <v>0</v>
      </c>
      <c r="BO20" s="23">
        <v>0</v>
      </c>
      <c r="BP20" s="5">
        <v>0</v>
      </c>
      <c r="BQ20" s="5">
        <v>0</v>
      </c>
      <c r="BR20" s="23">
        <v>0</v>
      </c>
      <c r="BS20" s="28">
        <v>0</v>
      </c>
      <c r="BT20" s="5">
        <v>0</v>
      </c>
      <c r="BU20" s="23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29">
        <v>0</v>
      </c>
      <c r="CG20" s="67">
        <f t="shared" si="1"/>
        <v>42</v>
      </c>
      <c r="CH20" s="69">
        <f t="shared" si="2"/>
        <v>3</v>
      </c>
      <c r="CI20" s="30">
        <f t="shared" si="3"/>
        <v>0</v>
      </c>
      <c r="CJ20" s="30">
        <f t="shared" si="4"/>
        <v>42</v>
      </c>
      <c r="CK20" s="30">
        <f t="shared" si="5"/>
        <v>0</v>
      </c>
      <c r="CL20" s="67">
        <f t="shared" si="6"/>
        <v>1</v>
      </c>
      <c r="CM20" s="30">
        <v>42</v>
      </c>
      <c r="CN20" s="30">
        <v>0</v>
      </c>
      <c r="CO20" s="30">
        <v>0</v>
      </c>
      <c r="CP20" s="30">
        <v>0</v>
      </c>
      <c r="CQ20" s="67">
        <v>1</v>
      </c>
    </row>
    <row r="21" spans="1:95" x14ac:dyDescent="0.3">
      <c r="A21" s="13">
        <v>172</v>
      </c>
      <c r="B21" s="7" t="s">
        <v>0</v>
      </c>
      <c r="C21" s="7" t="s">
        <v>1</v>
      </c>
      <c r="D21" s="7" t="s">
        <v>5</v>
      </c>
      <c r="E21" s="7">
        <v>2</v>
      </c>
      <c r="F21" s="7" t="s">
        <v>6</v>
      </c>
      <c r="G21" s="7">
        <v>7</v>
      </c>
      <c r="H21" s="7">
        <v>1</v>
      </c>
      <c r="I21" s="7">
        <v>21.731000000000002</v>
      </c>
      <c r="J21" s="7">
        <v>6.0979999999999999</v>
      </c>
      <c r="K21" s="7">
        <v>71.938705075698323</v>
      </c>
      <c r="L21" s="7">
        <v>12.885714285714286</v>
      </c>
      <c r="M21" s="7">
        <f t="shared" si="0"/>
        <v>0.1379493004892503</v>
      </c>
      <c r="N21" s="7">
        <v>48.59</v>
      </c>
      <c r="O21" s="7">
        <v>0.66400000000000003</v>
      </c>
      <c r="P21" s="7">
        <v>4.1479999999999997</v>
      </c>
      <c r="Q21" s="7">
        <v>0.86799999999999999</v>
      </c>
      <c r="R21" s="7">
        <v>1.224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23">
        <v>0</v>
      </c>
      <c r="AG21" s="24">
        <v>0</v>
      </c>
      <c r="AH21" s="5">
        <v>0</v>
      </c>
      <c r="AI21" s="5">
        <v>0</v>
      </c>
      <c r="AJ21" s="23">
        <v>4</v>
      </c>
      <c r="AK21" s="25">
        <v>1</v>
      </c>
      <c r="AL21" s="26">
        <v>0</v>
      </c>
      <c r="AM21" s="26">
        <v>0</v>
      </c>
      <c r="AN21" s="27">
        <v>0</v>
      </c>
      <c r="AO21" s="26">
        <v>0</v>
      </c>
      <c r="AP21" s="23">
        <v>0</v>
      </c>
      <c r="AQ21" s="5">
        <v>0</v>
      </c>
      <c r="AR21" s="23">
        <v>0</v>
      </c>
      <c r="AS21" s="25">
        <v>0</v>
      </c>
      <c r="AT21" s="5">
        <v>0</v>
      </c>
      <c r="AU21" s="5">
        <v>0</v>
      </c>
      <c r="AV21" s="5">
        <v>0</v>
      </c>
      <c r="AW21" s="23">
        <v>0</v>
      </c>
      <c r="AX21" s="5">
        <v>0</v>
      </c>
      <c r="AY21" s="5">
        <v>0</v>
      </c>
      <c r="AZ21" s="23">
        <v>0</v>
      </c>
      <c r="BA21" s="5">
        <v>0</v>
      </c>
      <c r="BB21" s="5">
        <v>0</v>
      </c>
      <c r="BC21" s="23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23">
        <v>0</v>
      </c>
      <c r="BL21" s="23">
        <v>0</v>
      </c>
      <c r="BM21" s="23">
        <v>0</v>
      </c>
      <c r="BN21" s="23">
        <v>0</v>
      </c>
      <c r="BO21" s="23">
        <v>0</v>
      </c>
      <c r="BP21" s="5">
        <v>0</v>
      </c>
      <c r="BQ21" s="5">
        <v>0</v>
      </c>
      <c r="BR21" s="23">
        <v>0</v>
      </c>
      <c r="BS21" s="28">
        <v>0</v>
      </c>
      <c r="BT21" s="5">
        <v>0</v>
      </c>
      <c r="BU21" s="23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29">
        <v>0</v>
      </c>
      <c r="CG21" s="67">
        <f t="shared" si="1"/>
        <v>5</v>
      </c>
      <c r="CH21" s="69">
        <f t="shared" si="2"/>
        <v>2</v>
      </c>
      <c r="CI21" s="30">
        <f t="shared" si="3"/>
        <v>0</v>
      </c>
      <c r="CJ21" s="30">
        <f t="shared" si="4"/>
        <v>4</v>
      </c>
      <c r="CK21" s="30">
        <f t="shared" si="5"/>
        <v>1</v>
      </c>
      <c r="CL21" s="67">
        <f t="shared" si="6"/>
        <v>2</v>
      </c>
      <c r="CM21" s="30">
        <v>5</v>
      </c>
      <c r="CN21" s="30">
        <v>0</v>
      </c>
      <c r="CO21" s="30">
        <v>0</v>
      </c>
      <c r="CP21" s="30">
        <v>0</v>
      </c>
      <c r="CQ21" s="67">
        <v>1</v>
      </c>
    </row>
    <row r="22" spans="1:95" x14ac:dyDescent="0.3">
      <c r="A22" s="13">
        <v>251</v>
      </c>
      <c r="B22" s="7" t="s">
        <v>2</v>
      </c>
      <c r="C22" s="7" t="s">
        <v>14</v>
      </c>
      <c r="D22" s="7" t="s">
        <v>4</v>
      </c>
      <c r="E22" s="7">
        <v>5</v>
      </c>
      <c r="F22" s="7" t="s">
        <v>6</v>
      </c>
      <c r="G22" s="7">
        <v>6.9600000000000009</v>
      </c>
      <c r="H22" s="7">
        <v>1</v>
      </c>
      <c r="I22" s="7">
        <v>36.487299999999998</v>
      </c>
      <c r="J22" s="7">
        <v>5.8516000000000004</v>
      </c>
      <c r="K22" s="7">
        <v>83.962639055232913</v>
      </c>
      <c r="L22" s="7">
        <v>15.925287356321844</v>
      </c>
      <c r="M22" s="7">
        <f t="shared" si="0"/>
        <v>0.17346434622453441</v>
      </c>
      <c r="N22" s="7">
        <v>47.89</v>
      </c>
      <c r="O22" s="7">
        <v>1.1859999999999999</v>
      </c>
      <c r="P22" s="7">
        <v>7.4119999999999999</v>
      </c>
      <c r="Q22" s="7">
        <v>1.274</v>
      </c>
      <c r="R22" s="7">
        <v>1.1739999999999999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23">
        <v>0</v>
      </c>
      <c r="AG22" s="24">
        <v>0</v>
      </c>
      <c r="AH22" s="5">
        <v>0</v>
      </c>
      <c r="AI22" s="5">
        <v>0</v>
      </c>
      <c r="AJ22" s="23">
        <v>0</v>
      </c>
      <c r="AK22" s="25">
        <v>0</v>
      </c>
      <c r="AL22" s="26">
        <v>0</v>
      </c>
      <c r="AM22" s="26">
        <v>0</v>
      </c>
      <c r="AN22" s="27">
        <v>0</v>
      </c>
      <c r="AO22" s="26">
        <v>0</v>
      </c>
      <c r="AP22" s="23">
        <v>0</v>
      </c>
      <c r="AQ22" s="5">
        <v>1</v>
      </c>
      <c r="AR22" s="23">
        <v>0</v>
      </c>
      <c r="AS22" s="25">
        <v>0</v>
      </c>
      <c r="AT22" s="5">
        <v>0</v>
      </c>
      <c r="AU22" s="5">
        <v>0</v>
      </c>
      <c r="AV22" s="5">
        <v>0</v>
      </c>
      <c r="AW22" s="23">
        <v>0</v>
      </c>
      <c r="AX22" s="5">
        <v>0</v>
      </c>
      <c r="AY22" s="5">
        <v>0</v>
      </c>
      <c r="AZ22" s="23">
        <v>0</v>
      </c>
      <c r="BA22" s="5">
        <v>0</v>
      </c>
      <c r="BB22" s="5">
        <v>0</v>
      </c>
      <c r="BC22" s="23">
        <v>0</v>
      </c>
      <c r="BD22" s="5">
        <v>0</v>
      </c>
      <c r="BE22" s="5">
        <v>0</v>
      </c>
      <c r="BF22" s="5">
        <v>0</v>
      </c>
      <c r="BG22" s="5">
        <v>0</v>
      </c>
      <c r="BH22" s="5">
        <v>1</v>
      </c>
      <c r="BI22" s="5">
        <v>0</v>
      </c>
      <c r="BJ22" s="5">
        <v>0</v>
      </c>
      <c r="BK22" s="23">
        <v>0</v>
      </c>
      <c r="BL22" s="23">
        <v>0</v>
      </c>
      <c r="BM22" s="23">
        <v>0</v>
      </c>
      <c r="BN22" s="23">
        <v>0</v>
      </c>
      <c r="BO22" s="23">
        <v>0</v>
      </c>
      <c r="BP22" s="5">
        <v>0</v>
      </c>
      <c r="BQ22" s="5">
        <v>0</v>
      </c>
      <c r="BR22" s="23">
        <v>0</v>
      </c>
      <c r="BS22" s="28">
        <v>0</v>
      </c>
      <c r="BT22" s="5">
        <v>0</v>
      </c>
      <c r="BU22" s="23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29">
        <v>0</v>
      </c>
      <c r="CG22" s="67">
        <f t="shared" si="1"/>
        <v>3</v>
      </c>
      <c r="CH22" s="69">
        <f t="shared" si="2"/>
        <v>3</v>
      </c>
      <c r="CI22" s="30">
        <f t="shared" si="3"/>
        <v>0</v>
      </c>
      <c r="CJ22" s="30">
        <f t="shared" si="4"/>
        <v>2</v>
      </c>
      <c r="CK22" s="30">
        <f t="shared" si="5"/>
        <v>1</v>
      </c>
      <c r="CL22" s="67">
        <f t="shared" si="6"/>
        <v>2</v>
      </c>
      <c r="CM22" s="30">
        <v>2</v>
      </c>
      <c r="CN22" s="30">
        <v>0</v>
      </c>
      <c r="CO22" s="30">
        <v>0</v>
      </c>
      <c r="CP22" s="30">
        <v>1</v>
      </c>
      <c r="CQ22" s="67">
        <v>1</v>
      </c>
    </row>
    <row r="23" spans="1:95" x14ac:dyDescent="0.3">
      <c r="A23" s="13">
        <v>263</v>
      </c>
      <c r="B23" s="7" t="s">
        <v>2</v>
      </c>
      <c r="C23" s="7" t="s">
        <v>14</v>
      </c>
      <c r="D23" s="7" t="s">
        <v>4</v>
      </c>
      <c r="E23" s="7">
        <v>4</v>
      </c>
      <c r="F23" s="7" t="s">
        <v>6</v>
      </c>
      <c r="G23" s="7">
        <v>7.07</v>
      </c>
      <c r="H23" s="7">
        <v>1</v>
      </c>
      <c r="I23" s="7">
        <v>36.5548</v>
      </c>
      <c r="J23" s="7">
        <v>6.1051000000000002</v>
      </c>
      <c r="K23" s="7">
        <v>83.298773348506899</v>
      </c>
      <c r="L23" s="7">
        <v>13.647807637906647</v>
      </c>
      <c r="M23" s="7">
        <f t="shared" si="0"/>
        <v>0.1467359924635844</v>
      </c>
      <c r="N23" s="7">
        <v>48.39</v>
      </c>
      <c r="O23" s="7">
        <v>1.32</v>
      </c>
      <c r="P23" s="7">
        <v>8.2509999999999994</v>
      </c>
      <c r="Q23" s="7">
        <v>2.14</v>
      </c>
      <c r="R23" s="7">
        <v>1.9729999999999999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1</v>
      </c>
      <c r="AE23" s="5">
        <v>0</v>
      </c>
      <c r="AF23" s="23">
        <v>0</v>
      </c>
      <c r="AG23" s="24">
        <v>1</v>
      </c>
      <c r="AH23" s="5">
        <v>1</v>
      </c>
      <c r="AI23" s="5">
        <v>0</v>
      </c>
      <c r="AJ23" s="23">
        <v>0</v>
      </c>
      <c r="AK23" s="25">
        <v>3</v>
      </c>
      <c r="AL23" s="26">
        <v>0</v>
      </c>
      <c r="AM23" s="26">
        <v>0</v>
      </c>
      <c r="AN23" s="27">
        <v>0</v>
      </c>
      <c r="AO23" s="26">
        <v>0</v>
      </c>
      <c r="AP23" s="23">
        <v>0</v>
      </c>
      <c r="AQ23" s="5">
        <v>0</v>
      </c>
      <c r="AR23" s="23">
        <v>0</v>
      </c>
      <c r="AS23" s="25">
        <v>0</v>
      </c>
      <c r="AT23" s="5">
        <v>0</v>
      </c>
      <c r="AU23" s="5">
        <v>0</v>
      </c>
      <c r="AV23" s="5">
        <v>0</v>
      </c>
      <c r="AW23" s="23">
        <v>0</v>
      </c>
      <c r="AX23" s="5">
        <v>0</v>
      </c>
      <c r="AY23" s="5">
        <v>0</v>
      </c>
      <c r="AZ23" s="23">
        <v>0</v>
      </c>
      <c r="BA23" s="5">
        <v>0</v>
      </c>
      <c r="BB23" s="5">
        <v>0</v>
      </c>
      <c r="BC23" s="23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23">
        <v>0</v>
      </c>
      <c r="BL23" s="23">
        <v>0</v>
      </c>
      <c r="BM23" s="23">
        <v>0</v>
      </c>
      <c r="BN23" s="23">
        <v>0</v>
      </c>
      <c r="BO23" s="23">
        <v>0</v>
      </c>
      <c r="BP23" s="5">
        <v>0</v>
      </c>
      <c r="BQ23" s="5">
        <v>0</v>
      </c>
      <c r="BR23" s="23">
        <v>0</v>
      </c>
      <c r="BS23" s="28">
        <v>0</v>
      </c>
      <c r="BT23" s="5">
        <v>0</v>
      </c>
      <c r="BU23" s="23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29">
        <v>0</v>
      </c>
      <c r="CG23" s="67">
        <f t="shared" si="1"/>
        <v>6</v>
      </c>
      <c r="CH23" s="69">
        <f t="shared" si="2"/>
        <v>4</v>
      </c>
      <c r="CI23" s="30">
        <f t="shared" si="3"/>
        <v>0</v>
      </c>
      <c r="CJ23" s="30">
        <f t="shared" si="4"/>
        <v>3</v>
      </c>
      <c r="CK23" s="30">
        <f t="shared" si="5"/>
        <v>3</v>
      </c>
      <c r="CL23" s="67">
        <f t="shared" si="6"/>
        <v>2</v>
      </c>
      <c r="CM23" s="30">
        <v>5</v>
      </c>
      <c r="CN23" s="30">
        <v>0</v>
      </c>
      <c r="CO23" s="30">
        <v>0</v>
      </c>
      <c r="CP23" s="30">
        <v>1</v>
      </c>
      <c r="CQ23" s="67">
        <v>1</v>
      </c>
    </row>
    <row r="24" spans="1:95" x14ac:dyDescent="0.3">
      <c r="A24" s="13">
        <v>264</v>
      </c>
      <c r="B24" s="7" t="s">
        <v>2</v>
      </c>
      <c r="C24" s="7" t="s">
        <v>14</v>
      </c>
      <c r="D24" s="7" t="s">
        <v>4</v>
      </c>
      <c r="E24" s="7">
        <v>3</v>
      </c>
      <c r="F24" s="7" t="s">
        <v>6</v>
      </c>
      <c r="G24" s="7">
        <v>6.9499999999999993</v>
      </c>
      <c r="H24" s="7">
        <v>1</v>
      </c>
      <c r="I24" s="7">
        <v>33.957999999999998</v>
      </c>
      <c r="J24" s="7">
        <v>5.8372000000000002</v>
      </c>
      <c r="K24" s="7">
        <v>82.810530655515635</v>
      </c>
      <c r="L24" s="7">
        <v>16.011510791366895</v>
      </c>
      <c r="M24" s="7">
        <f t="shared" si="0"/>
        <v>0.17449042976524706</v>
      </c>
      <c r="N24" s="7">
        <v>48.52</v>
      </c>
      <c r="O24" s="7">
        <v>1.0449999999999999</v>
      </c>
      <c r="P24" s="7">
        <v>6.5289999999999999</v>
      </c>
      <c r="Q24" s="7">
        <v>1.333</v>
      </c>
      <c r="R24" s="7">
        <v>1.161</v>
      </c>
      <c r="S24" s="5">
        <v>5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23">
        <v>0</v>
      </c>
      <c r="AG24" s="24">
        <v>0</v>
      </c>
      <c r="AH24" s="5">
        <v>0</v>
      </c>
      <c r="AI24" s="5">
        <v>0</v>
      </c>
      <c r="AJ24" s="23">
        <v>0</v>
      </c>
      <c r="AK24" s="25">
        <v>0</v>
      </c>
      <c r="AL24" s="26">
        <v>0</v>
      </c>
      <c r="AM24" s="26">
        <v>1</v>
      </c>
      <c r="AN24" s="27">
        <v>0</v>
      </c>
      <c r="AO24" s="26">
        <v>0</v>
      </c>
      <c r="AP24" s="23">
        <v>0</v>
      </c>
      <c r="AQ24" s="5">
        <v>0</v>
      </c>
      <c r="AR24" s="23">
        <v>0</v>
      </c>
      <c r="AS24" s="25">
        <v>0</v>
      </c>
      <c r="AT24" s="5">
        <v>0</v>
      </c>
      <c r="AU24" s="5">
        <v>0</v>
      </c>
      <c r="AV24" s="5">
        <v>0</v>
      </c>
      <c r="AW24" s="23">
        <v>0</v>
      </c>
      <c r="AX24" s="5">
        <v>0</v>
      </c>
      <c r="AY24" s="5">
        <v>0</v>
      </c>
      <c r="AZ24" s="23">
        <v>0</v>
      </c>
      <c r="BA24" s="5">
        <v>0</v>
      </c>
      <c r="BB24" s="5">
        <v>0</v>
      </c>
      <c r="BC24" s="23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23">
        <v>0</v>
      </c>
      <c r="BL24" s="23">
        <v>0</v>
      </c>
      <c r="BM24" s="23">
        <v>0</v>
      </c>
      <c r="BN24" s="23">
        <v>0</v>
      </c>
      <c r="BO24" s="23">
        <v>0</v>
      </c>
      <c r="BP24" s="5">
        <v>0</v>
      </c>
      <c r="BQ24" s="5">
        <v>0</v>
      </c>
      <c r="BR24" s="23">
        <v>0</v>
      </c>
      <c r="BS24" s="28">
        <v>0</v>
      </c>
      <c r="BT24" s="5">
        <v>0</v>
      </c>
      <c r="BU24" s="23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29">
        <v>0</v>
      </c>
      <c r="CG24" s="67">
        <f t="shared" si="1"/>
        <v>6</v>
      </c>
      <c r="CH24" s="69">
        <f t="shared" si="2"/>
        <v>2</v>
      </c>
      <c r="CI24" s="30">
        <f t="shared" si="3"/>
        <v>0</v>
      </c>
      <c r="CJ24" s="30">
        <f t="shared" si="4"/>
        <v>6</v>
      </c>
      <c r="CK24" s="30">
        <f t="shared" si="5"/>
        <v>0</v>
      </c>
      <c r="CL24" s="67">
        <f t="shared" si="6"/>
        <v>1</v>
      </c>
      <c r="CM24" s="30">
        <v>6</v>
      </c>
      <c r="CN24" s="30">
        <v>0</v>
      </c>
      <c r="CO24" s="30">
        <v>0</v>
      </c>
      <c r="CP24" s="30">
        <v>0</v>
      </c>
      <c r="CQ24" s="67">
        <v>1</v>
      </c>
    </row>
    <row r="25" spans="1:95" x14ac:dyDescent="0.3">
      <c r="A25" s="13">
        <v>267</v>
      </c>
      <c r="B25" s="7" t="s">
        <v>2</v>
      </c>
      <c r="C25" s="7" t="s">
        <v>1</v>
      </c>
      <c r="D25" s="7" t="s">
        <v>4</v>
      </c>
      <c r="E25" s="7">
        <v>3</v>
      </c>
      <c r="F25" s="7" t="s">
        <v>6</v>
      </c>
      <c r="G25" s="7">
        <v>7.08</v>
      </c>
      <c r="H25" s="7">
        <v>1</v>
      </c>
      <c r="I25" s="7">
        <v>35.299799999999998</v>
      </c>
      <c r="J25" s="7">
        <v>6.056</v>
      </c>
      <c r="K25" s="7">
        <v>82.844095433968462</v>
      </c>
      <c r="L25" s="7">
        <v>14.463276836158192</v>
      </c>
      <c r="M25" s="7">
        <f t="shared" si="0"/>
        <v>0.15622439157048071</v>
      </c>
      <c r="N25" s="7">
        <v>48.66</v>
      </c>
      <c r="O25" s="7">
        <v>1.3120000000000001</v>
      </c>
      <c r="P25" s="7">
        <v>8.1999999999999993</v>
      </c>
      <c r="Q25" s="7">
        <v>2.6829999999999998</v>
      </c>
      <c r="R25" s="7">
        <v>2.2349999999999999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</v>
      </c>
      <c r="AC25" s="5">
        <v>0</v>
      </c>
      <c r="AD25" s="5">
        <v>0</v>
      </c>
      <c r="AE25" s="5">
        <v>0</v>
      </c>
      <c r="AF25" s="23">
        <v>0</v>
      </c>
      <c r="AG25" s="24">
        <v>0</v>
      </c>
      <c r="AH25" s="5">
        <v>0</v>
      </c>
      <c r="AI25" s="5">
        <v>0</v>
      </c>
      <c r="AJ25" s="23">
        <v>0</v>
      </c>
      <c r="AK25" s="25">
        <v>0</v>
      </c>
      <c r="AL25" s="26">
        <v>0</v>
      </c>
      <c r="AM25" s="26">
        <v>0</v>
      </c>
      <c r="AN25" s="27">
        <v>0</v>
      </c>
      <c r="AO25" s="26">
        <v>0</v>
      </c>
      <c r="AP25" s="23">
        <v>0</v>
      </c>
      <c r="AQ25" s="5">
        <v>0</v>
      </c>
      <c r="AR25" s="23">
        <v>0</v>
      </c>
      <c r="AS25" s="25">
        <v>0</v>
      </c>
      <c r="AT25" s="5">
        <v>0</v>
      </c>
      <c r="AU25" s="5">
        <v>0</v>
      </c>
      <c r="AV25" s="5">
        <v>0</v>
      </c>
      <c r="AW25" s="23">
        <v>0</v>
      </c>
      <c r="AX25" s="5">
        <v>0</v>
      </c>
      <c r="AY25" s="5">
        <v>0</v>
      </c>
      <c r="AZ25" s="23">
        <v>0</v>
      </c>
      <c r="BA25" s="5">
        <v>0</v>
      </c>
      <c r="BB25" s="5">
        <v>0</v>
      </c>
      <c r="BC25" s="23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23">
        <v>0</v>
      </c>
      <c r="BL25" s="23">
        <v>0</v>
      </c>
      <c r="BM25" s="23">
        <v>0</v>
      </c>
      <c r="BN25" s="23">
        <v>0</v>
      </c>
      <c r="BO25" s="23">
        <v>0</v>
      </c>
      <c r="BP25" s="5">
        <v>0</v>
      </c>
      <c r="BQ25" s="5">
        <v>0</v>
      </c>
      <c r="BR25" s="23">
        <v>0</v>
      </c>
      <c r="BS25" s="28">
        <v>0</v>
      </c>
      <c r="BT25" s="5">
        <v>0</v>
      </c>
      <c r="BU25" s="23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29">
        <v>0</v>
      </c>
      <c r="CG25" s="67">
        <f t="shared" si="1"/>
        <v>1</v>
      </c>
      <c r="CH25" s="69">
        <f t="shared" si="2"/>
        <v>1</v>
      </c>
      <c r="CI25" s="30">
        <f t="shared" si="3"/>
        <v>0</v>
      </c>
      <c r="CJ25" s="30">
        <f t="shared" si="4"/>
        <v>1</v>
      </c>
      <c r="CK25" s="30">
        <f t="shared" si="5"/>
        <v>0</v>
      </c>
      <c r="CL25" s="67">
        <f t="shared" si="6"/>
        <v>1</v>
      </c>
      <c r="CM25" s="30">
        <v>1</v>
      </c>
      <c r="CN25" s="30">
        <v>0</v>
      </c>
      <c r="CO25" s="30">
        <v>0</v>
      </c>
      <c r="CP25" s="30">
        <v>0</v>
      </c>
      <c r="CQ25" s="67">
        <v>1</v>
      </c>
    </row>
    <row r="26" spans="1:95" x14ac:dyDescent="0.3">
      <c r="A26" s="13">
        <v>271</v>
      </c>
      <c r="B26" s="7" t="s">
        <v>2</v>
      </c>
      <c r="C26" s="7" t="s">
        <v>1</v>
      </c>
      <c r="D26" s="7" t="s">
        <v>4</v>
      </c>
      <c r="E26" s="7">
        <v>5</v>
      </c>
      <c r="F26" s="7" t="s">
        <v>6</v>
      </c>
      <c r="G26" s="7">
        <v>6.99</v>
      </c>
      <c r="H26" s="7">
        <v>1</v>
      </c>
      <c r="I26" s="7">
        <v>32.6357</v>
      </c>
      <c r="J26" s="7">
        <v>5.9353999999999996</v>
      </c>
      <c r="K26" s="7">
        <v>81.813167788648627</v>
      </c>
      <c r="L26" s="7">
        <v>15.087267525035774</v>
      </c>
      <c r="M26" s="7">
        <f t="shared" si="0"/>
        <v>0.16354613365649776</v>
      </c>
      <c r="N26" s="7">
        <v>48.39</v>
      </c>
      <c r="O26" s="7">
        <v>1.111</v>
      </c>
      <c r="P26" s="7">
        <v>6.9420000000000002</v>
      </c>
      <c r="Q26" s="7">
        <v>1.3959999999999999</v>
      </c>
      <c r="R26" s="7">
        <v>1.6379999999999999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23">
        <v>0</v>
      </c>
      <c r="AG26" s="24">
        <v>1</v>
      </c>
      <c r="AH26" s="5">
        <v>0</v>
      </c>
      <c r="AI26" s="5">
        <v>0</v>
      </c>
      <c r="AJ26" s="23">
        <v>1</v>
      </c>
      <c r="AK26" s="25">
        <v>1</v>
      </c>
      <c r="AL26" s="26">
        <v>0</v>
      </c>
      <c r="AM26" s="26">
        <v>0</v>
      </c>
      <c r="AN26" s="27">
        <v>0</v>
      </c>
      <c r="AO26" s="26">
        <v>0</v>
      </c>
      <c r="AP26" s="23">
        <v>0</v>
      </c>
      <c r="AQ26" s="5">
        <v>0</v>
      </c>
      <c r="AR26" s="23">
        <v>0</v>
      </c>
      <c r="AS26" s="25">
        <v>0</v>
      </c>
      <c r="AT26" s="5">
        <v>0</v>
      </c>
      <c r="AU26" s="5">
        <v>0</v>
      </c>
      <c r="AV26" s="5">
        <v>0</v>
      </c>
      <c r="AW26" s="23">
        <v>0</v>
      </c>
      <c r="AX26" s="5">
        <v>0</v>
      </c>
      <c r="AY26" s="5">
        <v>0</v>
      </c>
      <c r="AZ26" s="23">
        <v>0</v>
      </c>
      <c r="BA26" s="5">
        <v>0</v>
      </c>
      <c r="BB26" s="5">
        <v>0</v>
      </c>
      <c r="BC26" s="23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  <c r="BP26" s="5">
        <v>0</v>
      </c>
      <c r="BQ26" s="5">
        <v>0</v>
      </c>
      <c r="BR26" s="23">
        <v>0</v>
      </c>
      <c r="BS26" s="28">
        <v>0</v>
      </c>
      <c r="BT26" s="5">
        <v>0</v>
      </c>
      <c r="BU26" s="23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29">
        <v>0</v>
      </c>
      <c r="CG26" s="67">
        <f t="shared" si="1"/>
        <v>3</v>
      </c>
      <c r="CH26" s="69">
        <f t="shared" si="2"/>
        <v>3</v>
      </c>
      <c r="CI26" s="30">
        <f t="shared" si="3"/>
        <v>0</v>
      </c>
      <c r="CJ26" s="30">
        <f t="shared" si="4"/>
        <v>2</v>
      </c>
      <c r="CK26" s="30">
        <f t="shared" si="5"/>
        <v>1</v>
      </c>
      <c r="CL26" s="67">
        <f t="shared" si="6"/>
        <v>2</v>
      </c>
      <c r="CM26" s="30">
        <v>3</v>
      </c>
      <c r="CN26" s="30">
        <v>0</v>
      </c>
      <c r="CO26" s="30">
        <v>0</v>
      </c>
      <c r="CP26" s="30">
        <v>0</v>
      </c>
      <c r="CQ26" s="67">
        <v>1</v>
      </c>
    </row>
    <row r="27" spans="1:95" x14ac:dyDescent="0.3">
      <c r="A27" s="13">
        <v>277</v>
      </c>
      <c r="B27" s="7" t="s">
        <v>2</v>
      </c>
      <c r="C27" s="7" t="s">
        <v>1</v>
      </c>
      <c r="D27" s="7" t="s">
        <v>4</v>
      </c>
      <c r="E27" s="7">
        <v>2</v>
      </c>
      <c r="F27" s="7" t="s">
        <v>6</v>
      </c>
      <c r="G27" s="7">
        <v>6.96</v>
      </c>
      <c r="H27" s="7">
        <v>1</v>
      </c>
      <c r="I27" s="7">
        <v>32.385199999999998</v>
      </c>
      <c r="J27" s="7">
        <v>5.8314000000000004</v>
      </c>
      <c r="K27" s="7">
        <v>81.993626718377527</v>
      </c>
      <c r="L27" s="7">
        <v>16.215517241379303</v>
      </c>
      <c r="M27" s="7">
        <f t="shared" si="0"/>
        <v>0.17692236559098537</v>
      </c>
      <c r="N27" s="7">
        <v>47.68</v>
      </c>
      <c r="O27" s="7">
        <v>1.054</v>
      </c>
      <c r="P27" s="7">
        <v>6.5869999999999997</v>
      </c>
      <c r="Q27" s="7">
        <v>1.3089999999999999</v>
      </c>
      <c r="R27" s="7">
        <v>1.2829999999999999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23">
        <v>0</v>
      </c>
      <c r="AG27" s="24">
        <v>1</v>
      </c>
      <c r="AH27" s="5">
        <v>0</v>
      </c>
      <c r="AI27" s="5">
        <v>0</v>
      </c>
      <c r="AJ27" s="23">
        <v>2</v>
      </c>
      <c r="AK27" s="25">
        <v>0</v>
      </c>
      <c r="AL27" s="26">
        <v>0</v>
      </c>
      <c r="AM27" s="26">
        <v>0</v>
      </c>
      <c r="AN27" s="27">
        <v>0</v>
      </c>
      <c r="AO27" s="26">
        <v>0</v>
      </c>
      <c r="AP27" s="23">
        <v>0</v>
      </c>
      <c r="AQ27" s="5">
        <v>0</v>
      </c>
      <c r="AR27" s="23">
        <v>0</v>
      </c>
      <c r="AS27" s="25">
        <v>48</v>
      </c>
      <c r="AT27" s="5">
        <v>1</v>
      </c>
      <c r="AU27" s="5">
        <v>0</v>
      </c>
      <c r="AV27" s="5">
        <v>0</v>
      </c>
      <c r="AW27" s="23">
        <v>0</v>
      </c>
      <c r="AX27" s="5">
        <v>0</v>
      </c>
      <c r="AY27" s="5">
        <v>0</v>
      </c>
      <c r="AZ27" s="23">
        <v>0</v>
      </c>
      <c r="BA27" s="5">
        <v>0</v>
      </c>
      <c r="BB27" s="5">
        <v>0</v>
      </c>
      <c r="BC27" s="23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23">
        <v>0</v>
      </c>
      <c r="BL27" s="23">
        <v>0</v>
      </c>
      <c r="BM27" s="23">
        <v>0</v>
      </c>
      <c r="BN27" s="23">
        <v>0</v>
      </c>
      <c r="BO27" s="23">
        <v>0</v>
      </c>
      <c r="BP27" s="5">
        <v>0</v>
      </c>
      <c r="BQ27" s="5">
        <v>0</v>
      </c>
      <c r="BR27" s="23">
        <v>0</v>
      </c>
      <c r="BS27" s="28">
        <v>0</v>
      </c>
      <c r="BT27" s="5">
        <v>0</v>
      </c>
      <c r="BU27" s="23">
        <v>0</v>
      </c>
      <c r="BV27" s="5">
        <v>0</v>
      </c>
      <c r="BW27" s="5">
        <v>2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29">
        <v>0</v>
      </c>
      <c r="CG27" s="67">
        <f t="shared" si="1"/>
        <v>54</v>
      </c>
      <c r="CH27" s="69">
        <f t="shared" si="2"/>
        <v>5</v>
      </c>
      <c r="CI27" s="30">
        <f t="shared" si="3"/>
        <v>48</v>
      </c>
      <c r="CJ27" s="30">
        <f t="shared" si="4"/>
        <v>3</v>
      </c>
      <c r="CK27" s="30">
        <f t="shared" si="5"/>
        <v>3</v>
      </c>
      <c r="CL27" s="67">
        <f t="shared" si="6"/>
        <v>3</v>
      </c>
      <c r="CM27" s="30">
        <v>52</v>
      </c>
      <c r="CN27" s="30">
        <v>0</v>
      </c>
      <c r="CO27" s="30">
        <v>0</v>
      </c>
      <c r="CP27" s="30">
        <v>2</v>
      </c>
      <c r="CQ27" s="67">
        <v>1</v>
      </c>
    </row>
    <row r="28" spans="1:95" x14ac:dyDescent="0.3">
      <c r="A28" s="13">
        <v>283</v>
      </c>
      <c r="B28" s="7" t="s">
        <v>2</v>
      </c>
      <c r="C28" s="7" t="s">
        <v>14</v>
      </c>
      <c r="D28" s="7" t="s">
        <v>4</v>
      </c>
      <c r="E28" s="7">
        <v>2</v>
      </c>
      <c r="F28" s="7" t="s">
        <v>6</v>
      </c>
      <c r="G28" s="7">
        <v>7.02</v>
      </c>
      <c r="H28" s="7">
        <v>1</v>
      </c>
      <c r="I28" s="7">
        <v>37.941099999999999</v>
      </c>
      <c r="J28" s="7">
        <v>5.8851000000000004</v>
      </c>
      <c r="K28" s="7">
        <v>84.488852458152238</v>
      </c>
      <c r="L28" s="7">
        <v>16.166666666666654</v>
      </c>
      <c r="M28" s="7">
        <f t="shared" si="0"/>
        <v>0.17633948511640699</v>
      </c>
      <c r="N28" s="7">
        <v>48.1</v>
      </c>
      <c r="O28" s="7">
        <v>1.1639999999999999</v>
      </c>
      <c r="P28" s="7">
        <v>7.2759999999999998</v>
      </c>
      <c r="Q28" s="7">
        <v>1.27</v>
      </c>
      <c r="R28" s="7">
        <v>1.4019999999999999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23">
        <v>0</v>
      </c>
      <c r="AG28" s="24">
        <v>0</v>
      </c>
      <c r="AH28" s="5">
        <v>0</v>
      </c>
      <c r="AI28" s="5">
        <v>0</v>
      </c>
      <c r="AJ28" s="23">
        <v>0</v>
      </c>
      <c r="AK28" s="25">
        <v>0</v>
      </c>
      <c r="AL28" s="26">
        <v>0</v>
      </c>
      <c r="AM28" s="26">
        <v>0</v>
      </c>
      <c r="AN28" s="27">
        <v>0</v>
      </c>
      <c r="AO28" s="26">
        <v>0</v>
      </c>
      <c r="AP28" s="23">
        <v>0</v>
      </c>
      <c r="AQ28" s="5">
        <v>0</v>
      </c>
      <c r="AR28" s="23">
        <v>0</v>
      </c>
      <c r="AS28" s="25">
        <v>0</v>
      </c>
      <c r="AT28" s="5">
        <v>0</v>
      </c>
      <c r="AU28" s="5">
        <v>0</v>
      </c>
      <c r="AV28" s="5">
        <v>0</v>
      </c>
      <c r="AW28" s="23">
        <v>0</v>
      </c>
      <c r="AX28" s="5">
        <v>0</v>
      </c>
      <c r="AY28" s="5">
        <v>0</v>
      </c>
      <c r="AZ28" s="23">
        <v>0</v>
      </c>
      <c r="BA28" s="5">
        <v>0</v>
      </c>
      <c r="BB28" s="5">
        <v>0</v>
      </c>
      <c r="BC28" s="23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23">
        <v>0</v>
      </c>
      <c r="BL28" s="23">
        <v>0</v>
      </c>
      <c r="BM28" s="23">
        <v>0</v>
      </c>
      <c r="BN28" s="23">
        <v>0</v>
      </c>
      <c r="BO28" s="23">
        <v>0</v>
      </c>
      <c r="BP28" s="5">
        <v>0</v>
      </c>
      <c r="BQ28" s="5">
        <v>0</v>
      </c>
      <c r="BR28" s="23">
        <v>0</v>
      </c>
      <c r="BS28" s="28">
        <v>0</v>
      </c>
      <c r="BT28" s="5">
        <v>0</v>
      </c>
      <c r="BU28" s="23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1</v>
      </c>
      <c r="CF28" s="29">
        <v>0</v>
      </c>
      <c r="CG28" s="67">
        <f t="shared" si="1"/>
        <v>1</v>
      </c>
      <c r="CH28" s="69">
        <f t="shared" si="2"/>
        <v>1</v>
      </c>
      <c r="CI28" s="30">
        <f t="shared" si="3"/>
        <v>0</v>
      </c>
      <c r="CJ28" s="30">
        <f t="shared" si="4"/>
        <v>0</v>
      </c>
      <c r="CK28" s="30">
        <f t="shared" si="5"/>
        <v>1</v>
      </c>
      <c r="CL28" s="67">
        <f t="shared" si="6"/>
        <v>1</v>
      </c>
      <c r="CM28" s="30">
        <v>0</v>
      </c>
      <c r="CN28" s="30">
        <v>0</v>
      </c>
      <c r="CO28" s="30">
        <v>0</v>
      </c>
      <c r="CP28" s="30">
        <v>1</v>
      </c>
      <c r="CQ28" s="67">
        <v>0</v>
      </c>
    </row>
    <row r="29" spans="1:95" x14ac:dyDescent="0.3">
      <c r="A29" s="13">
        <v>288</v>
      </c>
      <c r="B29" s="7" t="s">
        <v>2</v>
      </c>
      <c r="C29" s="7" t="s">
        <v>1</v>
      </c>
      <c r="D29" s="7" t="s">
        <v>4</v>
      </c>
      <c r="E29" s="7">
        <v>4</v>
      </c>
      <c r="F29" s="7" t="s">
        <v>6</v>
      </c>
      <c r="G29" s="7">
        <v>7</v>
      </c>
      <c r="H29" s="7">
        <v>1</v>
      </c>
      <c r="I29" s="7">
        <v>35.551200000000001</v>
      </c>
      <c r="J29" s="7">
        <v>5.7542</v>
      </c>
      <c r="K29" s="7">
        <v>83.814329755395036</v>
      </c>
      <c r="L29" s="7">
        <v>17.797142857142859</v>
      </c>
      <c r="M29" s="7">
        <f t="shared" si="0"/>
        <v>0.1959801261010983</v>
      </c>
      <c r="N29" s="7">
        <v>48.96</v>
      </c>
      <c r="O29" s="7">
        <v>1.2589999999999999</v>
      </c>
      <c r="P29" s="7">
        <v>7.8710000000000004</v>
      </c>
      <c r="Q29" s="7">
        <v>1.421</v>
      </c>
      <c r="R29" s="7">
        <v>0.59899999999999998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1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23">
        <v>0</v>
      </c>
      <c r="AG29" s="24">
        <v>0</v>
      </c>
      <c r="AH29" s="5">
        <v>0</v>
      </c>
      <c r="AI29" s="5">
        <v>0</v>
      </c>
      <c r="AJ29" s="23">
        <v>2</v>
      </c>
      <c r="AK29" s="25">
        <v>3</v>
      </c>
      <c r="AL29" s="26">
        <v>0</v>
      </c>
      <c r="AM29" s="26">
        <v>0</v>
      </c>
      <c r="AN29" s="27">
        <v>0</v>
      </c>
      <c r="AO29" s="26">
        <v>0</v>
      </c>
      <c r="AP29" s="23">
        <v>0</v>
      </c>
      <c r="AQ29" s="5">
        <v>2</v>
      </c>
      <c r="AR29" s="23">
        <v>0</v>
      </c>
      <c r="AS29" s="25">
        <v>11</v>
      </c>
      <c r="AT29" s="5">
        <v>0</v>
      </c>
      <c r="AU29" s="5">
        <v>0</v>
      </c>
      <c r="AV29" s="5">
        <v>0</v>
      </c>
      <c r="AW29" s="23">
        <v>0</v>
      </c>
      <c r="AX29" s="5">
        <v>0</v>
      </c>
      <c r="AY29" s="5">
        <v>0</v>
      </c>
      <c r="AZ29" s="23">
        <v>0</v>
      </c>
      <c r="BA29" s="5">
        <v>0</v>
      </c>
      <c r="BB29" s="5">
        <v>0</v>
      </c>
      <c r="BC29" s="23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23">
        <v>0</v>
      </c>
      <c r="BL29" s="23">
        <v>0</v>
      </c>
      <c r="BM29" s="23">
        <v>0</v>
      </c>
      <c r="BN29" s="23">
        <v>0</v>
      </c>
      <c r="BO29" s="23">
        <v>0</v>
      </c>
      <c r="BP29" s="5">
        <v>0</v>
      </c>
      <c r="BQ29" s="5">
        <v>0</v>
      </c>
      <c r="BR29" s="23">
        <v>0</v>
      </c>
      <c r="BS29" s="28">
        <v>0</v>
      </c>
      <c r="BT29" s="5">
        <v>0</v>
      </c>
      <c r="BU29" s="23">
        <v>0</v>
      </c>
      <c r="BV29" s="5">
        <v>0</v>
      </c>
      <c r="BW29" s="5">
        <v>0</v>
      </c>
      <c r="BX29" s="5">
        <v>0</v>
      </c>
      <c r="BY29" s="5">
        <v>1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29">
        <v>0</v>
      </c>
      <c r="CG29" s="67">
        <f t="shared" si="1"/>
        <v>22</v>
      </c>
      <c r="CH29" s="69">
        <f t="shared" si="2"/>
        <v>8</v>
      </c>
      <c r="CI29" s="30">
        <f t="shared" si="3"/>
        <v>11</v>
      </c>
      <c r="CJ29" s="30">
        <f t="shared" si="4"/>
        <v>7</v>
      </c>
      <c r="CK29" s="30">
        <f t="shared" si="5"/>
        <v>4</v>
      </c>
      <c r="CL29" s="67">
        <f t="shared" si="6"/>
        <v>3</v>
      </c>
      <c r="CM29" s="30">
        <v>20</v>
      </c>
      <c r="CN29" s="30">
        <v>0</v>
      </c>
      <c r="CO29" s="30">
        <v>0</v>
      </c>
      <c r="CP29" s="30">
        <v>2</v>
      </c>
      <c r="CQ29" s="67">
        <v>1</v>
      </c>
    </row>
    <row r="30" spans="1:95" x14ac:dyDescent="0.3">
      <c r="A30" s="13">
        <v>296</v>
      </c>
      <c r="B30" s="7" t="s">
        <v>2</v>
      </c>
      <c r="C30" s="7" t="s">
        <v>14</v>
      </c>
      <c r="D30" s="7" t="s">
        <v>4</v>
      </c>
      <c r="E30" s="7">
        <v>1</v>
      </c>
      <c r="F30" s="7" t="s">
        <v>6</v>
      </c>
      <c r="G30" s="7">
        <v>6.8999999999999995</v>
      </c>
      <c r="H30" s="7">
        <v>1</v>
      </c>
      <c r="I30" s="7">
        <v>32.920999999999999</v>
      </c>
      <c r="J30" s="7">
        <v>5.7897999999999996</v>
      </c>
      <c r="K30" s="7">
        <v>82.413049421341995</v>
      </c>
      <c r="L30" s="7">
        <v>16.08985507246377</v>
      </c>
      <c r="M30" s="7">
        <f t="shared" si="0"/>
        <v>0.17542366292924433</v>
      </c>
      <c r="N30" s="7">
        <v>48.15</v>
      </c>
      <c r="O30" s="7">
        <v>1.081</v>
      </c>
      <c r="P30" s="7">
        <v>6.7539999999999996</v>
      </c>
      <c r="Q30" s="7">
        <v>1.427</v>
      </c>
      <c r="R30" s="7">
        <v>1.4809999999999999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23">
        <v>0</v>
      </c>
      <c r="AG30" s="24">
        <v>0</v>
      </c>
      <c r="AH30" s="5">
        <v>0</v>
      </c>
      <c r="AI30" s="5">
        <v>0</v>
      </c>
      <c r="AJ30" s="23">
        <v>6</v>
      </c>
      <c r="AK30" s="25">
        <v>2</v>
      </c>
      <c r="AL30" s="26">
        <v>0</v>
      </c>
      <c r="AM30" s="26">
        <v>0</v>
      </c>
      <c r="AN30" s="27">
        <v>0</v>
      </c>
      <c r="AO30" s="26">
        <v>0</v>
      </c>
      <c r="AP30" s="23">
        <v>0</v>
      </c>
      <c r="AQ30" s="5">
        <v>0</v>
      </c>
      <c r="AR30" s="23">
        <v>0</v>
      </c>
      <c r="AS30" s="25">
        <v>4</v>
      </c>
      <c r="AT30" s="5">
        <v>0</v>
      </c>
      <c r="AU30" s="5">
        <v>0</v>
      </c>
      <c r="AV30" s="5">
        <v>0</v>
      </c>
      <c r="AW30" s="23">
        <v>0</v>
      </c>
      <c r="AX30" s="5">
        <v>0</v>
      </c>
      <c r="AY30" s="5">
        <v>0</v>
      </c>
      <c r="AZ30" s="23">
        <v>0</v>
      </c>
      <c r="BA30" s="5">
        <v>0</v>
      </c>
      <c r="BB30" s="5">
        <v>0</v>
      </c>
      <c r="BC30" s="23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23">
        <v>0</v>
      </c>
      <c r="BL30" s="23">
        <v>0</v>
      </c>
      <c r="BM30" s="23">
        <v>0</v>
      </c>
      <c r="BN30" s="23">
        <v>0</v>
      </c>
      <c r="BO30" s="23">
        <v>0</v>
      </c>
      <c r="BP30" s="5">
        <v>0</v>
      </c>
      <c r="BQ30" s="5">
        <v>0</v>
      </c>
      <c r="BR30" s="23">
        <v>0</v>
      </c>
      <c r="BS30" s="28">
        <v>0</v>
      </c>
      <c r="BT30" s="5">
        <v>0</v>
      </c>
      <c r="BU30" s="23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29">
        <v>0</v>
      </c>
      <c r="CG30" s="67">
        <f t="shared" si="1"/>
        <v>12</v>
      </c>
      <c r="CH30" s="69">
        <f t="shared" si="2"/>
        <v>3</v>
      </c>
      <c r="CI30" s="30">
        <f t="shared" si="3"/>
        <v>4</v>
      </c>
      <c r="CJ30" s="30">
        <f t="shared" si="4"/>
        <v>6</v>
      </c>
      <c r="CK30" s="30">
        <f t="shared" si="5"/>
        <v>2</v>
      </c>
      <c r="CL30" s="67">
        <f t="shared" si="6"/>
        <v>3</v>
      </c>
      <c r="CM30" s="30">
        <v>12</v>
      </c>
      <c r="CN30" s="30">
        <v>0</v>
      </c>
      <c r="CO30" s="30">
        <v>0</v>
      </c>
      <c r="CP30" s="30">
        <v>0</v>
      </c>
      <c r="CQ30" s="67">
        <v>1</v>
      </c>
    </row>
    <row r="31" spans="1:95" x14ac:dyDescent="0.3">
      <c r="A31" s="13">
        <v>297</v>
      </c>
      <c r="B31" s="7" t="s">
        <v>2</v>
      </c>
      <c r="C31" s="7" t="s">
        <v>14</v>
      </c>
      <c r="D31" s="7" t="s">
        <v>4</v>
      </c>
      <c r="E31" s="7">
        <v>1</v>
      </c>
      <c r="F31" s="7" t="s">
        <v>6</v>
      </c>
      <c r="G31" s="7">
        <v>6.92</v>
      </c>
      <c r="H31" s="7">
        <v>1</v>
      </c>
      <c r="I31" s="7">
        <v>37.179400000000001</v>
      </c>
      <c r="J31" s="7">
        <v>5.8532000000000002</v>
      </c>
      <c r="K31" s="7">
        <v>84.256873429910101</v>
      </c>
      <c r="L31" s="7">
        <v>15.416184971098263</v>
      </c>
      <c r="M31" s="7">
        <f t="shared" si="0"/>
        <v>0.16742724939344383</v>
      </c>
      <c r="N31" s="7">
        <v>48.09</v>
      </c>
      <c r="O31" s="7">
        <v>1.1160000000000001</v>
      </c>
      <c r="P31" s="7">
        <v>6.9740000000000002</v>
      </c>
      <c r="Q31" s="7">
        <v>1.401</v>
      </c>
      <c r="R31" s="7">
        <v>1.2709999999999999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23">
        <v>0</v>
      </c>
      <c r="AG31" s="24">
        <v>0</v>
      </c>
      <c r="AH31" s="5">
        <v>0</v>
      </c>
      <c r="AI31" s="5">
        <v>0</v>
      </c>
      <c r="AJ31" s="23">
        <v>0</v>
      </c>
      <c r="AK31" s="25">
        <v>0</v>
      </c>
      <c r="AL31" s="26">
        <v>0</v>
      </c>
      <c r="AM31" s="26">
        <v>0</v>
      </c>
      <c r="AN31" s="27">
        <v>0</v>
      </c>
      <c r="AO31" s="26">
        <v>0</v>
      </c>
      <c r="AP31" s="23">
        <v>0</v>
      </c>
      <c r="AQ31" s="5">
        <v>0</v>
      </c>
      <c r="AR31" s="23">
        <v>0</v>
      </c>
      <c r="AS31" s="25">
        <v>0</v>
      </c>
      <c r="AT31" s="5">
        <v>0</v>
      </c>
      <c r="AU31" s="5">
        <v>0</v>
      </c>
      <c r="AV31" s="5">
        <v>0</v>
      </c>
      <c r="AW31" s="23">
        <v>0</v>
      </c>
      <c r="AX31" s="5">
        <v>0</v>
      </c>
      <c r="AY31" s="5">
        <v>0</v>
      </c>
      <c r="AZ31" s="23">
        <v>0</v>
      </c>
      <c r="BA31" s="5">
        <v>0</v>
      </c>
      <c r="BB31" s="5">
        <v>0</v>
      </c>
      <c r="BC31" s="23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23">
        <v>0</v>
      </c>
      <c r="BL31" s="23">
        <v>0</v>
      </c>
      <c r="BM31" s="23">
        <v>0</v>
      </c>
      <c r="BN31" s="23">
        <v>0</v>
      </c>
      <c r="BO31" s="23">
        <v>0</v>
      </c>
      <c r="BP31" s="5">
        <v>0</v>
      </c>
      <c r="BQ31" s="5">
        <v>0</v>
      </c>
      <c r="BR31" s="23">
        <v>0</v>
      </c>
      <c r="BS31" s="28">
        <v>0</v>
      </c>
      <c r="BT31" s="5">
        <v>0</v>
      </c>
      <c r="BU31" s="23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29">
        <v>0</v>
      </c>
      <c r="CG31" s="67">
        <f t="shared" si="1"/>
        <v>0</v>
      </c>
      <c r="CH31" s="69">
        <f t="shared" si="2"/>
        <v>0</v>
      </c>
      <c r="CI31" s="30">
        <f t="shared" si="3"/>
        <v>0</v>
      </c>
      <c r="CJ31" s="30">
        <f t="shared" si="4"/>
        <v>0</v>
      </c>
      <c r="CK31" s="30">
        <f t="shared" si="5"/>
        <v>0</v>
      </c>
      <c r="CL31" s="67">
        <f t="shared" si="6"/>
        <v>0</v>
      </c>
      <c r="CM31" s="30">
        <v>0</v>
      </c>
      <c r="CN31" s="30">
        <v>0</v>
      </c>
      <c r="CO31" s="30">
        <v>0</v>
      </c>
      <c r="CP31" s="30">
        <v>0</v>
      </c>
      <c r="CQ31" s="67">
        <v>0</v>
      </c>
    </row>
    <row r="32" spans="1:95" x14ac:dyDescent="0.3">
      <c r="A32" s="13">
        <v>361</v>
      </c>
      <c r="B32" s="7" t="s">
        <v>2</v>
      </c>
      <c r="C32" s="7" t="s">
        <v>14</v>
      </c>
      <c r="D32" s="7" t="s">
        <v>5</v>
      </c>
      <c r="E32" s="7">
        <v>5</v>
      </c>
      <c r="F32" s="7" t="s">
        <v>6</v>
      </c>
      <c r="G32" s="7">
        <v>7.08</v>
      </c>
      <c r="H32" s="7">
        <v>1</v>
      </c>
      <c r="I32" s="7">
        <v>30.854700000000001</v>
      </c>
      <c r="J32" s="7">
        <v>6.0297999999999998</v>
      </c>
      <c r="K32" s="7">
        <v>80.457434361701772</v>
      </c>
      <c r="L32" s="7">
        <v>14.833333333333337</v>
      </c>
      <c r="M32" s="7">
        <f t="shared" si="0"/>
        <v>0.16056006501244191</v>
      </c>
      <c r="N32" s="7">
        <v>47.37</v>
      </c>
      <c r="O32" s="7">
        <v>0.71299999999999997</v>
      </c>
      <c r="P32" s="7">
        <v>4.4539999999999997</v>
      </c>
      <c r="Q32" s="7">
        <v>1.474</v>
      </c>
      <c r="R32" s="7">
        <v>1.726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23">
        <v>0</v>
      </c>
      <c r="AG32" s="24">
        <v>0</v>
      </c>
      <c r="AH32" s="5">
        <v>1</v>
      </c>
      <c r="AI32" s="5">
        <v>0</v>
      </c>
      <c r="AJ32" s="23">
        <v>11</v>
      </c>
      <c r="AK32" s="25">
        <v>1</v>
      </c>
      <c r="AL32" s="26">
        <v>4</v>
      </c>
      <c r="AM32" s="26">
        <v>0</v>
      </c>
      <c r="AN32" s="27">
        <v>0</v>
      </c>
      <c r="AO32" s="26">
        <v>0</v>
      </c>
      <c r="AP32" s="23">
        <v>0</v>
      </c>
      <c r="AQ32" s="5">
        <v>0</v>
      </c>
      <c r="AR32" s="23">
        <v>0</v>
      </c>
      <c r="AS32" s="25">
        <v>0</v>
      </c>
      <c r="AT32" s="5">
        <v>0</v>
      </c>
      <c r="AU32" s="5">
        <v>0</v>
      </c>
      <c r="AV32" s="5">
        <v>0</v>
      </c>
      <c r="AW32" s="23">
        <v>0</v>
      </c>
      <c r="AX32" s="5">
        <v>0</v>
      </c>
      <c r="AY32" s="5">
        <v>0</v>
      </c>
      <c r="AZ32" s="23">
        <v>0</v>
      </c>
      <c r="BA32" s="5">
        <v>0</v>
      </c>
      <c r="BB32" s="5">
        <v>0</v>
      </c>
      <c r="BC32" s="23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23">
        <v>0</v>
      </c>
      <c r="BL32" s="23">
        <v>0</v>
      </c>
      <c r="BM32" s="23">
        <v>0</v>
      </c>
      <c r="BN32" s="23">
        <v>0</v>
      </c>
      <c r="BO32" s="23">
        <v>0</v>
      </c>
      <c r="BP32" s="5">
        <v>0</v>
      </c>
      <c r="BQ32" s="5">
        <v>0</v>
      </c>
      <c r="BR32" s="23">
        <v>0</v>
      </c>
      <c r="BS32" s="28">
        <v>0</v>
      </c>
      <c r="BT32" s="5">
        <v>0</v>
      </c>
      <c r="BU32" s="23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29">
        <v>0</v>
      </c>
      <c r="CG32" s="67">
        <f t="shared" si="1"/>
        <v>18</v>
      </c>
      <c r="CH32" s="69">
        <f t="shared" si="2"/>
        <v>5</v>
      </c>
      <c r="CI32" s="30">
        <f t="shared" si="3"/>
        <v>0</v>
      </c>
      <c r="CJ32" s="30">
        <f t="shared" si="4"/>
        <v>17</v>
      </c>
      <c r="CK32" s="30">
        <f t="shared" si="5"/>
        <v>1</v>
      </c>
      <c r="CL32" s="67">
        <f t="shared" si="6"/>
        <v>2</v>
      </c>
      <c r="CM32" s="30">
        <v>18</v>
      </c>
      <c r="CN32" s="30">
        <v>0</v>
      </c>
      <c r="CO32" s="30">
        <v>0</v>
      </c>
      <c r="CP32" s="30">
        <v>0</v>
      </c>
      <c r="CQ32" s="67">
        <v>1</v>
      </c>
    </row>
    <row r="33" spans="1:95" x14ac:dyDescent="0.3">
      <c r="A33" s="13">
        <v>368</v>
      </c>
      <c r="B33" s="7" t="s">
        <v>2</v>
      </c>
      <c r="C33" s="7" t="s">
        <v>1</v>
      </c>
      <c r="D33" s="7" t="s">
        <v>5</v>
      </c>
      <c r="E33" s="7">
        <v>5</v>
      </c>
      <c r="F33" s="7" t="s">
        <v>6</v>
      </c>
      <c r="G33" s="7">
        <v>6.94</v>
      </c>
      <c r="H33" s="7">
        <v>1</v>
      </c>
      <c r="I33" s="7">
        <v>24.490500000000001</v>
      </c>
      <c r="J33" s="7">
        <v>5.7718999999999996</v>
      </c>
      <c r="K33" s="7">
        <v>76.432085910863407</v>
      </c>
      <c r="L33" s="7">
        <v>16.831412103746406</v>
      </c>
      <c r="M33" s="7">
        <f t="shared" si="0"/>
        <v>0.18430045877449375</v>
      </c>
      <c r="N33" s="7">
        <v>48.9</v>
      </c>
      <c r="O33" s="7">
        <v>0.68</v>
      </c>
      <c r="P33" s="7">
        <v>4.2489999999999997</v>
      </c>
      <c r="Q33" s="7">
        <v>0.69899999999999995</v>
      </c>
      <c r="R33" s="7">
        <v>1.7429999999999999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23">
        <v>0</v>
      </c>
      <c r="AG33" s="24">
        <v>0</v>
      </c>
      <c r="AH33" s="5">
        <v>0</v>
      </c>
      <c r="AI33" s="5">
        <v>0</v>
      </c>
      <c r="AJ33" s="23">
        <v>0</v>
      </c>
      <c r="AK33" s="25">
        <v>0</v>
      </c>
      <c r="AL33" s="26">
        <v>0</v>
      </c>
      <c r="AM33" s="26">
        <v>0</v>
      </c>
      <c r="AN33" s="27">
        <v>0</v>
      </c>
      <c r="AO33" s="26">
        <v>0</v>
      </c>
      <c r="AP33" s="23">
        <v>0</v>
      </c>
      <c r="AQ33" s="5">
        <v>0</v>
      </c>
      <c r="AR33" s="23">
        <v>0</v>
      </c>
      <c r="AS33" s="25">
        <v>0</v>
      </c>
      <c r="AT33" s="5">
        <v>0</v>
      </c>
      <c r="AU33" s="5">
        <v>0</v>
      </c>
      <c r="AV33" s="5">
        <v>0</v>
      </c>
      <c r="AW33" s="23">
        <v>0</v>
      </c>
      <c r="AX33" s="5">
        <v>0</v>
      </c>
      <c r="AY33" s="5">
        <v>0</v>
      </c>
      <c r="AZ33" s="23">
        <v>0</v>
      </c>
      <c r="BA33" s="5">
        <v>0</v>
      </c>
      <c r="BB33" s="5">
        <v>0</v>
      </c>
      <c r="BC33" s="23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23">
        <v>0</v>
      </c>
      <c r="BL33" s="23">
        <v>0</v>
      </c>
      <c r="BM33" s="23">
        <v>0</v>
      </c>
      <c r="BN33" s="23">
        <v>0</v>
      </c>
      <c r="BO33" s="23">
        <v>0</v>
      </c>
      <c r="BP33" s="5">
        <v>0</v>
      </c>
      <c r="BQ33" s="5">
        <v>0</v>
      </c>
      <c r="BR33" s="23">
        <v>0</v>
      </c>
      <c r="BS33" s="28">
        <v>0</v>
      </c>
      <c r="BT33" s="5">
        <v>0</v>
      </c>
      <c r="BU33" s="23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29">
        <v>0</v>
      </c>
      <c r="CG33" s="67">
        <f t="shared" si="1"/>
        <v>0</v>
      </c>
      <c r="CH33" s="69">
        <f t="shared" si="2"/>
        <v>0</v>
      </c>
      <c r="CI33" s="30">
        <f t="shared" si="3"/>
        <v>0</v>
      </c>
      <c r="CJ33" s="30">
        <f t="shared" si="4"/>
        <v>0</v>
      </c>
      <c r="CK33" s="30">
        <f t="shared" si="5"/>
        <v>0</v>
      </c>
      <c r="CL33" s="67">
        <f t="shared" si="6"/>
        <v>0</v>
      </c>
      <c r="CM33" s="30">
        <v>0</v>
      </c>
      <c r="CN33" s="30">
        <v>0</v>
      </c>
      <c r="CO33" s="30">
        <v>0</v>
      </c>
      <c r="CP33" s="30">
        <v>0</v>
      </c>
      <c r="CQ33" s="67">
        <v>0</v>
      </c>
    </row>
    <row r="34" spans="1:95" x14ac:dyDescent="0.3">
      <c r="A34" s="13">
        <v>373</v>
      </c>
      <c r="B34" s="7" t="s">
        <v>2</v>
      </c>
      <c r="C34" s="7" t="s">
        <v>14</v>
      </c>
      <c r="D34" s="7" t="s">
        <v>5</v>
      </c>
      <c r="E34" s="7">
        <v>2</v>
      </c>
      <c r="F34" s="7" t="s">
        <v>6</v>
      </c>
      <c r="G34" s="7">
        <v>6.98</v>
      </c>
      <c r="H34" s="7">
        <v>1</v>
      </c>
      <c r="I34" s="7">
        <v>22.206099999999999</v>
      </c>
      <c r="J34" s="7">
        <v>5.7480000000000002</v>
      </c>
      <c r="K34" s="7">
        <v>74.11522059253987</v>
      </c>
      <c r="L34" s="7">
        <v>17.650429799426938</v>
      </c>
      <c r="M34" s="7">
        <f t="shared" ref="M34:M65" si="7">-LN((J34/G34)/H34)</f>
        <v>0.19419694855750264</v>
      </c>
      <c r="N34" s="7">
        <v>48.34</v>
      </c>
      <c r="O34" s="7">
        <v>0.80200000000000005</v>
      </c>
      <c r="P34" s="7">
        <v>5.0119999999999996</v>
      </c>
      <c r="Q34" s="7">
        <v>1.1839999999999999</v>
      </c>
      <c r="R34" s="7">
        <v>2.0049999999999999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23">
        <v>0</v>
      </c>
      <c r="AG34" s="24">
        <v>1</v>
      </c>
      <c r="AH34" s="5">
        <v>6</v>
      </c>
      <c r="AI34" s="5">
        <v>0</v>
      </c>
      <c r="AJ34" s="23">
        <v>0</v>
      </c>
      <c r="AK34" s="25">
        <v>0</v>
      </c>
      <c r="AL34" s="26">
        <v>0</v>
      </c>
      <c r="AM34" s="26">
        <v>0</v>
      </c>
      <c r="AN34" s="27">
        <v>0</v>
      </c>
      <c r="AO34" s="26">
        <v>0</v>
      </c>
      <c r="AP34" s="23">
        <v>0</v>
      </c>
      <c r="AQ34" s="5">
        <v>0</v>
      </c>
      <c r="AR34" s="23">
        <v>0</v>
      </c>
      <c r="AS34" s="25">
        <v>70</v>
      </c>
      <c r="AT34" s="5">
        <v>0</v>
      </c>
      <c r="AU34" s="5">
        <v>0</v>
      </c>
      <c r="AV34" s="5">
        <v>0</v>
      </c>
      <c r="AW34" s="23">
        <v>0</v>
      </c>
      <c r="AX34" s="5">
        <v>0</v>
      </c>
      <c r="AY34" s="5">
        <v>0</v>
      </c>
      <c r="AZ34" s="23">
        <v>0</v>
      </c>
      <c r="BA34" s="5">
        <v>0</v>
      </c>
      <c r="BB34" s="5">
        <v>0</v>
      </c>
      <c r="BC34" s="23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23">
        <v>0</v>
      </c>
      <c r="BL34" s="23">
        <v>0</v>
      </c>
      <c r="BM34" s="23">
        <v>0</v>
      </c>
      <c r="BN34" s="23">
        <v>0</v>
      </c>
      <c r="BO34" s="23">
        <v>0</v>
      </c>
      <c r="BP34" s="5">
        <v>0</v>
      </c>
      <c r="BQ34" s="5">
        <v>0</v>
      </c>
      <c r="BR34" s="23">
        <v>0</v>
      </c>
      <c r="BS34" s="28">
        <v>0</v>
      </c>
      <c r="BT34" s="5">
        <v>0</v>
      </c>
      <c r="BU34" s="23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29">
        <v>0</v>
      </c>
      <c r="CG34" s="67">
        <f t="shared" ref="CG34:CG65" si="8">SUM(S34:CF34)</f>
        <v>78</v>
      </c>
      <c r="CH34" s="69">
        <f t="shared" ref="CH34:CH65" si="9">COUNTIF(S34:CF34,"&gt;0")</f>
        <v>4</v>
      </c>
      <c r="CI34" s="30">
        <f t="shared" si="3"/>
        <v>70</v>
      </c>
      <c r="CJ34" s="30">
        <f t="shared" ref="CJ34:CJ65" si="10">SUM(S34:AH34,AJ34,AL34:AO34,AQ34:AR34,BL34:BM34)</f>
        <v>8</v>
      </c>
      <c r="CK34" s="30">
        <f t="shared" si="5"/>
        <v>0</v>
      </c>
      <c r="CL34" s="67">
        <f t="shared" si="6"/>
        <v>2</v>
      </c>
      <c r="CM34" s="30">
        <v>78</v>
      </c>
      <c r="CN34" s="30">
        <v>0</v>
      </c>
      <c r="CO34" s="30">
        <v>0</v>
      </c>
      <c r="CP34" s="30">
        <v>0</v>
      </c>
      <c r="CQ34" s="67">
        <v>1</v>
      </c>
    </row>
    <row r="35" spans="1:95" x14ac:dyDescent="0.3">
      <c r="A35" s="13">
        <v>375</v>
      </c>
      <c r="B35" s="7" t="s">
        <v>2</v>
      </c>
      <c r="C35" s="7" t="s">
        <v>1</v>
      </c>
      <c r="D35" s="7" t="s">
        <v>5</v>
      </c>
      <c r="E35" s="7">
        <v>4</v>
      </c>
      <c r="F35" s="7" t="s">
        <v>6</v>
      </c>
      <c r="G35" s="7">
        <v>6.99</v>
      </c>
      <c r="H35" s="7">
        <v>1</v>
      </c>
      <c r="I35" s="7">
        <v>28.273700000000002</v>
      </c>
      <c r="J35" s="7">
        <v>5.9707999999999997</v>
      </c>
      <c r="K35" s="7">
        <v>21.117858646020856</v>
      </c>
      <c r="L35" s="7">
        <v>14.580829756795429</v>
      </c>
      <c r="M35" s="7">
        <f t="shared" si="7"/>
        <v>0.15759963446877145</v>
      </c>
      <c r="N35" s="7">
        <v>48.43</v>
      </c>
      <c r="O35" s="7">
        <v>0.872</v>
      </c>
      <c r="P35" s="7">
        <v>5.4509999999999996</v>
      </c>
      <c r="Q35" s="7">
        <v>1.0329999999999999</v>
      </c>
      <c r="R35" s="7">
        <v>1.6460000000000001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23">
        <v>0</v>
      </c>
      <c r="AG35" s="24">
        <v>12</v>
      </c>
      <c r="AH35" s="5">
        <v>1</v>
      </c>
      <c r="AI35" s="5">
        <v>0</v>
      </c>
      <c r="AJ35" s="23">
        <v>0</v>
      </c>
      <c r="AK35" s="25">
        <v>0</v>
      </c>
      <c r="AL35" s="26">
        <v>0</v>
      </c>
      <c r="AM35" s="26">
        <v>0</v>
      </c>
      <c r="AN35" s="27">
        <v>0</v>
      </c>
      <c r="AO35" s="26">
        <v>0</v>
      </c>
      <c r="AP35" s="23">
        <v>0</v>
      </c>
      <c r="AQ35" s="5">
        <v>1</v>
      </c>
      <c r="AR35" s="23">
        <v>0</v>
      </c>
      <c r="AS35" s="25">
        <v>73</v>
      </c>
      <c r="AT35" s="5">
        <v>0</v>
      </c>
      <c r="AU35" s="5">
        <v>0</v>
      </c>
      <c r="AV35" s="5">
        <v>0</v>
      </c>
      <c r="AW35" s="23">
        <v>0</v>
      </c>
      <c r="AX35" s="5">
        <v>0</v>
      </c>
      <c r="AY35" s="5">
        <v>0</v>
      </c>
      <c r="AZ35" s="23">
        <v>0</v>
      </c>
      <c r="BA35" s="5">
        <v>0</v>
      </c>
      <c r="BB35" s="5">
        <v>0</v>
      </c>
      <c r="BC35" s="23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23">
        <v>0</v>
      </c>
      <c r="BL35" s="23">
        <v>0</v>
      </c>
      <c r="BM35" s="23">
        <v>0</v>
      </c>
      <c r="BN35" s="23">
        <v>0</v>
      </c>
      <c r="BO35" s="23">
        <v>0</v>
      </c>
      <c r="BP35" s="5">
        <v>0</v>
      </c>
      <c r="BQ35" s="5">
        <v>0</v>
      </c>
      <c r="BR35" s="23">
        <v>0</v>
      </c>
      <c r="BS35" s="28">
        <v>0</v>
      </c>
      <c r="BT35" s="5">
        <v>0</v>
      </c>
      <c r="BU35" s="23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29">
        <v>0</v>
      </c>
      <c r="CG35" s="67">
        <f t="shared" si="8"/>
        <v>87</v>
      </c>
      <c r="CH35" s="69">
        <f t="shared" si="9"/>
        <v>4</v>
      </c>
      <c r="CI35" s="30">
        <f t="shared" si="3"/>
        <v>73</v>
      </c>
      <c r="CJ35" s="30">
        <f t="shared" si="10"/>
        <v>14</v>
      </c>
      <c r="CK35" s="30">
        <f t="shared" si="5"/>
        <v>0</v>
      </c>
      <c r="CL35" s="67">
        <f t="shared" si="6"/>
        <v>2</v>
      </c>
      <c r="CM35" s="30">
        <v>87</v>
      </c>
      <c r="CN35" s="30">
        <v>0</v>
      </c>
      <c r="CO35" s="30">
        <v>0</v>
      </c>
      <c r="CP35" s="30">
        <v>0</v>
      </c>
      <c r="CQ35" s="67">
        <v>1</v>
      </c>
    </row>
    <row r="36" spans="1:95" x14ac:dyDescent="0.3">
      <c r="A36" s="13">
        <v>378</v>
      </c>
      <c r="B36" s="7" t="s">
        <v>2</v>
      </c>
      <c r="C36" s="7" t="s">
        <v>14</v>
      </c>
      <c r="D36" s="7" t="s">
        <v>5</v>
      </c>
      <c r="E36" s="7">
        <v>3</v>
      </c>
      <c r="F36" s="7" t="s">
        <v>6</v>
      </c>
      <c r="G36" s="7">
        <v>6.06</v>
      </c>
      <c r="H36" s="7">
        <v>1</v>
      </c>
      <c r="I36" s="7">
        <v>24.304500000000001</v>
      </c>
      <c r="J36" s="7">
        <v>5.9808000000000003</v>
      </c>
      <c r="K36" s="7">
        <v>75.392211318891569</v>
      </c>
      <c r="L36" s="7">
        <v>1.306930693069295</v>
      </c>
      <c r="M36" s="7">
        <f t="shared" si="7"/>
        <v>1.3155461802116337E-2</v>
      </c>
      <c r="N36" s="7">
        <v>48.61</v>
      </c>
      <c r="O36" s="7">
        <v>0.67300000000000004</v>
      </c>
      <c r="P36" s="7">
        <v>4.2039999999999997</v>
      </c>
      <c r="Q36" s="7">
        <v>1.1950000000000001</v>
      </c>
      <c r="R36" s="7">
        <v>1.4419999999999999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1</v>
      </c>
      <c r="AC36" s="5">
        <v>0</v>
      </c>
      <c r="AD36" s="5">
        <v>0</v>
      </c>
      <c r="AE36" s="5">
        <v>0</v>
      </c>
      <c r="AF36" s="23">
        <v>0</v>
      </c>
      <c r="AG36" s="24">
        <v>15</v>
      </c>
      <c r="AH36" s="5">
        <v>0</v>
      </c>
      <c r="AI36" s="5">
        <v>0</v>
      </c>
      <c r="AJ36" s="23">
        <v>0</v>
      </c>
      <c r="AK36" s="25">
        <v>1</v>
      </c>
      <c r="AL36" s="26">
        <v>0</v>
      </c>
      <c r="AM36" s="26">
        <v>0</v>
      </c>
      <c r="AN36" s="27">
        <v>0</v>
      </c>
      <c r="AO36" s="26">
        <v>0</v>
      </c>
      <c r="AP36" s="23">
        <v>0</v>
      </c>
      <c r="AQ36" s="5">
        <v>0</v>
      </c>
      <c r="AR36" s="23">
        <v>0</v>
      </c>
      <c r="AS36" s="25">
        <v>15</v>
      </c>
      <c r="AT36" s="5">
        <v>0</v>
      </c>
      <c r="AU36" s="5">
        <v>0</v>
      </c>
      <c r="AV36" s="5">
        <v>0</v>
      </c>
      <c r="AW36" s="23">
        <v>0</v>
      </c>
      <c r="AX36" s="5">
        <v>0</v>
      </c>
      <c r="AY36" s="5">
        <v>0</v>
      </c>
      <c r="AZ36" s="23">
        <v>0</v>
      </c>
      <c r="BA36" s="5">
        <v>0</v>
      </c>
      <c r="BB36" s="5">
        <v>0</v>
      </c>
      <c r="BC36" s="23">
        <v>0</v>
      </c>
      <c r="BD36" s="5">
        <v>1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1</v>
      </c>
      <c r="BK36" s="23">
        <v>0</v>
      </c>
      <c r="BL36" s="23">
        <v>0</v>
      </c>
      <c r="BM36" s="23">
        <v>0</v>
      </c>
      <c r="BN36" s="23">
        <v>0</v>
      </c>
      <c r="BO36" s="23">
        <v>0</v>
      </c>
      <c r="BP36" s="5">
        <v>0</v>
      </c>
      <c r="BQ36" s="5">
        <v>0</v>
      </c>
      <c r="BR36" s="23">
        <v>0</v>
      </c>
      <c r="BS36" s="28">
        <v>0</v>
      </c>
      <c r="BT36" s="5">
        <v>0</v>
      </c>
      <c r="BU36" s="23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29">
        <v>0</v>
      </c>
      <c r="CG36" s="67">
        <f t="shared" si="8"/>
        <v>35</v>
      </c>
      <c r="CH36" s="69">
        <f t="shared" si="9"/>
        <v>7</v>
      </c>
      <c r="CI36" s="30">
        <f t="shared" si="3"/>
        <v>15</v>
      </c>
      <c r="CJ36" s="30">
        <f t="shared" si="10"/>
        <v>17</v>
      </c>
      <c r="CK36" s="30">
        <f t="shared" si="5"/>
        <v>3</v>
      </c>
      <c r="CL36" s="67">
        <f t="shared" si="6"/>
        <v>3</v>
      </c>
      <c r="CM36" s="30">
        <v>33</v>
      </c>
      <c r="CN36" s="30">
        <v>0</v>
      </c>
      <c r="CO36" s="30">
        <v>0</v>
      </c>
      <c r="CP36" s="30">
        <v>2</v>
      </c>
      <c r="CQ36" s="67">
        <v>1</v>
      </c>
    </row>
    <row r="37" spans="1:95" x14ac:dyDescent="0.3">
      <c r="A37" s="13">
        <v>384</v>
      </c>
      <c r="B37" s="7" t="s">
        <v>2</v>
      </c>
      <c r="C37" s="7" t="s">
        <v>1</v>
      </c>
      <c r="D37" s="7" t="s">
        <v>5</v>
      </c>
      <c r="E37" s="7">
        <v>3</v>
      </c>
      <c r="F37" s="7" t="s">
        <v>6</v>
      </c>
      <c r="G37" s="7">
        <v>6.97</v>
      </c>
      <c r="H37" s="7">
        <v>1</v>
      </c>
      <c r="I37" s="7">
        <v>22.343</v>
      </c>
      <c r="J37" s="7">
        <v>5.9115000000000002</v>
      </c>
      <c r="K37" s="7">
        <v>73.5420489638813</v>
      </c>
      <c r="L37" s="7">
        <v>15.186513629842175</v>
      </c>
      <c r="M37" s="7">
        <f t="shared" si="7"/>
        <v>0.16471561845140148</v>
      </c>
      <c r="N37" s="7">
        <v>47.48</v>
      </c>
      <c r="O37" s="7">
        <v>0.84</v>
      </c>
      <c r="P37" s="7">
        <v>5.2519999999999998</v>
      </c>
      <c r="Q37" s="7">
        <v>1.129</v>
      </c>
      <c r="R37" s="7">
        <v>1.66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23">
        <v>0</v>
      </c>
      <c r="AG37" s="24">
        <v>0</v>
      </c>
      <c r="AH37" s="5">
        <v>0</v>
      </c>
      <c r="AI37" s="5">
        <v>0</v>
      </c>
      <c r="AJ37" s="23">
        <v>0</v>
      </c>
      <c r="AK37" s="25">
        <v>0</v>
      </c>
      <c r="AL37" s="26">
        <v>0</v>
      </c>
      <c r="AM37" s="26">
        <v>0</v>
      </c>
      <c r="AN37" s="27">
        <v>0</v>
      </c>
      <c r="AO37" s="26">
        <v>0</v>
      </c>
      <c r="AP37" s="23">
        <v>0</v>
      </c>
      <c r="AQ37" s="5">
        <v>0</v>
      </c>
      <c r="AR37" s="23">
        <v>0</v>
      </c>
      <c r="AS37" s="25">
        <v>0</v>
      </c>
      <c r="AT37" s="5">
        <v>0</v>
      </c>
      <c r="AU37" s="5">
        <v>0</v>
      </c>
      <c r="AV37" s="5">
        <v>0</v>
      </c>
      <c r="AW37" s="23">
        <v>0</v>
      </c>
      <c r="AX37" s="5">
        <v>0</v>
      </c>
      <c r="AY37" s="5">
        <v>0</v>
      </c>
      <c r="AZ37" s="23">
        <v>0</v>
      </c>
      <c r="BA37" s="5">
        <v>0</v>
      </c>
      <c r="BB37" s="5">
        <v>0</v>
      </c>
      <c r="BC37" s="23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23">
        <v>0</v>
      </c>
      <c r="BL37" s="23">
        <v>0</v>
      </c>
      <c r="BM37" s="23">
        <v>0</v>
      </c>
      <c r="BN37" s="23">
        <v>0</v>
      </c>
      <c r="BO37" s="23">
        <v>0</v>
      </c>
      <c r="BP37" s="5">
        <v>0</v>
      </c>
      <c r="BQ37" s="5">
        <v>0</v>
      </c>
      <c r="BR37" s="23">
        <v>0</v>
      </c>
      <c r="BS37" s="28">
        <v>0</v>
      </c>
      <c r="BT37" s="5">
        <v>0</v>
      </c>
      <c r="BU37" s="23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29">
        <v>0</v>
      </c>
      <c r="CG37" s="67">
        <f t="shared" si="8"/>
        <v>0</v>
      </c>
      <c r="CH37" s="69">
        <f t="shared" si="9"/>
        <v>0</v>
      </c>
      <c r="CI37" s="30">
        <f t="shared" si="3"/>
        <v>0</v>
      </c>
      <c r="CJ37" s="30">
        <f t="shared" si="10"/>
        <v>0</v>
      </c>
      <c r="CK37" s="30">
        <f t="shared" si="5"/>
        <v>0</v>
      </c>
      <c r="CL37" s="67">
        <f t="shared" si="6"/>
        <v>0</v>
      </c>
      <c r="CM37" s="30">
        <v>0</v>
      </c>
      <c r="CN37" s="30">
        <v>0</v>
      </c>
      <c r="CO37" s="30">
        <v>0</v>
      </c>
      <c r="CP37" s="30">
        <v>0</v>
      </c>
      <c r="CQ37" s="67">
        <v>0</v>
      </c>
    </row>
    <row r="38" spans="1:95" x14ac:dyDescent="0.3">
      <c r="A38" s="13">
        <v>395</v>
      </c>
      <c r="B38" s="7" t="s">
        <v>2</v>
      </c>
      <c r="C38" s="7" t="s">
        <v>1</v>
      </c>
      <c r="D38" s="7" t="s">
        <v>5</v>
      </c>
      <c r="E38" s="7">
        <v>2</v>
      </c>
      <c r="F38" s="7" t="s">
        <v>6</v>
      </c>
      <c r="G38" s="7">
        <v>7.02</v>
      </c>
      <c r="H38" s="7">
        <v>1</v>
      </c>
      <c r="I38" s="7">
        <v>25.083500000000001</v>
      </c>
      <c r="J38" s="7">
        <v>5.9382999999999999</v>
      </c>
      <c r="K38" s="7">
        <v>76.325871588893108</v>
      </c>
      <c r="L38" s="7">
        <v>15.408831908831905</v>
      </c>
      <c r="M38" s="7">
        <f t="shared" si="7"/>
        <v>0.16734032091104797</v>
      </c>
      <c r="N38" s="7">
        <v>47.57</v>
      </c>
      <c r="O38" s="7">
        <v>0.747</v>
      </c>
      <c r="P38" s="7">
        <v>4.6719999999999997</v>
      </c>
      <c r="Q38" s="7">
        <v>1.383</v>
      </c>
      <c r="R38" s="7">
        <v>1.9590000000000001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23">
        <v>0</v>
      </c>
      <c r="AG38" s="24">
        <v>0</v>
      </c>
      <c r="AH38" s="5">
        <v>0</v>
      </c>
      <c r="AI38" s="5">
        <v>0</v>
      </c>
      <c r="AJ38" s="23">
        <v>0</v>
      </c>
      <c r="AK38" s="25">
        <v>0</v>
      </c>
      <c r="AL38" s="26">
        <v>0</v>
      </c>
      <c r="AM38" s="26">
        <v>1</v>
      </c>
      <c r="AN38" s="27">
        <v>0</v>
      </c>
      <c r="AO38" s="26">
        <v>0</v>
      </c>
      <c r="AP38" s="23">
        <v>0</v>
      </c>
      <c r="AQ38" s="5">
        <v>0</v>
      </c>
      <c r="AR38" s="23">
        <v>0</v>
      </c>
      <c r="AS38" s="25">
        <v>0</v>
      </c>
      <c r="AT38" s="5">
        <v>0</v>
      </c>
      <c r="AU38" s="5">
        <v>0</v>
      </c>
      <c r="AV38" s="5">
        <v>0</v>
      </c>
      <c r="AW38" s="23">
        <v>0</v>
      </c>
      <c r="AX38" s="5">
        <v>0</v>
      </c>
      <c r="AY38" s="5">
        <v>0</v>
      </c>
      <c r="AZ38" s="23">
        <v>0</v>
      </c>
      <c r="BA38" s="5">
        <v>0</v>
      </c>
      <c r="BB38" s="5">
        <v>0</v>
      </c>
      <c r="BC38" s="23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23">
        <v>0</v>
      </c>
      <c r="BL38" s="23">
        <v>0</v>
      </c>
      <c r="BM38" s="23">
        <v>0</v>
      </c>
      <c r="BN38" s="23">
        <v>0</v>
      </c>
      <c r="BO38" s="23">
        <v>0</v>
      </c>
      <c r="BP38" s="5">
        <v>0</v>
      </c>
      <c r="BQ38" s="5">
        <v>0</v>
      </c>
      <c r="BR38" s="23">
        <v>0</v>
      </c>
      <c r="BS38" s="28">
        <v>0</v>
      </c>
      <c r="BT38" s="5">
        <v>0</v>
      </c>
      <c r="BU38" s="23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29">
        <v>0</v>
      </c>
      <c r="CG38" s="67">
        <f t="shared" si="8"/>
        <v>1</v>
      </c>
      <c r="CH38" s="69">
        <f t="shared" si="9"/>
        <v>1</v>
      </c>
      <c r="CI38" s="30">
        <f t="shared" si="3"/>
        <v>0</v>
      </c>
      <c r="CJ38" s="30">
        <f t="shared" si="10"/>
        <v>1</v>
      </c>
      <c r="CK38" s="30">
        <f t="shared" si="5"/>
        <v>0</v>
      </c>
      <c r="CL38" s="67">
        <f t="shared" si="6"/>
        <v>1</v>
      </c>
      <c r="CM38" s="30">
        <v>1</v>
      </c>
      <c r="CN38" s="30">
        <v>0</v>
      </c>
      <c r="CO38" s="30">
        <v>0</v>
      </c>
      <c r="CP38" s="30">
        <v>0</v>
      </c>
      <c r="CQ38" s="67">
        <v>1</v>
      </c>
    </row>
    <row r="39" spans="1:95" x14ac:dyDescent="0.3">
      <c r="A39" s="13">
        <v>403</v>
      </c>
      <c r="B39" s="7" t="s">
        <v>2</v>
      </c>
      <c r="C39" s="7" t="s">
        <v>14</v>
      </c>
      <c r="D39" s="7" t="s">
        <v>5</v>
      </c>
      <c r="E39" s="7">
        <v>1</v>
      </c>
      <c r="F39" s="7" t="s">
        <v>6</v>
      </c>
      <c r="G39" s="7">
        <v>6.96</v>
      </c>
      <c r="H39" s="7">
        <v>1</v>
      </c>
      <c r="I39" s="7">
        <v>27.4483</v>
      </c>
      <c r="J39" s="7">
        <v>5.7461000000000002</v>
      </c>
      <c r="K39" s="7">
        <v>79.06573448993197</v>
      </c>
      <c r="L39" s="7">
        <v>17.441091954022987</v>
      </c>
      <c r="M39" s="7">
        <f t="shared" si="7"/>
        <v>0.19165811052959941</v>
      </c>
      <c r="N39" s="7">
        <v>47.04</v>
      </c>
      <c r="O39" s="7">
        <v>0.85299999999999998</v>
      </c>
      <c r="P39" s="7">
        <v>5.3289999999999997</v>
      </c>
      <c r="Q39" s="7">
        <v>0.72599999999999998</v>
      </c>
      <c r="R39" s="7">
        <v>1.21</v>
      </c>
      <c r="S39" s="5">
        <v>0</v>
      </c>
      <c r="T39" s="5">
        <v>0</v>
      </c>
      <c r="U39" s="5">
        <v>0</v>
      </c>
      <c r="V39" s="5">
        <v>0</v>
      </c>
      <c r="W39" s="5">
        <v>16</v>
      </c>
      <c r="X39" s="5">
        <v>0</v>
      </c>
      <c r="Y39" s="5">
        <v>0</v>
      </c>
      <c r="Z39" s="5">
        <v>0</v>
      </c>
      <c r="AA39" s="5">
        <v>0</v>
      </c>
      <c r="AB39" s="5">
        <v>22</v>
      </c>
      <c r="AC39" s="5">
        <v>0</v>
      </c>
      <c r="AD39" s="5">
        <v>0</v>
      </c>
      <c r="AE39" s="5">
        <v>0</v>
      </c>
      <c r="AF39" s="23">
        <v>0</v>
      </c>
      <c r="AG39" s="24">
        <v>0</v>
      </c>
      <c r="AH39" s="5">
        <v>2</v>
      </c>
      <c r="AI39" s="5">
        <v>0</v>
      </c>
      <c r="AJ39" s="23">
        <v>0</v>
      </c>
      <c r="AK39" s="25">
        <v>0</v>
      </c>
      <c r="AL39" s="26">
        <v>0</v>
      </c>
      <c r="AM39" s="26">
        <v>1</v>
      </c>
      <c r="AN39" s="27">
        <v>0</v>
      </c>
      <c r="AO39" s="26">
        <v>0</v>
      </c>
      <c r="AP39" s="23">
        <v>0</v>
      </c>
      <c r="AQ39" s="5">
        <v>0</v>
      </c>
      <c r="AR39" s="23">
        <v>0</v>
      </c>
      <c r="AS39" s="25">
        <v>19</v>
      </c>
      <c r="AT39" s="5">
        <v>0</v>
      </c>
      <c r="AU39" s="5">
        <v>0</v>
      </c>
      <c r="AV39" s="5">
        <v>0</v>
      </c>
      <c r="AW39" s="23">
        <v>0</v>
      </c>
      <c r="AX39" s="5">
        <v>0</v>
      </c>
      <c r="AY39" s="5">
        <v>0</v>
      </c>
      <c r="AZ39" s="23">
        <v>0</v>
      </c>
      <c r="BA39" s="5">
        <v>0</v>
      </c>
      <c r="BB39" s="5">
        <v>0</v>
      </c>
      <c r="BC39" s="23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23">
        <v>0</v>
      </c>
      <c r="BL39" s="23">
        <v>0</v>
      </c>
      <c r="BM39" s="23">
        <v>0</v>
      </c>
      <c r="BN39" s="23">
        <v>0</v>
      </c>
      <c r="BO39" s="23">
        <v>0</v>
      </c>
      <c r="BP39" s="5">
        <v>0</v>
      </c>
      <c r="BQ39" s="5">
        <v>0</v>
      </c>
      <c r="BR39" s="23">
        <v>0</v>
      </c>
      <c r="BS39" s="28">
        <v>0</v>
      </c>
      <c r="BT39" s="5">
        <v>0</v>
      </c>
      <c r="BU39" s="23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29">
        <v>0</v>
      </c>
      <c r="CG39" s="67">
        <f t="shared" si="8"/>
        <v>60</v>
      </c>
      <c r="CH39" s="69">
        <f t="shared" si="9"/>
        <v>5</v>
      </c>
      <c r="CI39" s="30">
        <f t="shared" si="3"/>
        <v>19</v>
      </c>
      <c r="CJ39" s="30">
        <f t="shared" si="10"/>
        <v>41</v>
      </c>
      <c r="CK39" s="30">
        <f t="shared" si="5"/>
        <v>0</v>
      </c>
      <c r="CL39" s="67">
        <f t="shared" si="6"/>
        <v>2</v>
      </c>
      <c r="CM39" s="30">
        <v>60</v>
      </c>
      <c r="CN39" s="30">
        <v>0</v>
      </c>
      <c r="CO39" s="30">
        <v>0</v>
      </c>
      <c r="CP39" s="30">
        <v>0</v>
      </c>
      <c r="CQ39" s="67">
        <v>1</v>
      </c>
    </row>
    <row r="40" spans="1:95" x14ac:dyDescent="0.3">
      <c r="A40" s="13">
        <v>408</v>
      </c>
      <c r="B40" s="7" t="s">
        <v>2</v>
      </c>
      <c r="C40" s="7" t="s">
        <v>14</v>
      </c>
      <c r="D40" s="7" t="s">
        <v>5</v>
      </c>
      <c r="E40" s="7">
        <v>4</v>
      </c>
      <c r="F40" s="7" t="s">
        <v>6</v>
      </c>
      <c r="G40" s="7">
        <v>6.93</v>
      </c>
      <c r="H40" s="7">
        <v>1</v>
      </c>
      <c r="I40" s="7">
        <v>21.4681</v>
      </c>
      <c r="J40" s="7">
        <v>5.9249999999999998</v>
      </c>
      <c r="K40" s="7">
        <v>72.400911119288608</v>
      </c>
      <c r="L40" s="7">
        <v>14.502164502164502</v>
      </c>
      <c r="M40" s="7">
        <f t="shared" si="7"/>
        <v>0.15667912618061702</v>
      </c>
      <c r="N40" s="7">
        <v>47.99</v>
      </c>
      <c r="O40" s="7">
        <v>0.79700000000000004</v>
      </c>
      <c r="P40" s="7">
        <v>4.9829999999999997</v>
      </c>
      <c r="Q40" s="7">
        <v>0.78200000000000003</v>
      </c>
      <c r="R40" s="7">
        <v>1.4689999999999999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0</v>
      </c>
      <c r="AF40" s="23">
        <v>0</v>
      </c>
      <c r="AG40" s="24">
        <v>1</v>
      </c>
      <c r="AH40" s="5">
        <v>0</v>
      </c>
      <c r="AI40" s="5">
        <v>0</v>
      </c>
      <c r="AJ40" s="23">
        <v>0</v>
      </c>
      <c r="AK40" s="25">
        <v>2</v>
      </c>
      <c r="AL40" s="26">
        <v>0</v>
      </c>
      <c r="AM40" s="26">
        <v>0</v>
      </c>
      <c r="AN40" s="27">
        <v>0</v>
      </c>
      <c r="AO40" s="26">
        <v>0</v>
      </c>
      <c r="AP40" s="23">
        <v>0</v>
      </c>
      <c r="AQ40" s="5">
        <v>0</v>
      </c>
      <c r="AR40" s="23">
        <v>0</v>
      </c>
      <c r="AS40" s="25">
        <v>1</v>
      </c>
      <c r="AT40" s="5">
        <v>0</v>
      </c>
      <c r="AU40" s="5">
        <v>0</v>
      </c>
      <c r="AV40" s="5">
        <v>0</v>
      </c>
      <c r="AW40" s="23">
        <v>0</v>
      </c>
      <c r="AX40" s="5">
        <v>0</v>
      </c>
      <c r="AY40" s="5">
        <v>0</v>
      </c>
      <c r="AZ40" s="23">
        <v>0</v>
      </c>
      <c r="BA40" s="5">
        <v>0</v>
      </c>
      <c r="BB40" s="5">
        <v>0</v>
      </c>
      <c r="BC40" s="23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5">
        <v>0</v>
      </c>
      <c r="BQ40" s="5">
        <v>0</v>
      </c>
      <c r="BR40" s="23">
        <v>0</v>
      </c>
      <c r="BS40" s="28">
        <v>0</v>
      </c>
      <c r="BT40" s="5">
        <v>0</v>
      </c>
      <c r="BU40" s="23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29">
        <v>0</v>
      </c>
      <c r="CG40" s="67">
        <f t="shared" si="8"/>
        <v>6</v>
      </c>
      <c r="CH40" s="69">
        <f t="shared" si="9"/>
        <v>5</v>
      </c>
      <c r="CI40" s="30">
        <f t="shared" si="3"/>
        <v>1</v>
      </c>
      <c r="CJ40" s="30">
        <f t="shared" si="10"/>
        <v>3</v>
      </c>
      <c r="CK40" s="30">
        <f t="shared" si="5"/>
        <v>2</v>
      </c>
      <c r="CL40" s="67">
        <f t="shared" si="6"/>
        <v>3</v>
      </c>
      <c r="CM40" s="30">
        <v>5</v>
      </c>
      <c r="CN40" s="30">
        <v>0</v>
      </c>
      <c r="CO40" s="30">
        <v>0</v>
      </c>
      <c r="CP40" s="30">
        <v>1</v>
      </c>
      <c r="CQ40" s="67">
        <v>1</v>
      </c>
    </row>
    <row r="41" spans="1:95" x14ac:dyDescent="0.3">
      <c r="A41" s="13">
        <v>415</v>
      </c>
      <c r="B41" s="7" t="s">
        <v>2</v>
      </c>
      <c r="C41" s="7" t="s">
        <v>14</v>
      </c>
      <c r="D41" s="7" t="s">
        <v>5</v>
      </c>
      <c r="E41" s="7">
        <v>1</v>
      </c>
      <c r="F41" s="7" t="s">
        <v>6</v>
      </c>
      <c r="G41" s="7">
        <v>7.05</v>
      </c>
      <c r="H41" s="7">
        <v>1</v>
      </c>
      <c r="I41" s="7">
        <v>24.71</v>
      </c>
      <c r="J41" s="7">
        <v>6.0137</v>
      </c>
      <c r="K41" s="7">
        <v>75.662889518413607</v>
      </c>
      <c r="L41" s="7">
        <v>14.69929078014184</v>
      </c>
      <c r="M41" s="7">
        <f t="shared" si="7"/>
        <v>0.15898741710699013</v>
      </c>
      <c r="N41" s="7">
        <v>47.89</v>
      </c>
      <c r="O41" s="7">
        <v>0.56999999999999995</v>
      </c>
      <c r="P41" s="7">
        <v>3.56</v>
      </c>
      <c r="Q41" s="7">
        <v>1.2450000000000001</v>
      </c>
      <c r="R41" s="7">
        <v>1.6329999999999998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23">
        <v>0</v>
      </c>
      <c r="AG41" s="24">
        <v>0</v>
      </c>
      <c r="AH41" s="5">
        <v>0</v>
      </c>
      <c r="AI41" s="5">
        <v>0</v>
      </c>
      <c r="AJ41" s="23">
        <v>0</v>
      </c>
      <c r="AK41" s="25">
        <v>0</v>
      </c>
      <c r="AL41" s="26">
        <v>0</v>
      </c>
      <c r="AM41" s="26">
        <v>0</v>
      </c>
      <c r="AN41" s="27">
        <v>0</v>
      </c>
      <c r="AO41" s="26">
        <v>0</v>
      </c>
      <c r="AP41" s="23">
        <v>0</v>
      </c>
      <c r="AQ41" s="5">
        <v>0</v>
      </c>
      <c r="AR41" s="23">
        <v>0</v>
      </c>
      <c r="AS41" s="25">
        <v>0</v>
      </c>
      <c r="AT41" s="5">
        <v>0</v>
      </c>
      <c r="AU41" s="5">
        <v>0</v>
      </c>
      <c r="AV41" s="5">
        <v>0</v>
      </c>
      <c r="AW41" s="23">
        <v>0</v>
      </c>
      <c r="AX41" s="5">
        <v>0</v>
      </c>
      <c r="AY41" s="5">
        <v>0</v>
      </c>
      <c r="AZ41" s="23">
        <v>0</v>
      </c>
      <c r="BA41" s="5">
        <v>0</v>
      </c>
      <c r="BB41" s="5">
        <v>0</v>
      </c>
      <c r="BC41" s="23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23">
        <v>0</v>
      </c>
      <c r="BL41" s="23">
        <v>0</v>
      </c>
      <c r="BM41" s="23">
        <v>0</v>
      </c>
      <c r="BN41" s="23">
        <v>0</v>
      </c>
      <c r="BO41" s="23">
        <v>0</v>
      </c>
      <c r="BP41" s="5">
        <v>0</v>
      </c>
      <c r="BQ41" s="5">
        <v>0</v>
      </c>
      <c r="BR41" s="23">
        <v>0</v>
      </c>
      <c r="BS41" s="28">
        <v>0</v>
      </c>
      <c r="BT41" s="5">
        <v>0</v>
      </c>
      <c r="BU41" s="23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29">
        <v>0</v>
      </c>
      <c r="CG41" s="67">
        <f t="shared" si="8"/>
        <v>0</v>
      </c>
      <c r="CH41" s="69">
        <f t="shared" si="9"/>
        <v>0</v>
      </c>
      <c r="CI41" s="30">
        <f t="shared" si="3"/>
        <v>0</v>
      </c>
      <c r="CJ41" s="30">
        <f t="shared" si="10"/>
        <v>0</v>
      </c>
      <c r="CK41" s="30">
        <f t="shared" si="5"/>
        <v>0</v>
      </c>
      <c r="CL41" s="67">
        <f t="shared" si="6"/>
        <v>0</v>
      </c>
      <c r="CM41" s="30">
        <v>0</v>
      </c>
      <c r="CN41" s="30">
        <v>0</v>
      </c>
      <c r="CO41" s="30">
        <v>0</v>
      </c>
      <c r="CP41" s="30">
        <v>0</v>
      </c>
      <c r="CQ41" s="67">
        <v>0</v>
      </c>
    </row>
    <row r="42" spans="1:95" x14ac:dyDescent="0.3">
      <c r="A42" s="13">
        <v>489</v>
      </c>
      <c r="B42" s="7" t="s">
        <v>3</v>
      </c>
      <c r="C42" s="7" t="s">
        <v>14</v>
      </c>
      <c r="D42" s="7" t="s">
        <v>4</v>
      </c>
      <c r="E42" s="7">
        <v>4</v>
      </c>
      <c r="F42" s="7" t="s">
        <v>6</v>
      </c>
      <c r="G42" s="7">
        <v>6.91</v>
      </c>
      <c r="H42" s="7">
        <v>1</v>
      </c>
      <c r="I42" s="7">
        <v>31.959</v>
      </c>
      <c r="J42" s="7">
        <v>5.9139999999999997</v>
      </c>
      <c r="K42" s="7">
        <v>18.504959479332893</v>
      </c>
      <c r="L42" s="7">
        <v>14.413892908827791</v>
      </c>
      <c r="M42" s="7">
        <f t="shared" si="7"/>
        <v>0.15564721634929318</v>
      </c>
      <c r="N42" s="7">
        <v>48.34</v>
      </c>
      <c r="O42" s="7">
        <v>0.75800000000000001</v>
      </c>
      <c r="P42" s="7">
        <v>4.74</v>
      </c>
      <c r="Q42" s="7">
        <v>3.2690000000000001</v>
      </c>
      <c r="R42" s="7">
        <v>2.3730000000000002</v>
      </c>
      <c r="S42" s="5">
        <v>5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23">
        <v>0</v>
      </c>
      <c r="AG42" s="24">
        <v>0</v>
      </c>
      <c r="AH42" s="5">
        <v>0</v>
      </c>
      <c r="AI42" s="5">
        <v>0</v>
      </c>
      <c r="AJ42" s="23">
        <v>0</v>
      </c>
      <c r="AK42" s="25">
        <v>0</v>
      </c>
      <c r="AL42" s="26">
        <v>0</v>
      </c>
      <c r="AM42" s="26">
        <v>0</v>
      </c>
      <c r="AN42" s="27">
        <v>0</v>
      </c>
      <c r="AO42" s="26">
        <v>0</v>
      </c>
      <c r="AP42" s="23">
        <v>0</v>
      </c>
      <c r="AQ42" s="5">
        <v>0</v>
      </c>
      <c r="AR42" s="23">
        <v>0</v>
      </c>
      <c r="AS42" s="25">
        <v>0</v>
      </c>
      <c r="AT42" s="5">
        <v>0</v>
      </c>
      <c r="AU42" s="5">
        <v>0</v>
      </c>
      <c r="AV42" s="5">
        <v>0</v>
      </c>
      <c r="AW42" s="23">
        <v>0</v>
      </c>
      <c r="AX42" s="5">
        <v>0</v>
      </c>
      <c r="AY42" s="5">
        <v>0</v>
      </c>
      <c r="AZ42" s="23">
        <v>0</v>
      </c>
      <c r="BA42" s="5">
        <v>0</v>
      </c>
      <c r="BB42" s="5">
        <v>0</v>
      </c>
      <c r="BC42" s="23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23">
        <v>0</v>
      </c>
      <c r="BL42" s="23">
        <v>0</v>
      </c>
      <c r="BM42" s="23">
        <v>0</v>
      </c>
      <c r="BN42" s="23">
        <v>0</v>
      </c>
      <c r="BO42" s="23">
        <v>0</v>
      </c>
      <c r="BP42" s="5">
        <v>0</v>
      </c>
      <c r="BQ42" s="5">
        <v>0</v>
      </c>
      <c r="BR42" s="23">
        <v>0</v>
      </c>
      <c r="BS42" s="28">
        <v>0</v>
      </c>
      <c r="BT42" s="5">
        <v>0</v>
      </c>
      <c r="BU42" s="23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29">
        <v>0</v>
      </c>
      <c r="CG42" s="67">
        <f t="shared" si="8"/>
        <v>5</v>
      </c>
      <c r="CH42" s="69">
        <f t="shared" si="9"/>
        <v>1</v>
      </c>
      <c r="CI42" s="30">
        <f t="shared" si="3"/>
        <v>0</v>
      </c>
      <c r="CJ42" s="30">
        <f t="shared" si="10"/>
        <v>5</v>
      </c>
      <c r="CK42" s="30">
        <f t="shared" si="5"/>
        <v>0</v>
      </c>
      <c r="CL42" s="67">
        <f t="shared" si="6"/>
        <v>1</v>
      </c>
      <c r="CM42" s="30">
        <v>5</v>
      </c>
      <c r="CN42" s="30">
        <v>0</v>
      </c>
      <c r="CO42" s="30">
        <v>0</v>
      </c>
      <c r="CP42" s="30">
        <v>0</v>
      </c>
      <c r="CQ42" s="67">
        <v>1</v>
      </c>
    </row>
    <row r="43" spans="1:95" x14ac:dyDescent="0.3">
      <c r="A43" s="13">
        <v>497</v>
      </c>
      <c r="B43" s="7" t="s">
        <v>3</v>
      </c>
      <c r="C43" s="7" t="s">
        <v>1</v>
      </c>
      <c r="D43" s="7" t="s">
        <v>4</v>
      </c>
      <c r="E43" s="7">
        <v>4</v>
      </c>
      <c r="F43" s="7" t="s">
        <v>6</v>
      </c>
      <c r="G43" s="7">
        <v>7.03</v>
      </c>
      <c r="H43" s="7">
        <v>1</v>
      </c>
      <c r="I43" s="7">
        <v>28.12</v>
      </c>
      <c r="J43" s="7">
        <v>5.9249999999999998</v>
      </c>
      <c r="K43" s="7">
        <v>21.070412517780937</v>
      </c>
      <c r="L43" s="7">
        <v>15.718349928876249</v>
      </c>
      <c r="M43" s="7">
        <f t="shared" si="7"/>
        <v>0.17100601880137875</v>
      </c>
      <c r="N43" s="7">
        <v>49.01</v>
      </c>
      <c r="O43" s="7">
        <v>0.77400000000000002</v>
      </c>
      <c r="P43" s="7">
        <v>4.835</v>
      </c>
      <c r="Q43" s="7">
        <v>3.3820000000000001</v>
      </c>
      <c r="R43" s="7">
        <v>2.3180000000000001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23">
        <v>0</v>
      </c>
      <c r="AG43" s="24">
        <v>0</v>
      </c>
      <c r="AH43" s="5">
        <v>0</v>
      </c>
      <c r="AI43" s="5">
        <v>0</v>
      </c>
      <c r="AJ43" s="23">
        <v>0</v>
      </c>
      <c r="AK43" s="25">
        <v>0</v>
      </c>
      <c r="AL43" s="26">
        <v>0</v>
      </c>
      <c r="AM43" s="26">
        <v>0</v>
      </c>
      <c r="AN43" s="27">
        <v>0</v>
      </c>
      <c r="AO43" s="26">
        <v>0</v>
      </c>
      <c r="AP43" s="23">
        <v>0</v>
      </c>
      <c r="AQ43" s="5">
        <v>2</v>
      </c>
      <c r="AR43" s="23">
        <v>0</v>
      </c>
      <c r="AS43" s="25">
        <v>0</v>
      </c>
      <c r="AT43" s="5">
        <v>0</v>
      </c>
      <c r="AU43" s="5">
        <v>0</v>
      </c>
      <c r="AV43" s="5">
        <v>0</v>
      </c>
      <c r="AW43" s="23">
        <v>0</v>
      </c>
      <c r="AX43" s="5">
        <v>0</v>
      </c>
      <c r="AY43" s="5">
        <v>0</v>
      </c>
      <c r="AZ43" s="23">
        <v>0</v>
      </c>
      <c r="BA43" s="5">
        <v>0</v>
      </c>
      <c r="BB43" s="5">
        <v>0</v>
      </c>
      <c r="BC43" s="23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23">
        <v>0</v>
      </c>
      <c r="BL43" s="23">
        <v>0</v>
      </c>
      <c r="BM43" s="23">
        <v>0</v>
      </c>
      <c r="BN43" s="23">
        <v>0</v>
      </c>
      <c r="BO43" s="23">
        <v>0</v>
      </c>
      <c r="BP43" s="5">
        <v>0</v>
      </c>
      <c r="BQ43" s="5">
        <v>0</v>
      </c>
      <c r="BR43" s="23">
        <v>0</v>
      </c>
      <c r="BS43" s="28">
        <v>0</v>
      </c>
      <c r="BT43" s="5">
        <v>0</v>
      </c>
      <c r="BU43" s="23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29">
        <v>0</v>
      </c>
      <c r="CG43" s="67">
        <f t="shared" si="8"/>
        <v>3</v>
      </c>
      <c r="CH43" s="69">
        <f t="shared" si="9"/>
        <v>2</v>
      </c>
      <c r="CI43" s="30">
        <f t="shared" si="3"/>
        <v>0</v>
      </c>
      <c r="CJ43" s="30">
        <f t="shared" si="10"/>
        <v>3</v>
      </c>
      <c r="CK43" s="30">
        <f t="shared" si="5"/>
        <v>0</v>
      </c>
      <c r="CL43" s="67">
        <f t="shared" si="6"/>
        <v>1</v>
      </c>
      <c r="CM43" s="30">
        <v>3</v>
      </c>
      <c r="CN43" s="30">
        <v>0</v>
      </c>
      <c r="CO43" s="30">
        <v>0</v>
      </c>
      <c r="CP43" s="30">
        <v>0</v>
      </c>
      <c r="CQ43" s="67">
        <v>1</v>
      </c>
    </row>
    <row r="44" spans="1:95" x14ac:dyDescent="0.3">
      <c r="A44" s="13">
        <v>498</v>
      </c>
      <c r="B44" s="7" t="s">
        <v>3</v>
      </c>
      <c r="C44" s="7" t="s">
        <v>1</v>
      </c>
      <c r="D44" s="7" t="s">
        <v>4</v>
      </c>
      <c r="E44" s="7">
        <v>2</v>
      </c>
      <c r="F44" s="7" t="s">
        <v>6</v>
      </c>
      <c r="G44" s="7">
        <v>6.9</v>
      </c>
      <c r="H44" s="7">
        <v>1</v>
      </c>
      <c r="I44" s="7">
        <v>24.141999999999999</v>
      </c>
      <c r="J44" s="7">
        <v>5.6130000000000004</v>
      </c>
      <c r="K44" s="7">
        <v>23.249937867616605</v>
      </c>
      <c r="L44" s="7">
        <v>18.652173913043477</v>
      </c>
      <c r="M44" s="7">
        <f t="shared" si="7"/>
        <v>0.20643607564315145</v>
      </c>
      <c r="N44" s="7">
        <v>48.64</v>
      </c>
      <c r="O44" s="7">
        <v>0.72299999999999998</v>
      </c>
      <c r="P44" s="7">
        <v>4.5170000000000003</v>
      </c>
      <c r="Q44" s="7">
        <v>2.9129999999999998</v>
      </c>
      <c r="R44" s="7">
        <v>1.9760000000000002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23">
        <v>0</v>
      </c>
      <c r="AG44" s="24">
        <v>0</v>
      </c>
      <c r="AH44" s="5">
        <v>0</v>
      </c>
      <c r="AI44" s="5">
        <v>0</v>
      </c>
      <c r="AJ44" s="23">
        <v>0</v>
      </c>
      <c r="AK44" s="25">
        <v>0</v>
      </c>
      <c r="AL44" s="26">
        <v>0</v>
      </c>
      <c r="AM44" s="26">
        <v>0</v>
      </c>
      <c r="AN44" s="27">
        <v>0</v>
      </c>
      <c r="AO44" s="26">
        <v>0</v>
      </c>
      <c r="AP44" s="23">
        <v>0</v>
      </c>
      <c r="AQ44" s="5">
        <v>0</v>
      </c>
      <c r="AR44" s="23">
        <v>0</v>
      </c>
      <c r="AS44" s="25">
        <v>0</v>
      </c>
      <c r="AT44" s="5">
        <v>0</v>
      </c>
      <c r="AU44" s="5">
        <v>0</v>
      </c>
      <c r="AV44" s="5">
        <v>0</v>
      </c>
      <c r="AW44" s="23">
        <v>0</v>
      </c>
      <c r="AX44" s="5">
        <v>0</v>
      </c>
      <c r="AY44" s="5">
        <v>0</v>
      </c>
      <c r="AZ44" s="23">
        <v>0</v>
      </c>
      <c r="BA44" s="5">
        <v>0</v>
      </c>
      <c r="BB44" s="5">
        <v>0</v>
      </c>
      <c r="BC44" s="23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23">
        <v>0</v>
      </c>
      <c r="BL44" s="23">
        <v>0</v>
      </c>
      <c r="BM44" s="23">
        <v>0</v>
      </c>
      <c r="BN44" s="23">
        <v>0</v>
      </c>
      <c r="BO44" s="23">
        <v>0</v>
      </c>
      <c r="BP44" s="5">
        <v>0</v>
      </c>
      <c r="BQ44" s="5">
        <v>0</v>
      </c>
      <c r="BR44" s="23">
        <v>0</v>
      </c>
      <c r="BS44" s="28">
        <v>0</v>
      </c>
      <c r="BT44" s="5">
        <v>0</v>
      </c>
      <c r="BU44" s="23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29">
        <v>0</v>
      </c>
      <c r="CG44" s="67">
        <f t="shared" si="8"/>
        <v>0</v>
      </c>
      <c r="CH44" s="69">
        <f t="shared" si="9"/>
        <v>0</v>
      </c>
      <c r="CI44" s="30">
        <f t="shared" si="3"/>
        <v>0</v>
      </c>
      <c r="CJ44" s="30">
        <f t="shared" si="10"/>
        <v>0</v>
      </c>
      <c r="CK44" s="30">
        <f t="shared" si="5"/>
        <v>0</v>
      </c>
      <c r="CL44" s="67">
        <f t="shared" si="6"/>
        <v>0</v>
      </c>
      <c r="CM44" s="30">
        <v>0</v>
      </c>
      <c r="CN44" s="30">
        <v>0</v>
      </c>
      <c r="CO44" s="30">
        <v>0</v>
      </c>
      <c r="CP44" s="30">
        <v>0</v>
      </c>
      <c r="CQ44" s="67">
        <v>0</v>
      </c>
    </row>
    <row r="45" spans="1:95" x14ac:dyDescent="0.3">
      <c r="A45" s="13">
        <v>507</v>
      </c>
      <c r="B45" s="7" t="s">
        <v>3</v>
      </c>
      <c r="C45" s="7" t="s">
        <v>14</v>
      </c>
      <c r="D45" s="7" t="s">
        <v>4</v>
      </c>
      <c r="E45" s="7">
        <v>1</v>
      </c>
      <c r="F45" s="7" t="s">
        <v>6</v>
      </c>
      <c r="G45" s="7">
        <v>7.01</v>
      </c>
      <c r="H45" s="7">
        <v>1</v>
      </c>
      <c r="I45" s="7">
        <v>23.687000000000001</v>
      </c>
      <c r="J45" s="7">
        <v>5.9139999999999997</v>
      </c>
      <c r="K45" s="7">
        <v>24.967281631274535</v>
      </c>
      <c r="L45" s="7">
        <v>15.634807417974326</v>
      </c>
      <c r="M45" s="7">
        <f t="shared" si="7"/>
        <v>0.17001527961621332</v>
      </c>
      <c r="N45" s="7">
        <v>48.37</v>
      </c>
      <c r="O45" s="7">
        <v>0.752</v>
      </c>
      <c r="P45" s="7">
        <v>4.702</v>
      </c>
      <c r="Q45" s="7">
        <v>2.8919999999999999</v>
      </c>
      <c r="R45" s="7">
        <v>1.9980000000000002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23">
        <v>0</v>
      </c>
      <c r="AG45" s="24">
        <v>0</v>
      </c>
      <c r="AH45" s="5">
        <v>0</v>
      </c>
      <c r="AI45" s="5">
        <v>0</v>
      </c>
      <c r="AJ45" s="23">
        <v>0</v>
      </c>
      <c r="AK45" s="25">
        <v>2</v>
      </c>
      <c r="AL45" s="26">
        <v>0</v>
      </c>
      <c r="AM45" s="26">
        <v>0</v>
      </c>
      <c r="AN45" s="27">
        <v>0</v>
      </c>
      <c r="AO45" s="26">
        <v>0</v>
      </c>
      <c r="AP45" s="23">
        <v>0</v>
      </c>
      <c r="AQ45" s="5">
        <v>0</v>
      </c>
      <c r="AR45" s="23">
        <v>0</v>
      </c>
      <c r="AS45" s="25">
        <v>0</v>
      </c>
      <c r="AT45" s="5">
        <v>0</v>
      </c>
      <c r="AU45" s="5">
        <v>0</v>
      </c>
      <c r="AV45" s="5">
        <v>0</v>
      </c>
      <c r="AW45" s="23">
        <v>0</v>
      </c>
      <c r="AX45" s="5">
        <v>0</v>
      </c>
      <c r="AY45" s="5">
        <v>0</v>
      </c>
      <c r="AZ45" s="23">
        <v>0</v>
      </c>
      <c r="BA45" s="5">
        <v>0</v>
      </c>
      <c r="BB45" s="5">
        <v>0</v>
      </c>
      <c r="BC45" s="23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23">
        <v>0</v>
      </c>
      <c r="BL45" s="23">
        <v>0</v>
      </c>
      <c r="BM45" s="23">
        <v>0</v>
      </c>
      <c r="BN45" s="23">
        <v>0</v>
      </c>
      <c r="BO45" s="23">
        <v>0</v>
      </c>
      <c r="BP45" s="5">
        <v>0</v>
      </c>
      <c r="BQ45" s="5">
        <v>0</v>
      </c>
      <c r="BR45" s="23">
        <v>0</v>
      </c>
      <c r="BS45" s="28">
        <v>0</v>
      </c>
      <c r="BT45" s="5">
        <v>0</v>
      </c>
      <c r="BU45" s="23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29">
        <v>0</v>
      </c>
      <c r="CG45" s="67">
        <f t="shared" si="8"/>
        <v>2</v>
      </c>
      <c r="CH45" s="69">
        <f t="shared" si="9"/>
        <v>1</v>
      </c>
      <c r="CI45" s="30">
        <f t="shared" si="3"/>
        <v>0</v>
      </c>
      <c r="CJ45" s="30">
        <f t="shared" si="10"/>
        <v>0</v>
      </c>
      <c r="CK45" s="30">
        <f t="shared" si="5"/>
        <v>2</v>
      </c>
      <c r="CL45" s="67">
        <f t="shared" si="6"/>
        <v>1</v>
      </c>
      <c r="CM45" s="30">
        <v>2</v>
      </c>
      <c r="CN45" s="30">
        <v>0</v>
      </c>
      <c r="CO45" s="30">
        <v>0</v>
      </c>
      <c r="CP45" s="30">
        <v>0</v>
      </c>
      <c r="CQ45" s="67">
        <v>1</v>
      </c>
    </row>
    <row r="46" spans="1:95" x14ac:dyDescent="0.3">
      <c r="A46" s="13">
        <v>508</v>
      </c>
      <c r="B46" s="7" t="s">
        <v>3</v>
      </c>
      <c r="C46" s="7" t="s">
        <v>1</v>
      </c>
      <c r="D46" s="7" t="s">
        <v>4</v>
      </c>
      <c r="E46" s="7">
        <v>1</v>
      </c>
      <c r="F46" s="7" t="s">
        <v>6</v>
      </c>
      <c r="G46" s="7">
        <v>7.08</v>
      </c>
      <c r="H46" s="7">
        <v>1</v>
      </c>
      <c r="I46" s="7">
        <v>21.074000000000002</v>
      </c>
      <c r="J46" s="7">
        <v>5.8540000000000001</v>
      </c>
      <c r="K46" s="7">
        <v>27.778305020404286</v>
      </c>
      <c r="L46" s="7">
        <v>17.316384180790962</v>
      </c>
      <c r="M46" s="7">
        <f t="shared" si="7"/>
        <v>0.19014871943593423</v>
      </c>
      <c r="N46" s="7">
        <v>47.75</v>
      </c>
      <c r="O46" s="7">
        <v>0.90300000000000002</v>
      </c>
      <c r="P46" s="7">
        <v>5.6429999999999998</v>
      </c>
      <c r="Q46" s="7">
        <v>2.7069999999999999</v>
      </c>
      <c r="R46" s="7">
        <v>1.9590000000000001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23">
        <v>0</v>
      </c>
      <c r="AG46" s="24">
        <v>0</v>
      </c>
      <c r="AH46" s="5">
        <v>0</v>
      </c>
      <c r="AI46" s="5">
        <v>0</v>
      </c>
      <c r="AJ46" s="23">
        <v>0</v>
      </c>
      <c r="AK46" s="25">
        <v>0</v>
      </c>
      <c r="AL46" s="26">
        <v>0</v>
      </c>
      <c r="AM46" s="26">
        <v>1</v>
      </c>
      <c r="AN46" s="27">
        <v>1</v>
      </c>
      <c r="AO46" s="26">
        <v>0</v>
      </c>
      <c r="AP46" s="23">
        <v>1</v>
      </c>
      <c r="AQ46" s="5">
        <v>0</v>
      </c>
      <c r="AR46" s="23">
        <v>0</v>
      </c>
      <c r="AS46" s="25">
        <v>0</v>
      </c>
      <c r="AT46" s="5">
        <v>0</v>
      </c>
      <c r="AU46" s="5">
        <v>0</v>
      </c>
      <c r="AV46" s="5">
        <v>0</v>
      </c>
      <c r="AW46" s="23">
        <v>0</v>
      </c>
      <c r="AX46" s="5">
        <v>0</v>
      </c>
      <c r="AY46" s="5">
        <v>0</v>
      </c>
      <c r="AZ46" s="23">
        <v>0</v>
      </c>
      <c r="BA46" s="5">
        <v>0</v>
      </c>
      <c r="BB46" s="5">
        <v>0</v>
      </c>
      <c r="BC46" s="23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23">
        <v>0</v>
      </c>
      <c r="BL46" s="23">
        <v>0</v>
      </c>
      <c r="BM46" s="23">
        <v>0</v>
      </c>
      <c r="BN46" s="23">
        <v>0</v>
      </c>
      <c r="BO46" s="23">
        <v>0</v>
      </c>
      <c r="BP46" s="5">
        <v>0</v>
      </c>
      <c r="BQ46" s="5">
        <v>0</v>
      </c>
      <c r="BR46" s="23">
        <v>0</v>
      </c>
      <c r="BS46" s="28">
        <v>0</v>
      </c>
      <c r="BT46" s="5">
        <v>0</v>
      </c>
      <c r="BU46" s="23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29">
        <v>0</v>
      </c>
      <c r="CG46" s="67">
        <f t="shared" si="8"/>
        <v>3</v>
      </c>
      <c r="CH46" s="69">
        <f t="shared" si="9"/>
        <v>3</v>
      </c>
      <c r="CI46" s="30">
        <f t="shared" si="3"/>
        <v>0</v>
      </c>
      <c r="CJ46" s="30">
        <f t="shared" si="10"/>
        <v>2</v>
      </c>
      <c r="CK46" s="30">
        <f t="shared" si="5"/>
        <v>0</v>
      </c>
      <c r="CL46" s="67">
        <f t="shared" si="6"/>
        <v>1</v>
      </c>
      <c r="CM46" s="30">
        <v>3</v>
      </c>
      <c r="CN46" s="30">
        <v>0</v>
      </c>
      <c r="CO46" s="30">
        <v>0</v>
      </c>
      <c r="CP46" s="30">
        <v>0</v>
      </c>
      <c r="CQ46" s="67">
        <v>1</v>
      </c>
    </row>
    <row r="47" spans="1:95" x14ac:dyDescent="0.3">
      <c r="A47" s="13">
        <v>514</v>
      </c>
      <c r="B47" s="7" t="s">
        <v>3</v>
      </c>
      <c r="C47" s="7" t="s">
        <v>1</v>
      </c>
      <c r="D47" s="7" t="s">
        <v>4</v>
      </c>
      <c r="E47" s="7">
        <v>3</v>
      </c>
      <c r="F47" s="7" t="s">
        <v>6</v>
      </c>
      <c r="G47" s="7">
        <v>6.92</v>
      </c>
      <c r="H47" s="7">
        <v>1</v>
      </c>
      <c r="I47" s="7">
        <v>36.938000000000002</v>
      </c>
      <c r="J47" s="7">
        <v>5.6680000000000001</v>
      </c>
      <c r="K47" s="7">
        <v>15.344631544750662</v>
      </c>
      <c r="L47" s="7">
        <v>18.092485549132945</v>
      </c>
      <c r="M47" s="7">
        <f t="shared" si="7"/>
        <v>0.19957944780114412</v>
      </c>
      <c r="N47" s="7">
        <v>49.1</v>
      </c>
      <c r="O47" s="7">
        <v>0.60399999999999998</v>
      </c>
      <c r="P47" s="7">
        <v>3.7730000000000001</v>
      </c>
      <c r="Q47" s="7">
        <v>2.9489999999999998</v>
      </c>
      <c r="R47" s="7">
        <v>2.1760000000000002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23">
        <v>0</v>
      </c>
      <c r="AG47" s="24">
        <v>0</v>
      </c>
      <c r="AH47" s="5">
        <v>3</v>
      </c>
      <c r="AI47" s="5">
        <v>0</v>
      </c>
      <c r="AJ47" s="23">
        <v>0</v>
      </c>
      <c r="AK47" s="25">
        <v>0</v>
      </c>
      <c r="AL47" s="26">
        <v>0</v>
      </c>
      <c r="AM47" s="26">
        <v>0</v>
      </c>
      <c r="AN47" s="27">
        <v>0</v>
      </c>
      <c r="AO47" s="26">
        <v>0</v>
      </c>
      <c r="AP47" s="23">
        <v>1</v>
      </c>
      <c r="AQ47" s="5">
        <v>0</v>
      </c>
      <c r="AR47" s="23">
        <v>0</v>
      </c>
      <c r="AS47" s="25">
        <v>0</v>
      </c>
      <c r="AT47" s="5">
        <v>0</v>
      </c>
      <c r="AU47" s="5">
        <v>0</v>
      </c>
      <c r="AV47" s="5">
        <v>0</v>
      </c>
      <c r="AW47" s="23">
        <v>0</v>
      </c>
      <c r="AX47" s="5">
        <v>0</v>
      </c>
      <c r="AY47" s="5">
        <v>0</v>
      </c>
      <c r="AZ47" s="23">
        <v>0</v>
      </c>
      <c r="BA47" s="5">
        <v>0</v>
      </c>
      <c r="BB47" s="5">
        <v>0</v>
      </c>
      <c r="BC47" s="23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1</v>
      </c>
      <c r="BJ47" s="5">
        <v>0</v>
      </c>
      <c r="BK47" s="23">
        <v>0</v>
      </c>
      <c r="BL47" s="23">
        <v>0</v>
      </c>
      <c r="BM47" s="23">
        <v>0</v>
      </c>
      <c r="BN47" s="23">
        <v>0</v>
      </c>
      <c r="BO47" s="23">
        <v>0</v>
      </c>
      <c r="BP47" s="5">
        <v>0</v>
      </c>
      <c r="BQ47" s="5">
        <v>0</v>
      </c>
      <c r="BR47" s="23">
        <v>0</v>
      </c>
      <c r="BS47" s="28">
        <v>0</v>
      </c>
      <c r="BT47" s="5">
        <v>0</v>
      </c>
      <c r="BU47" s="23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29">
        <v>0</v>
      </c>
      <c r="CG47" s="67">
        <f t="shared" si="8"/>
        <v>5</v>
      </c>
      <c r="CH47" s="69">
        <f t="shared" si="9"/>
        <v>3</v>
      </c>
      <c r="CI47" s="30">
        <f t="shared" si="3"/>
        <v>0</v>
      </c>
      <c r="CJ47" s="30">
        <f t="shared" si="10"/>
        <v>3</v>
      </c>
      <c r="CK47" s="30">
        <f t="shared" si="5"/>
        <v>1</v>
      </c>
      <c r="CL47" s="67">
        <f t="shared" si="6"/>
        <v>2</v>
      </c>
      <c r="CM47" s="30">
        <v>5</v>
      </c>
      <c r="CN47" s="30">
        <v>0</v>
      </c>
      <c r="CO47" s="30">
        <v>0</v>
      </c>
      <c r="CP47" s="30">
        <v>0</v>
      </c>
      <c r="CQ47" s="67">
        <v>1</v>
      </c>
    </row>
    <row r="48" spans="1:95" x14ac:dyDescent="0.3">
      <c r="A48" s="7">
        <v>517</v>
      </c>
      <c r="B48" s="7" t="s">
        <v>3</v>
      </c>
      <c r="C48" s="7" t="s">
        <v>14</v>
      </c>
      <c r="D48" s="7" t="s">
        <v>4</v>
      </c>
      <c r="E48" s="7">
        <v>2</v>
      </c>
      <c r="F48" s="7" t="s">
        <v>6</v>
      </c>
      <c r="G48" s="7">
        <v>7.02</v>
      </c>
      <c r="H48" s="7">
        <v>1</v>
      </c>
      <c r="I48" s="7">
        <v>27.510999999999999</v>
      </c>
      <c r="J48" s="7">
        <v>5.89</v>
      </c>
      <c r="K48" s="7">
        <v>21.40961797099342</v>
      </c>
      <c r="L48" s="7">
        <v>16.096866096866098</v>
      </c>
      <c r="M48" s="7">
        <f t="shared" si="7"/>
        <v>0.17550722037422434</v>
      </c>
      <c r="N48" s="7">
        <v>48.54</v>
      </c>
      <c r="O48" s="7">
        <v>0.8</v>
      </c>
      <c r="P48" s="7">
        <v>4.9989999999999997</v>
      </c>
      <c r="Q48" s="7">
        <v>2.782</v>
      </c>
      <c r="R48" s="7">
        <v>2.0893333333333333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0</v>
      </c>
      <c r="AF48" s="23">
        <v>0</v>
      </c>
      <c r="AG48" s="24">
        <v>3</v>
      </c>
      <c r="AH48" s="5">
        <v>1</v>
      </c>
      <c r="AI48" s="5">
        <v>0</v>
      </c>
      <c r="AJ48" s="23">
        <v>0</v>
      </c>
      <c r="AK48" s="25">
        <v>0</v>
      </c>
      <c r="AL48" s="26">
        <v>0</v>
      </c>
      <c r="AM48" s="26">
        <v>0</v>
      </c>
      <c r="AN48" s="27">
        <v>0</v>
      </c>
      <c r="AO48" s="26">
        <v>0</v>
      </c>
      <c r="AP48" s="23">
        <v>0</v>
      </c>
      <c r="AQ48" s="5">
        <v>0</v>
      </c>
      <c r="AR48" s="23">
        <v>0</v>
      </c>
      <c r="AS48" s="25">
        <v>0</v>
      </c>
      <c r="AT48" s="5">
        <v>0</v>
      </c>
      <c r="AU48" s="5">
        <v>0</v>
      </c>
      <c r="AV48" s="5">
        <v>0</v>
      </c>
      <c r="AW48" s="23">
        <v>0</v>
      </c>
      <c r="AX48" s="5">
        <v>0</v>
      </c>
      <c r="AY48" s="5">
        <v>0</v>
      </c>
      <c r="AZ48" s="23">
        <v>0</v>
      </c>
      <c r="BA48" s="5">
        <v>0</v>
      </c>
      <c r="BB48" s="5">
        <v>0</v>
      </c>
      <c r="BC48" s="23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23">
        <v>0</v>
      </c>
      <c r="BL48" s="23">
        <v>0</v>
      </c>
      <c r="BM48" s="23">
        <v>0</v>
      </c>
      <c r="BN48" s="23">
        <v>0</v>
      </c>
      <c r="BO48" s="23">
        <v>0</v>
      </c>
      <c r="BP48" s="5">
        <v>0</v>
      </c>
      <c r="BQ48" s="5">
        <v>0</v>
      </c>
      <c r="BR48" s="23">
        <v>0</v>
      </c>
      <c r="BS48" s="28">
        <v>0</v>
      </c>
      <c r="BT48" s="5">
        <v>0</v>
      </c>
      <c r="BU48" s="23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29">
        <v>0</v>
      </c>
      <c r="CG48" s="67">
        <f t="shared" si="8"/>
        <v>5</v>
      </c>
      <c r="CH48" s="69">
        <f t="shared" si="9"/>
        <v>3</v>
      </c>
      <c r="CI48" s="30">
        <f t="shared" si="3"/>
        <v>0</v>
      </c>
      <c r="CJ48" s="30">
        <f t="shared" si="10"/>
        <v>5</v>
      </c>
      <c r="CK48" s="30">
        <f t="shared" si="5"/>
        <v>0</v>
      </c>
      <c r="CL48" s="67">
        <f t="shared" si="6"/>
        <v>1</v>
      </c>
      <c r="CM48" s="30">
        <v>4</v>
      </c>
      <c r="CN48" s="30">
        <v>0</v>
      </c>
      <c r="CO48" s="30">
        <v>0</v>
      </c>
      <c r="CP48" s="30">
        <v>1</v>
      </c>
      <c r="CQ48" s="67">
        <v>1</v>
      </c>
    </row>
    <row r="49" spans="1:95" x14ac:dyDescent="0.3">
      <c r="A49" s="13">
        <v>528</v>
      </c>
      <c r="B49" s="7" t="s">
        <v>3</v>
      </c>
      <c r="C49" s="7" t="s">
        <v>14</v>
      </c>
      <c r="D49" s="7" t="s">
        <v>4</v>
      </c>
      <c r="E49" s="7">
        <v>5</v>
      </c>
      <c r="F49" s="7" t="s">
        <v>6</v>
      </c>
      <c r="G49" s="7">
        <v>7.06</v>
      </c>
      <c r="H49" s="7">
        <v>1</v>
      </c>
      <c r="I49" s="7">
        <v>28.091000000000001</v>
      </c>
      <c r="J49" s="7">
        <v>6.2720000000000002</v>
      </c>
      <c r="K49" s="7">
        <v>22.327435833540992</v>
      </c>
      <c r="L49" s="7">
        <v>11.161473087818688</v>
      </c>
      <c r="M49" s="7">
        <f t="shared" si="7"/>
        <v>0.11834976845704386</v>
      </c>
      <c r="N49" s="7">
        <v>48.47</v>
      </c>
      <c r="O49" s="7">
        <v>0.94299999999999995</v>
      </c>
      <c r="P49" s="7">
        <v>5.8959999999999999</v>
      </c>
      <c r="Q49" s="7">
        <v>3.605</v>
      </c>
      <c r="R49" s="7">
        <v>2.12</v>
      </c>
      <c r="S49" s="5">
        <v>4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23">
        <v>0</v>
      </c>
      <c r="AG49" s="24">
        <v>0</v>
      </c>
      <c r="AH49" s="5">
        <v>0</v>
      </c>
      <c r="AI49" s="5">
        <v>0</v>
      </c>
      <c r="AJ49" s="23">
        <v>0</v>
      </c>
      <c r="AK49" s="25">
        <v>0</v>
      </c>
      <c r="AL49" s="26">
        <v>0</v>
      </c>
      <c r="AM49" s="26">
        <v>0</v>
      </c>
      <c r="AN49" s="27">
        <v>0</v>
      </c>
      <c r="AO49" s="26">
        <v>0</v>
      </c>
      <c r="AP49" s="23">
        <v>0</v>
      </c>
      <c r="AQ49" s="5">
        <v>0</v>
      </c>
      <c r="AR49" s="23">
        <v>0</v>
      </c>
      <c r="AS49" s="25">
        <v>0</v>
      </c>
      <c r="AT49" s="5">
        <v>0</v>
      </c>
      <c r="AU49" s="5">
        <v>0</v>
      </c>
      <c r="AV49" s="5">
        <v>0</v>
      </c>
      <c r="AW49" s="23">
        <v>0</v>
      </c>
      <c r="AX49" s="5">
        <v>0</v>
      </c>
      <c r="AY49" s="5">
        <v>0</v>
      </c>
      <c r="AZ49" s="23">
        <v>0</v>
      </c>
      <c r="BA49" s="5">
        <v>0</v>
      </c>
      <c r="BB49" s="5">
        <v>0</v>
      </c>
      <c r="BC49" s="23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23">
        <v>0</v>
      </c>
      <c r="BL49" s="23">
        <v>0</v>
      </c>
      <c r="BM49" s="23">
        <v>0</v>
      </c>
      <c r="BN49" s="23">
        <v>0</v>
      </c>
      <c r="BO49" s="23">
        <v>0</v>
      </c>
      <c r="BP49" s="5">
        <v>0</v>
      </c>
      <c r="BQ49" s="5">
        <v>0</v>
      </c>
      <c r="BR49" s="23">
        <v>0</v>
      </c>
      <c r="BS49" s="28">
        <v>0</v>
      </c>
      <c r="BT49" s="5">
        <v>0</v>
      </c>
      <c r="BU49" s="23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29">
        <v>0</v>
      </c>
      <c r="CG49" s="67">
        <f t="shared" si="8"/>
        <v>5</v>
      </c>
      <c r="CH49" s="69">
        <f t="shared" si="9"/>
        <v>2</v>
      </c>
      <c r="CI49" s="30">
        <f t="shared" si="3"/>
        <v>0</v>
      </c>
      <c r="CJ49" s="30">
        <f t="shared" si="10"/>
        <v>5</v>
      </c>
      <c r="CK49" s="30">
        <f t="shared" si="5"/>
        <v>0</v>
      </c>
      <c r="CL49" s="67">
        <f t="shared" si="6"/>
        <v>1</v>
      </c>
      <c r="CM49" s="30">
        <v>5</v>
      </c>
      <c r="CN49" s="30">
        <v>0</v>
      </c>
      <c r="CO49" s="30">
        <v>0</v>
      </c>
      <c r="CP49" s="30">
        <v>0</v>
      </c>
      <c r="CQ49" s="67">
        <v>1</v>
      </c>
    </row>
    <row r="50" spans="1:95" x14ac:dyDescent="0.3">
      <c r="A50" s="13">
        <v>531</v>
      </c>
      <c r="B50" s="7" t="s">
        <v>3</v>
      </c>
      <c r="C50" s="7" t="s">
        <v>14</v>
      </c>
      <c r="D50" s="7" t="s">
        <v>4</v>
      </c>
      <c r="E50" s="7">
        <v>3</v>
      </c>
      <c r="F50" s="7" t="s">
        <v>6</v>
      </c>
      <c r="G50" s="7">
        <v>7.01</v>
      </c>
      <c r="H50" s="7">
        <v>1</v>
      </c>
      <c r="I50" s="7">
        <v>19.359000000000002</v>
      </c>
      <c r="J50" s="7">
        <v>6.0720000000000001</v>
      </c>
      <c r="K50" s="7">
        <v>31.365256469858977</v>
      </c>
      <c r="L50" s="7">
        <v>13.380884450784588</v>
      </c>
      <c r="M50" s="7">
        <f t="shared" si="7"/>
        <v>0.14364966095316989</v>
      </c>
      <c r="N50" s="7">
        <v>48.01</v>
      </c>
      <c r="O50" s="7">
        <v>0.85599999999999998</v>
      </c>
      <c r="P50" s="7">
        <v>5.3470000000000004</v>
      </c>
      <c r="Q50" s="7">
        <v>3.819</v>
      </c>
      <c r="R50" s="7">
        <v>2.5730000000000004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23">
        <v>0</v>
      </c>
      <c r="AG50" s="24">
        <v>0</v>
      </c>
      <c r="AH50" s="5">
        <v>0</v>
      </c>
      <c r="AI50" s="5">
        <v>0</v>
      </c>
      <c r="AJ50" s="23">
        <v>0</v>
      </c>
      <c r="AK50" s="25">
        <v>1</v>
      </c>
      <c r="AL50" s="26">
        <v>0</v>
      </c>
      <c r="AM50" s="26">
        <v>0</v>
      </c>
      <c r="AN50" s="27">
        <v>0</v>
      </c>
      <c r="AO50" s="26">
        <v>0</v>
      </c>
      <c r="AP50" s="23">
        <v>0</v>
      </c>
      <c r="AQ50" s="5">
        <v>0</v>
      </c>
      <c r="AR50" s="23">
        <v>0</v>
      </c>
      <c r="AS50" s="25">
        <v>0</v>
      </c>
      <c r="AT50" s="5">
        <v>0</v>
      </c>
      <c r="AU50" s="5">
        <v>0</v>
      </c>
      <c r="AV50" s="5">
        <v>0</v>
      </c>
      <c r="AW50" s="23">
        <v>0</v>
      </c>
      <c r="AX50" s="5">
        <v>1</v>
      </c>
      <c r="AY50" s="5">
        <v>0</v>
      </c>
      <c r="AZ50" s="23">
        <v>0</v>
      </c>
      <c r="BA50" s="5">
        <v>0</v>
      </c>
      <c r="BB50" s="5">
        <v>0</v>
      </c>
      <c r="BC50" s="23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23">
        <v>0</v>
      </c>
      <c r="BL50" s="23">
        <v>0</v>
      </c>
      <c r="BM50" s="23">
        <v>0</v>
      </c>
      <c r="BN50" s="23">
        <v>0</v>
      </c>
      <c r="BO50" s="23">
        <v>0</v>
      </c>
      <c r="BP50" s="5">
        <v>0</v>
      </c>
      <c r="BQ50" s="5">
        <v>0</v>
      </c>
      <c r="BR50" s="23">
        <v>0</v>
      </c>
      <c r="BS50" s="28">
        <v>0</v>
      </c>
      <c r="BT50" s="5">
        <v>0</v>
      </c>
      <c r="BU50" s="23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29">
        <v>0</v>
      </c>
      <c r="CG50" s="67">
        <f t="shared" si="8"/>
        <v>2</v>
      </c>
      <c r="CH50" s="69">
        <f t="shared" si="9"/>
        <v>2</v>
      </c>
      <c r="CI50" s="30">
        <f t="shared" si="3"/>
        <v>0</v>
      </c>
      <c r="CJ50" s="30">
        <f t="shared" si="10"/>
        <v>0</v>
      </c>
      <c r="CK50" s="30">
        <f t="shared" si="5"/>
        <v>2</v>
      </c>
      <c r="CL50" s="67">
        <f t="shared" si="6"/>
        <v>1</v>
      </c>
      <c r="CM50" s="30">
        <v>1</v>
      </c>
      <c r="CN50" s="30">
        <v>0</v>
      </c>
      <c r="CO50" s="30">
        <v>0</v>
      </c>
      <c r="CP50" s="30">
        <v>1</v>
      </c>
      <c r="CQ50" s="67">
        <v>1</v>
      </c>
    </row>
    <row r="51" spans="1:95" x14ac:dyDescent="0.3">
      <c r="A51" s="13">
        <v>532</v>
      </c>
      <c r="B51" s="7" t="s">
        <v>3</v>
      </c>
      <c r="C51" s="7" t="s">
        <v>1</v>
      </c>
      <c r="D51" s="7" t="s">
        <v>4</v>
      </c>
      <c r="E51" s="7">
        <v>5</v>
      </c>
      <c r="F51" s="7" t="s">
        <v>6</v>
      </c>
      <c r="G51" s="7">
        <v>7</v>
      </c>
      <c r="H51" s="7">
        <v>1</v>
      </c>
      <c r="I51" s="7">
        <v>29.29</v>
      </c>
      <c r="J51" s="7">
        <v>6.0540000000000003</v>
      </c>
      <c r="K51" s="7">
        <v>20.669170365312397</v>
      </c>
      <c r="L51" s="7">
        <v>13.514285714285709</v>
      </c>
      <c r="M51" s="7">
        <f t="shared" si="7"/>
        <v>0.14519093845578637</v>
      </c>
      <c r="N51" s="7">
        <v>47.45</v>
      </c>
      <c r="O51" s="7">
        <v>0.872</v>
      </c>
      <c r="P51" s="7">
        <v>5.45</v>
      </c>
      <c r="Q51" s="7">
        <v>2.7330000000000001</v>
      </c>
      <c r="R51" s="7">
        <v>2.625</v>
      </c>
      <c r="S51" s="5">
        <v>8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23">
        <v>0</v>
      </c>
      <c r="AG51" s="24">
        <v>2</v>
      </c>
      <c r="AH51" s="5">
        <v>1</v>
      </c>
      <c r="AI51" s="5">
        <v>0</v>
      </c>
      <c r="AJ51" s="23">
        <v>0</v>
      </c>
      <c r="AK51" s="25">
        <v>0</v>
      </c>
      <c r="AL51" s="26">
        <v>0</v>
      </c>
      <c r="AM51" s="26">
        <v>0</v>
      </c>
      <c r="AN51" s="27">
        <v>0</v>
      </c>
      <c r="AO51" s="26">
        <v>0</v>
      </c>
      <c r="AP51" s="23">
        <v>0</v>
      </c>
      <c r="AQ51" s="5">
        <v>0</v>
      </c>
      <c r="AR51" s="23">
        <v>0</v>
      </c>
      <c r="AS51" s="25">
        <v>0</v>
      </c>
      <c r="AT51" s="5">
        <v>0</v>
      </c>
      <c r="AU51" s="5">
        <v>0</v>
      </c>
      <c r="AV51" s="5">
        <v>0</v>
      </c>
      <c r="AW51" s="23">
        <v>0</v>
      </c>
      <c r="AX51" s="5">
        <v>0</v>
      </c>
      <c r="AY51" s="5">
        <v>0</v>
      </c>
      <c r="AZ51" s="23">
        <v>0</v>
      </c>
      <c r="BA51" s="5">
        <v>0</v>
      </c>
      <c r="BB51" s="5">
        <v>0</v>
      </c>
      <c r="BC51" s="23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23">
        <v>0</v>
      </c>
      <c r="BL51" s="23">
        <v>0</v>
      </c>
      <c r="BM51" s="23">
        <v>0</v>
      </c>
      <c r="BN51" s="23">
        <v>0</v>
      </c>
      <c r="BO51" s="23">
        <v>0</v>
      </c>
      <c r="BP51" s="5">
        <v>0</v>
      </c>
      <c r="BQ51" s="5">
        <v>0</v>
      </c>
      <c r="BR51" s="23">
        <v>0</v>
      </c>
      <c r="BS51" s="28">
        <v>0</v>
      </c>
      <c r="BT51" s="5">
        <v>0</v>
      </c>
      <c r="BU51" s="23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29">
        <v>0</v>
      </c>
      <c r="CG51" s="67">
        <f t="shared" si="8"/>
        <v>11</v>
      </c>
      <c r="CH51" s="69">
        <f t="shared" si="9"/>
        <v>3</v>
      </c>
      <c r="CI51" s="30">
        <f t="shared" si="3"/>
        <v>0</v>
      </c>
      <c r="CJ51" s="30">
        <f t="shared" si="10"/>
        <v>11</v>
      </c>
      <c r="CK51" s="30">
        <f t="shared" si="5"/>
        <v>0</v>
      </c>
      <c r="CL51" s="67">
        <f t="shared" si="6"/>
        <v>1</v>
      </c>
      <c r="CM51" s="30">
        <v>11</v>
      </c>
      <c r="CN51" s="30">
        <v>0</v>
      </c>
      <c r="CO51" s="30">
        <v>0</v>
      </c>
      <c r="CP51" s="30">
        <v>0</v>
      </c>
      <c r="CQ51" s="67">
        <v>1</v>
      </c>
    </row>
    <row r="52" spans="1:95" x14ac:dyDescent="0.3">
      <c r="A52" s="13">
        <v>601</v>
      </c>
      <c r="B52" s="7" t="s">
        <v>3</v>
      </c>
      <c r="C52" s="7" t="s">
        <v>1</v>
      </c>
      <c r="D52" s="7" t="s">
        <v>5</v>
      </c>
      <c r="E52" s="7">
        <v>4</v>
      </c>
      <c r="F52" s="7" t="s">
        <v>6</v>
      </c>
      <c r="G52" s="7">
        <v>6.99</v>
      </c>
      <c r="H52" s="7">
        <v>1</v>
      </c>
      <c r="I52" s="7">
        <v>18.712</v>
      </c>
      <c r="J52" s="7">
        <v>4.992</v>
      </c>
      <c r="K52" s="7">
        <v>26.678067550235145</v>
      </c>
      <c r="L52" s="7">
        <v>28.583690987124466</v>
      </c>
      <c r="M52" s="7">
        <f t="shared" si="7"/>
        <v>0.33664392517859237</v>
      </c>
      <c r="N52" s="7">
        <v>47</v>
      </c>
      <c r="O52" s="7">
        <v>2.266</v>
      </c>
      <c r="P52" s="7">
        <v>14.164999999999999</v>
      </c>
      <c r="Q52" s="7">
        <v>1.0620000000000001</v>
      </c>
      <c r="R52" s="7">
        <v>2.1350000000000002</v>
      </c>
      <c r="S52" s="5">
        <v>2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23">
        <v>0</v>
      </c>
      <c r="AG52" s="24">
        <v>0</v>
      </c>
      <c r="AH52" s="5">
        <v>0</v>
      </c>
      <c r="AI52" s="5">
        <v>0</v>
      </c>
      <c r="AJ52" s="23">
        <v>0</v>
      </c>
      <c r="AK52" s="25">
        <v>0</v>
      </c>
      <c r="AL52" s="26">
        <v>0</v>
      </c>
      <c r="AM52" s="26">
        <v>0</v>
      </c>
      <c r="AN52" s="27">
        <v>0</v>
      </c>
      <c r="AO52" s="26">
        <v>0</v>
      </c>
      <c r="AP52" s="23">
        <v>0</v>
      </c>
      <c r="AQ52" s="5">
        <v>0</v>
      </c>
      <c r="AR52" s="23">
        <v>0</v>
      </c>
      <c r="AS52" s="25">
        <v>0</v>
      </c>
      <c r="AT52" s="5">
        <v>0</v>
      </c>
      <c r="AU52" s="5">
        <v>0</v>
      </c>
      <c r="AV52" s="5">
        <v>0</v>
      </c>
      <c r="AW52" s="23">
        <v>0</v>
      </c>
      <c r="AX52" s="5">
        <v>0</v>
      </c>
      <c r="AY52" s="5">
        <v>0</v>
      </c>
      <c r="AZ52" s="23">
        <v>0</v>
      </c>
      <c r="BA52" s="5">
        <v>0</v>
      </c>
      <c r="BB52" s="5">
        <v>0</v>
      </c>
      <c r="BC52" s="23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23">
        <v>0</v>
      </c>
      <c r="BL52" s="23">
        <v>0</v>
      </c>
      <c r="BM52" s="23">
        <v>0</v>
      </c>
      <c r="BN52" s="23">
        <v>0</v>
      </c>
      <c r="BO52" s="23">
        <v>0</v>
      </c>
      <c r="BP52" s="5">
        <v>0</v>
      </c>
      <c r="BQ52" s="5">
        <v>0</v>
      </c>
      <c r="BR52" s="23">
        <v>0</v>
      </c>
      <c r="BS52" s="28">
        <v>0</v>
      </c>
      <c r="BT52" s="5">
        <v>0</v>
      </c>
      <c r="BU52" s="23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29">
        <v>0</v>
      </c>
      <c r="CG52" s="67">
        <f t="shared" si="8"/>
        <v>2</v>
      </c>
      <c r="CH52" s="69">
        <f t="shared" si="9"/>
        <v>1</v>
      </c>
      <c r="CI52" s="30">
        <f t="shared" si="3"/>
        <v>0</v>
      </c>
      <c r="CJ52" s="30">
        <f t="shared" si="10"/>
        <v>2</v>
      </c>
      <c r="CK52" s="30">
        <f t="shared" si="5"/>
        <v>0</v>
      </c>
      <c r="CL52" s="67">
        <f t="shared" si="6"/>
        <v>1</v>
      </c>
      <c r="CM52" s="30">
        <v>2</v>
      </c>
      <c r="CN52" s="30">
        <v>0</v>
      </c>
      <c r="CO52" s="30">
        <v>0</v>
      </c>
      <c r="CP52" s="30">
        <v>0</v>
      </c>
      <c r="CQ52" s="67">
        <v>1</v>
      </c>
    </row>
    <row r="53" spans="1:95" x14ac:dyDescent="0.3">
      <c r="A53" s="13">
        <v>603</v>
      </c>
      <c r="B53" s="7" t="s">
        <v>3</v>
      </c>
      <c r="C53" s="7" t="s">
        <v>14</v>
      </c>
      <c r="D53" s="7" t="s">
        <v>5</v>
      </c>
      <c r="E53" s="7">
        <v>2</v>
      </c>
      <c r="F53" s="7" t="s">
        <v>6</v>
      </c>
      <c r="G53" s="7">
        <v>7.05</v>
      </c>
      <c r="H53" s="7">
        <v>1</v>
      </c>
      <c r="I53" s="7">
        <v>31.292000000000002</v>
      </c>
      <c r="J53" s="7">
        <v>5.2409999999999997</v>
      </c>
      <c r="K53" s="7">
        <v>16.748689760961266</v>
      </c>
      <c r="L53" s="7">
        <v>25.659574468085111</v>
      </c>
      <c r="M53" s="7">
        <f t="shared" si="7"/>
        <v>0.29651529700414814</v>
      </c>
      <c r="N53" s="7">
        <v>48.81</v>
      </c>
      <c r="O53" s="7">
        <v>2.3559999999999999</v>
      </c>
      <c r="P53" s="7">
        <v>14.727</v>
      </c>
      <c r="Q53" s="7">
        <v>0.88300000000000001</v>
      </c>
      <c r="R53" s="7">
        <v>1.75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23">
        <v>0</v>
      </c>
      <c r="AG53" s="24">
        <v>0</v>
      </c>
      <c r="AH53" s="5">
        <v>0</v>
      </c>
      <c r="AI53" s="5">
        <v>0</v>
      </c>
      <c r="AJ53" s="23">
        <v>0</v>
      </c>
      <c r="AK53" s="25">
        <v>0</v>
      </c>
      <c r="AL53" s="26">
        <v>0</v>
      </c>
      <c r="AM53" s="26">
        <v>0</v>
      </c>
      <c r="AN53" s="27">
        <v>0</v>
      </c>
      <c r="AO53" s="26">
        <v>0</v>
      </c>
      <c r="AP53" s="23">
        <v>0</v>
      </c>
      <c r="AQ53" s="5">
        <v>0</v>
      </c>
      <c r="AR53" s="23">
        <v>0</v>
      </c>
      <c r="AS53" s="25">
        <v>0</v>
      </c>
      <c r="AT53" s="5">
        <v>0</v>
      </c>
      <c r="AU53" s="5">
        <v>0</v>
      </c>
      <c r="AV53" s="5">
        <v>0</v>
      </c>
      <c r="AW53" s="23">
        <v>0</v>
      </c>
      <c r="AX53" s="5">
        <v>0</v>
      </c>
      <c r="AY53" s="5">
        <v>0</v>
      </c>
      <c r="AZ53" s="23">
        <v>0</v>
      </c>
      <c r="BA53" s="5">
        <v>0</v>
      </c>
      <c r="BB53" s="5">
        <v>0</v>
      </c>
      <c r="BC53" s="23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23">
        <v>0</v>
      </c>
      <c r="BL53" s="23">
        <v>0</v>
      </c>
      <c r="BM53" s="23">
        <v>0</v>
      </c>
      <c r="BN53" s="23">
        <v>0</v>
      </c>
      <c r="BO53" s="23">
        <v>0</v>
      </c>
      <c r="BP53" s="5">
        <v>0</v>
      </c>
      <c r="BQ53" s="5">
        <v>0</v>
      </c>
      <c r="BR53" s="23">
        <v>0</v>
      </c>
      <c r="BS53" s="28">
        <v>0</v>
      </c>
      <c r="BT53" s="5">
        <v>0</v>
      </c>
      <c r="BU53" s="23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29">
        <v>0</v>
      </c>
      <c r="CG53" s="67">
        <f t="shared" si="8"/>
        <v>0</v>
      </c>
      <c r="CH53" s="69">
        <f t="shared" si="9"/>
        <v>0</v>
      </c>
      <c r="CI53" s="30">
        <f t="shared" si="3"/>
        <v>0</v>
      </c>
      <c r="CJ53" s="30">
        <f t="shared" si="10"/>
        <v>0</v>
      </c>
      <c r="CK53" s="30">
        <f t="shared" si="5"/>
        <v>0</v>
      </c>
      <c r="CL53" s="67">
        <f t="shared" si="6"/>
        <v>0</v>
      </c>
      <c r="CM53" s="30">
        <v>0</v>
      </c>
      <c r="CN53" s="30">
        <v>0</v>
      </c>
      <c r="CO53" s="30">
        <v>0</v>
      </c>
      <c r="CP53" s="30">
        <v>0</v>
      </c>
      <c r="CQ53" s="67">
        <v>0</v>
      </c>
    </row>
    <row r="54" spans="1:95" x14ac:dyDescent="0.3">
      <c r="A54" s="13">
        <v>607</v>
      </c>
      <c r="B54" s="7" t="s">
        <v>3</v>
      </c>
      <c r="C54" s="7" t="s">
        <v>1</v>
      </c>
      <c r="D54" s="7" t="s">
        <v>5</v>
      </c>
      <c r="E54" s="7">
        <v>2</v>
      </c>
      <c r="F54" s="7" t="s">
        <v>6</v>
      </c>
      <c r="G54" s="7">
        <v>6.92</v>
      </c>
      <c r="H54" s="7">
        <v>1</v>
      </c>
      <c r="I54" s="7">
        <v>23.422000000000001</v>
      </c>
      <c r="J54" s="7">
        <v>5.1669999999999998</v>
      </c>
      <c r="K54" s="7">
        <v>22.060455981555801</v>
      </c>
      <c r="L54" s="7">
        <v>25.332369942196532</v>
      </c>
      <c r="M54" s="7">
        <f t="shared" si="7"/>
        <v>0.29212352032453065</v>
      </c>
      <c r="N54" s="7">
        <v>47.94</v>
      </c>
      <c r="O54" s="7">
        <v>2.1869999999999998</v>
      </c>
      <c r="P54" s="7">
        <v>13.672000000000001</v>
      </c>
      <c r="Q54" s="7">
        <v>0.93899999999999995</v>
      </c>
      <c r="R54" s="7">
        <v>1.4489999999999998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23">
        <v>0</v>
      </c>
      <c r="AG54" s="24">
        <v>0</v>
      </c>
      <c r="AH54" s="5">
        <v>0</v>
      </c>
      <c r="AI54" s="5">
        <v>0</v>
      </c>
      <c r="AJ54" s="23">
        <v>0</v>
      </c>
      <c r="AK54" s="25">
        <v>0</v>
      </c>
      <c r="AL54" s="26">
        <v>0</v>
      </c>
      <c r="AM54" s="26">
        <v>0</v>
      </c>
      <c r="AN54" s="27">
        <v>0</v>
      </c>
      <c r="AO54" s="26">
        <v>0</v>
      </c>
      <c r="AP54" s="23">
        <v>0</v>
      </c>
      <c r="AQ54" s="5">
        <v>0</v>
      </c>
      <c r="AR54" s="23">
        <v>0</v>
      </c>
      <c r="AS54" s="25">
        <v>0</v>
      </c>
      <c r="AT54" s="5">
        <v>0</v>
      </c>
      <c r="AU54" s="5">
        <v>0</v>
      </c>
      <c r="AV54" s="5">
        <v>0</v>
      </c>
      <c r="AW54" s="23">
        <v>0</v>
      </c>
      <c r="AX54" s="5">
        <v>0</v>
      </c>
      <c r="AY54" s="5">
        <v>0</v>
      </c>
      <c r="AZ54" s="23">
        <v>0</v>
      </c>
      <c r="BA54" s="5">
        <v>0</v>
      </c>
      <c r="BB54" s="5">
        <v>0</v>
      </c>
      <c r="BC54" s="23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23">
        <v>0</v>
      </c>
      <c r="BL54" s="23">
        <v>0</v>
      </c>
      <c r="BM54" s="23">
        <v>0</v>
      </c>
      <c r="BN54" s="23">
        <v>0</v>
      </c>
      <c r="BO54" s="23">
        <v>0</v>
      </c>
      <c r="BP54" s="5">
        <v>0</v>
      </c>
      <c r="BQ54" s="5">
        <v>0</v>
      </c>
      <c r="BR54" s="23">
        <v>0</v>
      </c>
      <c r="BS54" s="28">
        <v>0</v>
      </c>
      <c r="BT54" s="5">
        <v>0</v>
      </c>
      <c r="BU54" s="23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29">
        <v>0</v>
      </c>
      <c r="CG54" s="67">
        <f t="shared" si="8"/>
        <v>0</v>
      </c>
      <c r="CH54" s="69">
        <f t="shared" si="9"/>
        <v>0</v>
      </c>
      <c r="CI54" s="30">
        <f t="shared" si="3"/>
        <v>0</v>
      </c>
      <c r="CJ54" s="30">
        <f t="shared" si="10"/>
        <v>0</v>
      </c>
      <c r="CK54" s="30">
        <f t="shared" si="5"/>
        <v>0</v>
      </c>
      <c r="CL54" s="67">
        <f t="shared" si="6"/>
        <v>0</v>
      </c>
      <c r="CM54" s="30">
        <v>0</v>
      </c>
      <c r="CN54" s="30">
        <v>0</v>
      </c>
      <c r="CO54" s="30">
        <v>0</v>
      </c>
      <c r="CP54" s="30">
        <v>0</v>
      </c>
      <c r="CQ54" s="67">
        <v>0</v>
      </c>
    </row>
    <row r="55" spans="1:95" x14ac:dyDescent="0.3">
      <c r="A55" s="13">
        <v>620</v>
      </c>
      <c r="B55" s="7" t="s">
        <v>3</v>
      </c>
      <c r="C55" s="7" t="s">
        <v>1</v>
      </c>
      <c r="D55" s="7" t="s">
        <v>5</v>
      </c>
      <c r="E55" s="7">
        <v>1</v>
      </c>
      <c r="F55" s="7" t="s">
        <v>6</v>
      </c>
      <c r="G55" s="7">
        <v>7.07</v>
      </c>
      <c r="H55" s="7">
        <v>1</v>
      </c>
      <c r="I55" s="7">
        <v>27.097999999999999</v>
      </c>
      <c r="J55" s="7">
        <v>5.8579999999999997</v>
      </c>
      <c r="K55" s="7">
        <v>21.617831574285926</v>
      </c>
      <c r="L55" s="7">
        <v>17.142857142857153</v>
      </c>
      <c r="M55" s="7">
        <f t="shared" si="7"/>
        <v>0.18805223150293973</v>
      </c>
      <c r="N55" s="7">
        <v>48.09</v>
      </c>
      <c r="O55" s="7">
        <v>0.80400000000000005</v>
      </c>
      <c r="P55" s="7">
        <v>5.0259999999999998</v>
      </c>
      <c r="Q55" s="7">
        <v>1.081</v>
      </c>
      <c r="R55" s="7">
        <v>1.4910000000000001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23">
        <v>0</v>
      </c>
      <c r="AG55" s="24">
        <v>0</v>
      </c>
      <c r="AH55" s="5">
        <v>0</v>
      </c>
      <c r="AI55" s="5">
        <v>0</v>
      </c>
      <c r="AJ55" s="23">
        <v>0</v>
      </c>
      <c r="AK55" s="25">
        <v>0</v>
      </c>
      <c r="AL55" s="26">
        <v>1</v>
      </c>
      <c r="AM55" s="26">
        <v>0</v>
      </c>
      <c r="AN55" s="27">
        <v>0</v>
      </c>
      <c r="AO55" s="26">
        <v>0</v>
      </c>
      <c r="AP55" s="23">
        <v>0</v>
      </c>
      <c r="AQ55" s="5">
        <v>0</v>
      </c>
      <c r="AR55" s="23">
        <v>0</v>
      </c>
      <c r="AS55" s="25">
        <v>0</v>
      </c>
      <c r="AT55" s="5">
        <v>0</v>
      </c>
      <c r="AU55" s="5">
        <v>0</v>
      </c>
      <c r="AV55" s="5">
        <v>0</v>
      </c>
      <c r="AW55" s="23">
        <v>0</v>
      </c>
      <c r="AX55" s="5">
        <v>0</v>
      </c>
      <c r="AY55" s="5">
        <v>0</v>
      </c>
      <c r="AZ55" s="23">
        <v>0</v>
      </c>
      <c r="BA55" s="5">
        <v>0</v>
      </c>
      <c r="BB55" s="5">
        <v>0</v>
      </c>
      <c r="BC55" s="23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23">
        <v>0</v>
      </c>
      <c r="BL55" s="23">
        <v>0</v>
      </c>
      <c r="BM55" s="23">
        <v>0</v>
      </c>
      <c r="BN55" s="23">
        <v>0</v>
      </c>
      <c r="BO55" s="23">
        <v>0</v>
      </c>
      <c r="BP55" s="5">
        <v>0</v>
      </c>
      <c r="BQ55" s="5">
        <v>0</v>
      </c>
      <c r="BR55" s="23">
        <v>0</v>
      </c>
      <c r="BS55" s="28">
        <v>0</v>
      </c>
      <c r="BT55" s="5">
        <v>0</v>
      </c>
      <c r="BU55" s="23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29">
        <v>0</v>
      </c>
      <c r="CG55" s="67">
        <f t="shared" si="8"/>
        <v>1</v>
      </c>
      <c r="CH55" s="69">
        <f t="shared" si="9"/>
        <v>1</v>
      </c>
      <c r="CI55" s="30">
        <f t="shared" si="3"/>
        <v>0</v>
      </c>
      <c r="CJ55" s="30">
        <f t="shared" si="10"/>
        <v>1</v>
      </c>
      <c r="CK55" s="30">
        <f t="shared" si="5"/>
        <v>0</v>
      </c>
      <c r="CL55" s="67">
        <f t="shared" si="6"/>
        <v>1</v>
      </c>
      <c r="CM55" s="30">
        <v>1</v>
      </c>
      <c r="CN55" s="30">
        <v>0</v>
      </c>
      <c r="CO55" s="30">
        <v>0</v>
      </c>
      <c r="CP55" s="30">
        <v>0</v>
      </c>
      <c r="CQ55" s="67">
        <v>1</v>
      </c>
    </row>
    <row r="56" spans="1:95" x14ac:dyDescent="0.3">
      <c r="A56" s="13">
        <v>622</v>
      </c>
      <c r="B56" s="7" t="s">
        <v>3</v>
      </c>
      <c r="C56" s="7" t="s">
        <v>1</v>
      </c>
      <c r="D56" s="7" t="s">
        <v>5</v>
      </c>
      <c r="E56" s="7">
        <v>3</v>
      </c>
      <c r="F56" s="7" t="s">
        <v>6</v>
      </c>
      <c r="G56" s="7">
        <v>6.98</v>
      </c>
      <c r="H56" s="7">
        <v>1</v>
      </c>
      <c r="I56" s="7">
        <v>35.853999999999999</v>
      </c>
      <c r="J56" s="7">
        <v>5.8319999999999999</v>
      </c>
      <c r="K56" s="7">
        <v>16.265967535003067</v>
      </c>
      <c r="L56" s="7">
        <v>16.44699140401147</v>
      </c>
      <c r="M56" s="7">
        <f t="shared" si="7"/>
        <v>0.17968892206792417</v>
      </c>
      <c r="N56" s="7">
        <v>47.69</v>
      </c>
      <c r="O56" s="7">
        <v>0.80600000000000005</v>
      </c>
      <c r="P56" s="7">
        <v>5.0350000000000001</v>
      </c>
      <c r="Q56" s="7">
        <v>1.726</v>
      </c>
      <c r="R56" s="7">
        <v>2.4790000000000001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23">
        <v>0</v>
      </c>
      <c r="AG56" s="24">
        <v>0</v>
      </c>
      <c r="AH56" s="5">
        <v>0</v>
      </c>
      <c r="AI56" s="5">
        <v>0</v>
      </c>
      <c r="AJ56" s="23">
        <v>4</v>
      </c>
      <c r="AK56" s="25">
        <v>0</v>
      </c>
      <c r="AL56" s="26">
        <v>0</v>
      </c>
      <c r="AM56" s="26">
        <v>0</v>
      </c>
      <c r="AN56" s="27">
        <v>0</v>
      </c>
      <c r="AO56" s="26">
        <v>0</v>
      </c>
      <c r="AP56" s="23">
        <v>0</v>
      </c>
      <c r="AQ56" s="5">
        <v>0</v>
      </c>
      <c r="AR56" s="23">
        <v>0</v>
      </c>
      <c r="AS56" s="25">
        <v>0</v>
      </c>
      <c r="AT56" s="5">
        <v>0</v>
      </c>
      <c r="AU56" s="5">
        <v>0</v>
      </c>
      <c r="AV56" s="5">
        <v>0</v>
      </c>
      <c r="AW56" s="23">
        <v>0</v>
      </c>
      <c r="AX56" s="5">
        <v>0</v>
      </c>
      <c r="AY56" s="5">
        <v>0</v>
      </c>
      <c r="AZ56" s="23">
        <v>0</v>
      </c>
      <c r="BA56" s="5">
        <v>0</v>
      </c>
      <c r="BB56" s="5">
        <v>0</v>
      </c>
      <c r="BC56" s="23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23">
        <v>0</v>
      </c>
      <c r="BL56" s="23">
        <v>0</v>
      </c>
      <c r="BM56" s="23">
        <v>0</v>
      </c>
      <c r="BN56" s="23">
        <v>0</v>
      </c>
      <c r="BO56" s="23">
        <v>0</v>
      </c>
      <c r="BP56" s="5">
        <v>0</v>
      </c>
      <c r="BQ56" s="5">
        <v>0</v>
      </c>
      <c r="BR56" s="23">
        <v>0</v>
      </c>
      <c r="BS56" s="28">
        <v>0</v>
      </c>
      <c r="BT56" s="5">
        <v>0</v>
      </c>
      <c r="BU56" s="23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29">
        <v>0</v>
      </c>
      <c r="CG56" s="67">
        <f t="shared" si="8"/>
        <v>4</v>
      </c>
      <c r="CH56" s="69">
        <f t="shared" si="9"/>
        <v>1</v>
      </c>
      <c r="CI56" s="30">
        <f t="shared" si="3"/>
        <v>0</v>
      </c>
      <c r="CJ56" s="30">
        <f t="shared" si="10"/>
        <v>4</v>
      </c>
      <c r="CK56" s="30">
        <f t="shared" si="5"/>
        <v>0</v>
      </c>
      <c r="CL56" s="67">
        <f t="shared" si="6"/>
        <v>1</v>
      </c>
      <c r="CM56" s="30">
        <v>4</v>
      </c>
      <c r="CN56" s="30">
        <v>0</v>
      </c>
      <c r="CO56" s="30">
        <v>0</v>
      </c>
      <c r="CP56" s="30">
        <v>0</v>
      </c>
      <c r="CQ56" s="67">
        <v>1</v>
      </c>
    </row>
    <row r="57" spans="1:95" x14ac:dyDescent="0.3">
      <c r="A57" s="13">
        <v>624</v>
      </c>
      <c r="B57" s="7" t="s">
        <v>3</v>
      </c>
      <c r="C57" s="7" t="s">
        <v>14</v>
      </c>
      <c r="D57" s="7" t="s">
        <v>5</v>
      </c>
      <c r="E57" s="7">
        <v>1</v>
      </c>
      <c r="F57" s="7" t="s">
        <v>6</v>
      </c>
      <c r="G57" s="7">
        <v>7</v>
      </c>
      <c r="H57" s="7">
        <v>1</v>
      </c>
      <c r="I57" s="7">
        <v>23.481999999999999</v>
      </c>
      <c r="J57" s="7">
        <v>5.8689999999999998</v>
      </c>
      <c r="K57" s="7">
        <v>24.993612128438805</v>
      </c>
      <c r="L57" s="7">
        <v>16.157142857142862</v>
      </c>
      <c r="M57" s="7">
        <f t="shared" si="7"/>
        <v>0.17622588747911588</v>
      </c>
      <c r="N57" s="7">
        <v>48.32</v>
      </c>
      <c r="O57" s="7">
        <v>0.86699999999999999</v>
      </c>
      <c r="P57" s="7">
        <v>5.4210000000000003</v>
      </c>
      <c r="Q57" s="7">
        <v>1.4610000000000001</v>
      </c>
      <c r="R57" s="7">
        <v>1.3920000000000001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23">
        <v>0</v>
      </c>
      <c r="AG57" s="24">
        <v>0</v>
      </c>
      <c r="AH57" s="5">
        <v>0</v>
      </c>
      <c r="AI57" s="5">
        <v>0</v>
      </c>
      <c r="AJ57" s="23">
        <v>0</v>
      </c>
      <c r="AK57" s="25">
        <v>1</v>
      </c>
      <c r="AL57" s="26">
        <v>1</v>
      </c>
      <c r="AM57" s="26">
        <v>0</v>
      </c>
      <c r="AN57" s="27">
        <v>0</v>
      </c>
      <c r="AO57" s="26">
        <v>0</v>
      </c>
      <c r="AP57" s="23">
        <v>0</v>
      </c>
      <c r="AQ57" s="5">
        <v>0</v>
      </c>
      <c r="AR57" s="23">
        <v>0</v>
      </c>
      <c r="AS57" s="25">
        <v>0</v>
      </c>
      <c r="AT57" s="5">
        <v>0</v>
      </c>
      <c r="AU57" s="5">
        <v>0</v>
      </c>
      <c r="AV57" s="5">
        <v>0</v>
      </c>
      <c r="AW57" s="23">
        <v>0</v>
      </c>
      <c r="AX57" s="5">
        <v>0</v>
      </c>
      <c r="AY57" s="5">
        <v>0</v>
      </c>
      <c r="AZ57" s="23">
        <v>0</v>
      </c>
      <c r="BA57" s="5">
        <v>0</v>
      </c>
      <c r="BB57" s="5">
        <v>0</v>
      </c>
      <c r="BC57" s="23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23">
        <v>0</v>
      </c>
      <c r="BL57" s="23">
        <v>0</v>
      </c>
      <c r="BM57" s="23">
        <v>0</v>
      </c>
      <c r="BN57" s="23">
        <v>0</v>
      </c>
      <c r="BO57" s="23">
        <v>0</v>
      </c>
      <c r="BP57" s="5">
        <v>0</v>
      </c>
      <c r="BQ57" s="5">
        <v>0</v>
      </c>
      <c r="BR57" s="23">
        <v>0</v>
      </c>
      <c r="BS57" s="28">
        <v>0</v>
      </c>
      <c r="BT57" s="5">
        <v>0</v>
      </c>
      <c r="BU57" s="23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29">
        <v>0</v>
      </c>
      <c r="CG57" s="67">
        <f t="shared" si="8"/>
        <v>2</v>
      </c>
      <c r="CH57" s="69">
        <f t="shared" si="9"/>
        <v>2</v>
      </c>
      <c r="CI57" s="30">
        <f t="shared" si="3"/>
        <v>0</v>
      </c>
      <c r="CJ57" s="30">
        <f t="shared" si="10"/>
        <v>1</v>
      </c>
      <c r="CK57" s="30">
        <f t="shared" si="5"/>
        <v>1</v>
      </c>
      <c r="CL57" s="67">
        <f t="shared" si="6"/>
        <v>2</v>
      </c>
      <c r="CM57" s="30">
        <v>2</v>
      </c>
      <c r="CN57" s="30">
        <v>0</v>
      </c>
      <c r="CO57" s="30">
        <v>0</v>
      </c>
      <c r="CP57" s="30">
        <v>0</v>
      </c>
      <c r="CQ57" s="67">
        <v>1</v>
      </c>
    </row>
    <row r="58" spans="1:95" x14ac:dyDescent="0.3">
      <c r="A58" s="13">
        <v>629</v>
      </c>
      <c r="B58" s="7" t="s">
        <v>3</v>
      </c>
      <c r="C58" s="7" t="s">
        <v>1</v>
      </c>
      <c r="D58" s="7" t="s">
        <v>5</v>
      </c>
      <c r="E58" s="7">
        <v>5</v>
      </c>
      <c r="F58" s="7" t="s">
        <v>6</v>
      </c>
      <c r="G58" s="7">
        <v>6.93</v>
      </c>
      <c r="H58" s="7">
        <v>1</v>
      </c>
      <c r="I58" s="7">
        <v>21.82</v>
      </c>
      <c r="J58" s="7">
        <v>5.915</v>
      </c>
      <c r="K58" s="7">
        <v>27.108157653528874</v>
      </c>
      <c r="L58" s="7">
        <v>14.646464646464644</v>
      </c>
      <c r="M58" s="7">
        <f t="shared" si="7"/>
        <v>0.15836831577146171</v>
      </c>
      <c r="N58" s="7">
        <v>48.59</v>
      </c>
      <c r="O58" s="7">
        <v>0.66800000000000004</v>
      </c>
      <c r="P58" s="7">
        <v>4.173</v>
      </c>
      <c r="Q58" s="7">
        <v>1.5129999999999999</v>
      </c>
      <c r="R58" s="7">
        <v>1.179</v>
      </c>
      <c r="S58" s="5">
        <v>2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23">
        <v>0</v>
      </c>
      <c r="AG58" s="24">
        <v>4</v>
      </c>
      <c r="AH58" s="5">
        <v>1</v>
      </c>
      <c r="AI58" s="5">
        <v>0</v>
      </c>
      <c r="AJ58" s="23">
        <v>0</v>
      </c>
      <c r="AK58" s="25">
        <v>0</v>
      </c>
      <c r="AL58" s="26">
        <v>0</v>
      </c>
      <c r="AM58" s="26">
        <v>0</v>
      </c>
      <c r="AN58" s="27">
        <v>0</v>
      </c>
      <c r="AO58" s="26">
        <v>0</v>
      </c>
      <c r="AP58" s="23">
        <v>0</v>
      </c>
      <c r="AQ58" s="5">
        <v>0</v>
      </c>
      <c r="AR58" s="23">
        <v>0</v>
      </c>
      <c r="AS58" s="25">
        <v>0</v>
      </c>
      <c r="AT58" s="5">
        <v>0</v>
      </c>
      <c r="AU58" s="5">
        <v>0</v>
      </c>
      <c r="AV58" s="5">
        <v>0</v>
      </c>
      <c r="AW58" s="23">
        <v>0</v>
      </c>
      <c r="AX58" s="5">
        <v>0</v>
      </c>
      <c r="AY58" s="5">
        <v>0</v>
      </c>
      <c r="AZ58" s="23">
        <v>0</v>
      </c>
      <c r="BA58" s="5">
        <v>0</v>
      </c>
      <c r="BB58" s="5">
        <v>0</v>
      </c>
      <c r="BC58" s="23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  <c r="BP58" s="5">
        <v>0</v>
      </c>
      <c r="BQ58" s="5">
        <v>0</v>
      </c>
      <c r="BR58" s="23">
        <v>0</v>
      </c>
      <c r="BS58" s="28">
        <v>0</v>
      </c>
      <c r="BT58" s="5">
        <v>0</v>
      </c>
      <c r="BU58" s="23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29">
        <v>0</v>
      </c>
      <c r="CG58" s="67">
        <f t="shared" si="8"/>
        <v>7</v>
      </c>
      <c r="CH58" s="69">
        <f t="shared" si="9"/>
        <v>3</v>
      </c>
      <c r="CI58" s="30">
        <f t="shared" si="3"/>
        <v>0</v>
      </c>
      <c r="CJ58" s="30">
        <f t="shared" si="10"/>
        <v>7</v>
      </c>
      <c r="CK58" s="30">
        <f t="shared" si="5"/>
        <v>0</v>
      </c>
      <c r="CL58" s="67">
        <f t="shared" si="6"/>
        <v>1</v>
      </c>
      <c r="CM58" s="30">
        <v>7</v>
      </c>
      <c r="CN58" s="30">
        <v>0</v>
      </c>
      <c r="CO58" s="30">
        <v>0</v>
      </c>
      <c r="CP58" s="30">
        <v>0</v>
      </c>
      <c r="CQ58" s="67">
        <v>1</v>
      </c>
    </row>
    <row r="59" spans="1:95" x14ac:dyDescent="0.3">
      <c r="A59" s="13">
        <v>637</v>
      </c>
      <c r="B59" s="7" t="s">
        <v>3</v>
      </c>
      <c r="C59" s="7" t="s">
        <v>14</v>
      </c>
      <c r="D59" s="7" t="s">
        <v>5</v>
      </c>
      <c r="E59" s="7">
        <v>4</v>
      </c>
      <c r="F59" s="7" t="s">
        <v>6</v>
      </c>
      <c r="G59" s="7">
        <v>6.99</v>
      </c>
      <c r="H59" s="7">
        <v>1</v>
      </c>
      <c r="I59" s="7">
        <v>27.923999999999999</v>
      </c>
      <c r="J59" s="7">
        <v>5.1820000000000004</v>
      </c>
      <c r="K59" s="7">
        <v>18.557513250250683</v>
      </c>
      <c r="L59" s="7">
        <v>25.865522174535048</v>
      </c>
      <c r="M59" s="7">
        <f t="shared" si="7"/>
        <v>0.29928947410580065</v>
      </c>
      <c r="N59" s="7">
        <v>49.08</v>
      </c>
      <c r="O59" s="7">
        <v>1.589</v>
      </c>
      <c r="P59" s="7">
        <v>9.93</v>
      </c>
      <c r="Q59" s="7">
        <v>1.427</v>
      </c>
      <c r="R59" s="7">
        <v>2.1120000000000001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23">
        <v>0</v>
      </c>
      <c r="AG59" s="24">
        <v>0</v>
      </c>
      <c r="AH59" s="5">
        <v>0</v>
      </c>
      <c r="AI59" s="5">
        <v>0</v>
      </c>
      <c r="AJ59" s="23">
        <v>0</v>
      </c>
      <c r="AK59" s="25">
        <v>2</v>
      </c>
      <c r="AL59" s="26">
        <v>0</v>
      </c>
      <c r="AM59" s="26">
        <v>0</v>
      </c>
      <c r="AN59" s="27">
        <v>0</v>
      </c>
      <c r="AO59" s="26">
        <v>0</v>
      </c>
      <c r="AP59" s="23">
        <v>0</v>
      </c>
      <c r="AQ59" s="5">
        <v>0</v>
      </c>
      <c r="AR59" s="23">
        <v>0</v>
      </c>
      <c r="AS59" s="25">
        <v>0</v>
      </c>
      <c r="AT59" s="5">
        <v>0</v>
      </c>
      <c r="AU59" s="5">
        <v>0</v>
      </c>
      <c r="AV59" s="5">
        <v>0</v>
      </c>
      <c r="AW59" s="23">
        <v>0</v>
      </c>
      <c r="AX59" s="5">
        <v>0</v>
      </c>
      <c r="AY59" s="5">
        <v>0</v>
      </c>
      <c r="AZ59" s="23">
        <v>0</v>
      </c>
      <c r="BA59" s="5">
        <v>0</v>
      </c>
      <c r="BB59" s="5">
        <v>0</v>
      </c>
      <c r="BC59" s="23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  <c r="BP59" s="5">
        <v>0</v>
      </c>
      <c r="BQ59" s="5">
        <v>0</v>
      </c>
      <c r="BR59" s="23">
        <v>0</v>
      </c>
      <c r="BS59" s="28">
        <v>0</v>
      </c>
      <c r="BT59" s="5">
        <v>0</v>
      </c>
      <c r="BU59" s="23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29">
        <v>0</v>
      </c>
      <c r="CG59" s="67">
        <f t="shared" si="8"/>
        <v>2</v>
      </c>
      <c r="CH59" s="69">
        <f t="shared" si="9"/>
        <v>1</v>
      </c>
      <c r="CI59" s="30">
        <f t="shared" si="3"/>
        <v>0</v>
      </c>
      <c r="CJ59" s="30">
        <f t="shared" si="10"/>
        <v>0</v>
      </c>
      <c r="CK59" s="30">
        <f t="shared" si="5"/>
        <v>2</v>
      </c>
      <c r="CL59" s="67">
        <f t="shared" si="6"/>
        <v>1</v>
      </c>
      <c r="CM59" s="30">
        <v>2</v>
      </c>
      <c r="CN59" s="30">
        <v>0</v>
      </c>
      <c r="CO59" s="30">
        <v>0</v>
      </c>
      <c r="CP59" s="30">
        <v>0</v>
      </c>
      <c r="CQ59" s="67">
        <v>1</v>
      </c>
    </row>
    <row r="60" spans="1:95" x14ac:dyDescent="0.3">
      <c r="A60" s="13">
        <v>643</v>
      </c>
      <c r="B60" s="7" t="s">
        <v>3</v>
      </c>
      <c r="C60" s="7" t="s">
        <v>14</v>
      </c>
      <c r="D60" s="7" t="s">
        <v>5</v>
      </c>
      <c r="E60" s="7">
        <v>5</v>
      </c>
      <c r="F60" s="7" t="s">
        <v>6</v>
      </c>
      <c r="G60" s="7">
        <v>6.91</v>
      </c>
      <c r="H60" s="7">
        <v>1</v>
      </c>
      <c r="I60" s="7">
        <v>18.286000000000001</v>
      </c>
      <c r="J60" s="7">
        <v>6.048</v>
      </c>
      <c r="K60" s="7">
        <v>33.074483211199826</v>
      </c>
      <c r="L60" s="7">
        <v>12.474674384949349</v>
      </c>
      <c r="M60" s="7">
        <f t="shared" si="7"/>
        <v>0.13324199890234664</v>
      </c>
      <c r="N60" s="7">
        <v>48.81</v>
      </c>
      <c r="O60" s="7">
        <v>1.097</v>
      </c>
      <c r="P60" s="7">
        <v>6.8579999999999997</v>
      </c>
      <c r="Q60" s="7">
        <v>1.752</v>
      </c>
      <c r="R60" s="7">
        <v>2.8959999999999999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1</v>
      </c>
      <c r="AC60" s="5">
        <v>0</v>
      </c>
      <c r="AD60" s="5">
        <v>0</v>
      </c>
      <c r="AE60" s="5">
        <v>0</v>
      </c>
      <c r="AF60" s="23">
        <v>0</v>
      </c>
      <c r="AG60" s="24">
        <v>1</v>
      </c>
      <c r="AH60" s="5">
        <v>3</v>
      </c>
      <c r="AI60" s="5">
        <v>0</v>
      </c>
      <c r="AJ60" s="23">
        <v>0</v>
      </c>
      <c r="AK60" s="25">
        <v>0</v>
      </c>
      <c r="AL60" s="26">
        <v>0</v>
      </c>
      <c r="AM60" s="26">
        <v>0</v>
      </c>
      <c r="AN60" s="27">
        <v>0</v>
      </c>
      <c r="AO60" s="26">
        <v>0</v>
      </c>
      <c r="AP60" s="23">
        <v>0</v>
      </c>
      <c r="AQ60" s="5">
        <v>0</v>
      </c>
      <c r="AR60" s="23">
        <v>0</v>
      </c>
      <c r="AS60" s="25">
        <v>0</v>
      </c>
      <c r="AT60" s="5">
        <v>0</v>
      </c>
      <c r="AU60" s="5">
        <v>0</v>
      </c>
      <c r="AV60" s="5">
        <v>0</v>
      </c>
      <c r="AW60" s="23">
        <v>0</v>
      </c>
      <c r="AX60" s="5">
        <v>0</v>
      </c>
      <c r="AY60" s="5">
        <v>0</v>
      </c>
      <c r="AZ60" s="23">
        <v>0</v>
      </c>
      <c r="BA60" s="5">
        <v>0</v>
      </c>
      <c r="BB60" s="5">
        <v>0</v>
      </c>
      <c r="BC60" s="23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23">
        <v>0</v>
      </c>
      <c r="BL60" s="23">
        <v>0</v>
      </c>
      <c r="BM60" s="23">
        <v>0</v>
      </c>
      <c r="BN60" s="23">
        <v>0</v>
      </c>
      <c r="BO60" s="23">
        <v>0</v>
      </c>
      <c r="BP60" s="5">
        <v>0</v>
      </c>
      <c r="BQ60" s="5">
        <v>0</v>
      </c>
      <c r="BR60" s="23">
        <v>0</v>
      </c>
      <c r="BS60" s="28">
        <v>0</v>
      </c>
      <c r="BT60" s="5">
        <v>0</v>
      </c>
      <c r="BU60" s="23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29">
        <v>0</v>
      </c>
      <c r="CG60" s="67">
        <f t="shared" si="8"/>
        <v>5</v>
      </c>
      <c r="CH60" s="69">
        <f t="shared" si="9"/>
        <v>3</v>
      </c>
      <c r="CI60" s="30">
        <f t="shared" si="3"/>
        <v>0</v>
      </c>
      <c r="CJ60" s="30">
        <f t="shared" si="10"/>
        <v>5</v>
      </c>
      <c r="CK60" s="30">
        <f t="shared" si="5"/>
        <v>0</v>
      </c>
      <c r="CL60" s="67">
        <f t="shared" si="6"/>
        <v>1</v>
      </c>
      <c r="CM60" s="30">
        <v>5</v>
      </c>
      <c r="CN60" s="30">
        <v>0</v>
      </c>
      <c r="CO60" s="30">
        <v>0</v>
      </c>
      <c r="CP60" s="30">
        <v>0</v>
      </c>
      <c r="CQ60" s="67">
        <v>1</v>
      </c>
    </row>
    <row r="61" spans="1:95" x14ac:dyDescent="0.3">
      <c r="A61" s="13">
        <v>647</v>
      </c>
      <c r="B61" s="7" t="s">
        <v>3</v>
      </c>
      <c r="C61" s="7" t="s">
        <v>14</v>
      </c>
      <c r="D61" s="7" t="s">
        <v>5</v>
      </c>
      <c r="E61" s="7">
        <v>3</v>
      </c>
      <c r="F61" s="7" t="s">
        <v>6</v>
      </c>
      <c r="G61" s="7">
        <v>6.96</v>
      </c>
      <c r="H61" s="7">
        <v>1</v>
      </c>
      <c r="I61" s="7">
        <v>23.213999999999999</v>
      </c>
      <c r="J61" s="7">
        <v>5.5780000000000003</v>
      </c>
      <c r="K61" s="7">
        <v>24.02860342896528</v>
      </c>
      <c r="L61" s="7">
        <v>19.856321839080454</v>
      </c>
      <c r="M61" s="7">
        <f t="shared" si="7"/>
        <v>0.22134918514103108</v>
      </c>
      <c r="N61" s="7">
        <v>48.17</v>
      </c>
      <c r="O61" s="7">
        <v>1.796</v>
      </c>
      <c r="P61" s="7">
        <v>11.225</v>
      </c>
      <c r="Q61" s="7">
        <v>1.4359999999999999</v>
      </c>
      <c r="R61" s="7">
        <v>3.0379999999999998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23">
        <v>0</v>
      </c>
      <c r="AG61" s="24">
        <v>5</v>
      </c>
      <c r="AH61" s="5">
        <v>0</v>
      </c>
      <c r="AI61" s="5">
        <v>0</v>
      </c>
      <c r="AJ61" s="23">
        <v>1</v>
      </c>
      <c r="AK61" s="25">
        <v>4</v>
      </c>
      <c r="AL61" s="26">
        <v>0</v>
      </c>
      <c r="AM61" s="26">
        <v>0</v>
      </c>
      <c r="AN61" s="27">
        <v>0</v>
      </c>
      <c r="AO61" s="26">
        <v>0</v>
      </c>
      <c r="AP61" s="23">
        <v>0</v>
      </c>
      <c r="AQ61" s="5">
        <v>0</v>
      </c>
      <c r="AR61" s="23">
        <v>0</v>
      </c>
      <c r="AS61" s="25">
        <v>0</v>
      </c>
      <c r="AT61" s="5">
        <v>0</v>
      </c>
      <c r="AU61" s="5">
        <v>0</v>
      </c>
      <c r="AV61" s="5">
        <v>0</v>
      </c>
      <c r="AW61" s="23">
        <v>0</v>
      </c>
      <c r="AX61" s="5">
        <v>0</v>
      </c>
      <c r="AY61" s="5">
        <v>0</v>
      </c>
      <c r="AZ61" s="23">
        <v>0</v>
      </c>
      <c r="BA61" s="5">
        <v>0</v>
      </c>
      <c r="BB61" s="5">
        <v>0</v>
      </c>
      <c r="BC61" s="23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23">
        <v>0</v>
      </c>
      <c r="BL61" s="23">
        <v>0</v>
      </c>
      <c r="BM61" s="23">
        <v>0</v>
      </c>
      <c r="BN61" s="23">
        <v>0</v>
      </c>
      <c r="BO61" s="23">
        <v>0</v>
      </c>
      <c r="BP61" s="5">
        <v>0</v>
      </c>
      <c r="BQ61" s="5">
        <v>0</v>
      </c>
      <c r="BR61" s="23">
        <v>0</v>
      </c>
      <c r="BS61" s="28">
        <v>0</v>
      </c>
      <c r="BT61" s="5">
        <v>0</v>
      </c>
      <c r="BU61" s="23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29">
        <v>0</v>
      </c>
      <c r="CG61" s="67">
        <f t="shared" si="8"/>
        <v>10</v>
      </c>
      <c r="CH61" s="69">
        <f t="shared" si="9"/>
        <v>3</v>
      </c>
      <c r="CI61" s="30">
        <f t="shared" si="3"/>
        <v>0</v>
      </c>
      <c r="CJ61" s="30">
        <f t="shared" si="10"/>
        <v>6</v>
      </c>
      <c r="CK61" s="30">
        <f t="shared" si="5"/>
        <v>4</v>
      </c>
      <c r="CL61" s="67">
        <f t="shared" si="6"/>
        <v>2</v>
      </c>
      <c r="CM61" s="30">
        <v>10</v>
      </c>
      <c r="CN61" s="30">
        <v>0</v>
      </c>
      <c r="CO61" s="30">
        <v>0</v>
      </c>
      <c r="CP61" s="30">
        <v>0</v>
      </c>
      <c r="CQ61" s="67">
        <v>1</v>
      </c>
    </row>
    <row r="62" spans="1:95" x14ac:dyDescent="0.3">
      <c r="A62" s="13">
        <v>4</v>
      </c>
      <c r="B62" s="8" t="s">
        <v>0</v>
      </c>
      <c r="C62" s="8" t="s">
        <v>1</v>
      </c>
      <c r="D62" s="8" t="s">
        <v>4</v>
      </c>
      <c r="E62" s="8">
        <v>4</v>
      </c>
      <c r="F62" s="8" t="s">
        <v>6</v>
      </c>
      <c r="G62" s="8">
        <v>7.03</v>
      </c>
      <c r="H62" s="8">
        <v>2</v>
      </c>
      <c r="I62" s="8">
        <v>7.9046000000000003</v>
      </c>
      <c r="J62" s="8">
        <v>5.5782999999999996</v>
      </c>
      <c r="K62" s="8">
        <v>29.429699162512975</v>
      </c>
      <c r="L62" s="8">
        <v>20.650071123755342</v>
      </c>
      <c r="M62" s="7">
        <f t="shared" si="7"/>
        <v>0.92444981590564024</v>
      </c>
      <c r="N62" s="8">
        <v>47.93</v>
      </c>
      <c r="O62" s="8">
        <v>0.91700000000000004</v>
      </c>
      <c r="P62" s="8">
        <v>5.7309999999999999</v>
      </c>
      <c r="Q62" s="8">
        <v>1.8740000000000001</v>
      </c>
      <c r="R62" s="8">
        <v>1.496</v>
      </c>
      <c r="S62" s="31">
        <v>1</v>
      </c>
      <c r="T62" s="31">
        <v>0</v>
      </c>
      <c r="U62" s="31">
        <v>0</v>
      </c>
      <c r="V62" s="31">
        <v>0</v>
      </c>
      <c r="W62" s="31">
        <v>0</v>
      </c>
      <c r="X62" s="31">
        <v>1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2">
        <v>0</v>
      </c>
      <c r="AG62" s="33">
        <v>0</v>
      </c>
      <c r="AH62" s="31">
        <v>0</v>
      </c>
      <c r="AI62" s="31">
        <v>0</v>
      </c>
      <c r="AJ62" s="32">
        <v>0</v>
      </c>
      <c r="AK62" s="34">
        <v>0</v>
      </c>
      <c r="AL62" s="35">
        <v>0</v>
      </c>
      <c r="AM62" s="35">
        <v>0</v>
      </c>
      <c r="AN62" s="36">
        <v>0</v>
      </c>
      <c r="AO62" s="35">
        <v>0</v>
      </c>
      <c r="AP62" s="32">
        <v>0</v>
      </c>
      <c r="AQ62" s="31">
        <v>0</v>
      </c>
      <c r="AR62" s="32">
        <v>0</v>
      </c>
      <c r="AS62" s="34">
        <v>0</v>
      </c>
      <c r="AT62" s="31">
        <v>0</v>
      </c>
      <c r="AU62" s="31">
        <v>0</v>
      </c>
      <c r="AV62" s="31">
        <v>0</v>
      </c>
      <c r="AW62" s="32">
        <v>0</v>
      </c>
      <c r="AX62" s="31">
        <v>0</v>
      </c>
      <c r="AY62" s="31">
        <v>0</v>
      </c>
      <c r="AZ62" s="32">
        <v>0</v>
      </c>
      <c r="BA62" s="31">
        <v>1</v>
      </c>
      <c r="BB62" s="31">
        <v>0</v>
      </c>
      <c r="BC62" s="32">
        <v>0</v>
      </c>
      <c r="BD62" s="31">
        <v>0</v>
      </c>
      <c r="BE62" s="31">
        <v>1</v>
      </c>
      <c r="BF62" s="31">
        <v>0</v>
      </c>
      <c r="BG62" s="31">
        <v>0</v>
      </c>
      <c r="BH62" s="31">
        <v>0</v>
      </c>
      <c r="BI62" s="31">
        <v>0</v>
      </c>
      <c r="BJ62" s="31">
        <v>0</v>
      </c>
      <c r="BK62" s="32">
        <v>0</v>
      </c>
      <c r="BL62" s="32">
        <v>0</v>
      </c>
      <c r="BM62" s="32">
        <v>0</v>
      </c>
      <c r="BN62" s="32">
        <v>0</v>
      </c>
      <c r="BO62" s="32">
        <v>0</v>
      </c>
      <c r="BP62" s="31">
        <v>0</v>
      </c>
      <c r="BQ62" s="31">
        <v>0</v>
      </c>
      <c r="BR62" s="32">
        <v>0</v>
      </c>
      <c r="BS62" s="37">
        <v>0</v>
      </c>
      <c r="BT62" s="31">
        <v>0</v>
      </c>
      <c r="BU62" s="32">
        <v>0</v>
      </c>
      <c r="BV62" s="31">
        <v>0</v>
      </c>
      <c r="BW62" s="31">
        <v>0</v>
      </c>
      <c r="BX62" s="31">
        <v>0</v>
      </c>
      <c r="BY62" s="31">
        <v>0</v>
      </c>
      <c r="BZ62" s="31">
        <v>0</v>
      </c>
      <c r="CA62" s="31">
        <v>0</v>
      </c>
      <c r="CB62" s="31">
        <v>0</v>
      </c>
      <c r="CC62" s="31">
        <v>0</v>
      </c>
      <c r="CD62" s="31">
        <v>0</v>
      </c>
      <c r="CE62" s="31">
        <v>0</v>
      </c>
      <c r="CF62" s="38">
        <v>0</v>
      </c>
      <c r="CG62" s="67">
        <f t="shared" si="8"/>
        <v>4</v>
      </c>
      <c r="CH62" s="69">
        <f t="shared" si="9"/>
        <v>4</v>
      </c>
      <c r="CI62" s="30">
        <f t="shared" si="3"/>
        <v>0</v>
      </c>
      <c r="CJ62" s="30">
        <f t="shared" si="10"/>
        <v>2</v>
      </c>
      <c r="CK62" s="30">
        <f t="shared" si="5"/>
        <v>2</v>
      </c>
      <c r="CL62" s="67">
        <f t="shared" si="6"/>
        <v>2</v>
      </c>
      <c r="CM62" s="30">
        <v>3</v>
      </c>
      <c r="CN62" s="30">
        <v>0</v>
      </c>
      <c r="CO62" s="30">
        <v>0</v>
      </c>
      <c r="CP62" s="30">
        <v>1</v>
      </c>
      <c r="CQ62" s="67">
        <v>1</v>
      </c>
    </row>
    <row r="63" spans="1:95" x14ac:dyDescent="0.3">
      <c r="A63" s="13">
        <v>8</v>
      </c>
      <c r="B63" s="8" t="s">
        <v>0</v>
      </c>
      <c r="C63" s="8" t="s">
        <v>14</v>
      </c>
      <c r="D63" s="8" t="s">
        <v>4</v>
      </c>
      <c r="E63" s="8">
        <v>3</v>
      </c>
      <c r="F63" s="8" t="s">
        <v>6</v>
      </c>
      <c r="G63" s="8">
        <v>6.93</v>
      </c>
      <c r="H63" s="8">
        <v>2</v>
      </c>
      <c r="I63" s="8">
        <v>6.7068000000000003</v>
      </c>
      <c r="J63" s="8">
        <v>5.6029</v>
      </c>
      <c r="K63" s="8">
        <v>16.459414325758935</v>
      </c>
      <c r="L63" s="8">
        <v>19.150072150072148</v>
      </c>
      <c r="M63" s="7">
        <f t="shared" si="7"/>
        <v>0.90572267291953235</v>
      </c>
      <c r="N63" s="8">
        <v>47.54</v>
      </c>
      <c r="O63" s="8">
        <v>0.85799999999999998</v>
      </c>
      <c r="P63" s="8">
        <v>5.3650000000000002</v>
      </c>
      <c r="Q63" s="8">
        <v>2.5609999999999999</v>
      </c>
      <c r="R63" s="8">
        <v>4.7E-2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2">
        <v>0</v>
      </c>
      <c r="AG63" s="33">
        <v>0</v>
      </c>
      <c r="AH63" s="31">
        <v>0</v>
      </c>
      <c r="AI63" s="31">
        <v>0</v>
      </c>
      <c r="AJ63" s="32">
        <v>0</v>
      </c>
      <c r="AK63" s="34">
        <v>4</v>
      </c>
      <c r="AL63" s="35">
        <v>0</v>
      </c>
      <c r="AM63" s="35">
        <v>0</v>
      </c>
      <c r="AN63" s="36">
        <v>0</v>
      </c>
      <c r="AO63" s="35">
        <v>0</v>
      </c>
      <c r="AP63" s="32">
        <v>0</v>
      </c>
      <c r="AQ63" s="31">
        <v>0</v>
      </c>
      <c r="AR63" s="32">
        <v>0</v>
      </c>
      <c r="AS63" s="34">
        <v>0</v>
      </c>
      <c r="AT63" s="31">
        <v>0</v>
      </c>
      <c r="AU63" s="31">
        <v>0</v>
      </c>
      <c r="AV63" s="31">
        <v>0</v>
      </c>
      <c r="AW63" s="32">
        <v>0</v>
      </c>
      <c r="AX63" s="31">
        <v>0</v>
      </c>
      <c r="AY63" s="31">
        <v>0</v>
      </c>
      <c r="AZ63" s="32">
        <v>0</v>
      </c>
      <c r="BA63" s="31">
        <v>0</v>
      </c>
      <c r="BB63" s="31">
        <v>0</v>
      </c>
      <c r="BC63" s="32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2">
        <v>0</v>
      </c>
      <c r="BL63" s="32">
        <v>0</v>
      </c>
      <c r="BM63" s="32">
        <v>0</v>
      </c>
      <c r="BN63" s="32">
        <v>0</v>
      </c>
      <c r="BO63" s="32">
        <v>0</v>
      </c>
      <c r="BP63" s="31">
        <v>0</v>
      </c>
      <c r="BQ63" s="31">
        <v>0</v>
      </c>
      <c r="BR63" s="32">
        <v>0</v>
      </c>
      <c r="BS63" s="37">
        <v>0</v>
      </c>
      <c r="BT63" s="31">
        <v>0</v>
      </c>
      <c r="BU63" s="32">
        <v>0</v>
      </c>
      <c r="BV63" s="31">
        <v>0</v>
      </c>
      <c r="BW63" s="31">
        <v>0</v>
      </c>
      <c r="BX63" s="31">
        <v>0</v>
      </c>
      <c r="BY63" s="31">
        <v>0</v>
      </c>
      <c r="BZ63" s="31">
        <v>0</v>
      </c>
      <c r="CA63" s="31">
        <v>0</v>
      </c>
      <c r="CB63" s="31">
        <v>0</v>
      </c>
      <c r="CC63" s="31">
        <v>0</v>
      </c>
      <c r="CD63" s="31">
        <v>0</v>
      </c>
      <c r="CE63" s="31">
        <v>0</v>
      </c>
      <c r="CF63" s="38">
        <v>0</v>
      </c>
      <c r="CG63" s="67">
        <f t="shared" si="8"/>
        <v>4</v>
      </c>
      <c r="CH63" s="69">
        <f t="shared" si="9"/>
        <v>1</v>
      </c>
      <c r="CI63" s="30">
        <f t="shared" si="3"/>
        <v>0</v>
      </c>
      <c r="CJ63" s="30">
        <f t="shared" si="10"/>
        <v>0</v>
      </c>
      <c r="CK63" s="30">
        <f t="shared" si="5"/>
        <v>4</v>
      </c>
      <c r="CL63" s="67">
        <f t="shared" si="6"/>
        <v>1</v>
      </c>
      <c r="CM63" s="30">
        <v>4</v>
      </c>
      <c r="CN63" s="30">
        <v>0</v>
      </c>
      <c r="CO63" s="30">
        <v>0</v>
      </c>
      <c r="CP63" s="30">
        <v>0</v>
      </c>
      <c r="CQ63" s="67">
        <v>1</v>
      </c>
    </row>
    <row r="64" spans="1:95" x14ac:dyDescent="0.3">
      <c r="A64" s="13">
        <v>13</v>
      </c>
      <c r="B64" s="8" t="s">
        <v>0</v>
      </c>
      <c r="C64" s="8" t="s">
        <v>1</v>
      </c>
      <c r="D64" s="8" t="s">
        <v>4</v>
      </c>
      <c r="E64" s="8">
        <v>2</v>
      </c>
      <c r="F64" s="8" t="s">
        <v>6</v>
      </c>
      <c r="G64" s="8">
        <v>6.99</v>
      </c>
      <c r="H64" s="8">
        <v>2</v>
      </c>
      <c r="I64" s="8">
        <v>7.4600999999999997</v>
      </c>
      <c r="J64" s="8">
        <v>5.7262000000000004</v>
      </c>
      <c r="K64" s="8">
        <v>23.242315786651645</v>
      </c>
      <c r="L64" s="8">
        <v>18.080114449213159</v>
      </c>
      <c r="M64" s="7">
        <f t="shared" si="7"/>
        <v>0.89257560234293654</v>
      </c>
      <c r="N64" s="8">
        <v>47.8</v>
      </c>
      <c r="O64" s="8">
        <v>0.746</v>
      </c>
      <c r="P64" s="8">
        <v>4.6630000000000003</v>
      </c>
      <c r="Q64" s="8">
        <v>3.0630000000000002</v>
      </c>
      <c r="R64" s="8">
        <v>1.964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2">
        <v>0</v>
      </c>
      <c r="AG64" s="33">
        <v>0</v>
      </c>
      <c r="AH64" s="31">
        <v>0</v>
      </c>
      <c r="AI64" s="31">
        <v>0</v>
      </c>
      <c r="AJ64" s="32">
        <v>0</v>
      </c>
      <c r="AK64" s="34">
        <v>0</v>
      </c>
      <c r="AL64" s="35">
        <v>0</v>
      </c>
      <c r="AM64" s="35">
        <v>0</v>
      </c>
      <c r="AN64" s="36">
        <v>0</v>
      </c>
      <c r="AO64" s="35">
        <v>0</v>
      </c>
      <c r="AP64" s="32">
        <v>0</v>
      </c>
      <c r="AQ64" s="31">
        <v>0</v>
      </c>
      <c r="AR64" s="32">
        <v>0</v>
      </c>
      <c r="AS64" s="34">
        <v>0</v>
      </c>
      <c r="AT64" s="31">
        <v>0</v>
      </c>
      <c r="AU64" s="31">
        <v>0</v>
      </c>
      <c r="AV64" s="31">
        <v>0</v>
      </c>
      <c r="AW64" s="32">
        <v>0</v>
      </c>
      <c r="AX64" s="31">
        <v>0</v>
      </c>
      <c r="AY64" s="31">
        <v>0</v>
      </c>
      <c r="AZ64" s="32">
        <v>0</v>
      </c>
      <c r="BA64" s="31">
        <v>0</v>
      </c>
      <c r="BB64" s="31">
        <v>0</v>
      </c>
      <c r="BC64" s="32">
        <v>0</v>
      </c>
      <c r="BD64" s="31">
        <v>0</v>
      </c>
      <c r="BE64" s="31">
        <v>0</v>
      </c>
      <c r="BF64" s="31">
        <v>0</v>
      </c>
      <c r="BG64" s="31">
        <v>0</v>
      </c>
      <c r="BH64" s="31">
        <v>0</v>
      </c>
      <c r="BI64" s="31">
        <v>0</v>
      </c>
      <c r="BJ64" s="31">
        <v>0</v>
      </c>
      <c r="BK64" s="32">
        <v>0</v>
      </c>
      <c r="BL64" s="32">
        <v>0</v>
      </c>
      <c r="BM64" s="32">
        <v>0</v>
      </c>
      <c r="BN64" s="32">
        <v>0</v>
      </c>
      <c r="BO64" s="32">
        <v>0</v>
      </c>
      <c r="BP64" s="31">
        <v>0</v>
      </c>
      <c r="BQ64" s="31">
        <v>0</v>
      </c>
      <c r="BR64" s="32">
        <v>0</v>
      </c>
      <c r="BS64" s="37">
        <v>0</v>
      </c>
      <c r="BT64" s="31">
        <v>0</v>
      </c>
      <c r="BU64" s="32">
        <v>0</v>
      </c>
      <c r="BV64" s="31">
        <v>0</v>
      </c>
      <c r="BW64" s="31">
        <v>0</v>
      </c>
      <c r="BX64" s="31">
        <v>0</v>
      </c>
      <c r="BY64" s="31">
        <v>0</v>
      </c>
      <c r="BZ64" s="31">
        <v>0</v>
      </c>
      <c r="CA64" s="31">
        <v>0</v>
      </c>
      <c r="CB64" s="31">
        <v>0</v>
      </c>
      <c r="CC64" s="31">
        <v>0</v>
      </c>
      <c r="CD64" s="31">
        <v>0</v>
      </c>
      <c r="CE64" s="31">
        <v>0</v>
      </c>
      <c r="CF64" s="38">
        <v>0</v>
      </c>
      <c r="CG64" s="67">
        <f t="shared" si="8"/>
        <v>0</v>
      </c>
      <c r="CH64" s="69">
        <f t="shared" si="9"/>
        <v>0</v>
      </c>
      <c r="CI64" s="30">
        <f t="shared" si="3"/>
        <v>0</v>
      </c>
      <c r="CJ64" s="30">
        <f t="shared" si="10"/>
        <v>0</v>
      </c>
      <c r="CK64" s="30">
        <f t="shared" si="5"/>
        <v>0</v>
      </c>
      <c r="CL64" s="67">
        <f t="shared" si="6"/>
        <v>0</v>
      </c>
      <c r="CM64" s="30">
        <v>0</v>
      </c>
      <c r="CN64" s="30">
        <v>0</v>
      </c>
      <c r="CO64" s="30">
        <v>0</v>
      </c>
      <c r="CP64" s="30">
        <v>0</v>
      </c>
      <c r="CQ64" s="67">
        <v>0</v>
      </c>
    </row>
    <row r="65" spans="1:95" x14ac:dyDescent="0.3">
      <c r="A65" s="13">
        <v>28</v>
      </c>
      <c r="B65" s="8" t="s">
        <v>0</v>
      </c>
      <c r="C65" s="8" t="s">
        <v>14</v>
      </c>
      <c r="D65" s="8" t="s">
        <v>4</v>
      </c>
      <c r="E65" s="8">
        <v>2</v>
      </c>
      <c r="F65" s="8" t="s">
        <v>6</v>
      </c>
      <c r="G65" s="8">
        <v>7.03</v>
      </c>
      <c r="H65" s="8">
        <v>2</v>
      </c>
      <c r="I65" s="8">
        <v>6.9678000000000004</v>
      </c>
      <c r="J65" s="8">
        <v>5.6416000000000004</v>
      </c>
      <c r="K65" s="8">
        <v>19.033267315364963</v>
      </c>
      <c r="L65" s="8">
        <v>19.749644381223323</v>
      </c>
      <c r="M65" s="7">
        <f t="shared" si="7"/>
        <v>0.91316617316110482</v>
      </c>
      <c r="N65" s="8">
        <v>47.5</v>
      </c>
      <c r="O65" s="8">
        <v>0.93700000000000006</v>
      </c>
      <c r="P65" s="8">
        <v>5.8540000000000001</v>
      </c>
      <c r="Q65" s="8">
        <v>1.998</v>
      </c>
      <c r="R65" s="8">
        <v>1.6479999999999999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2">
        <v>0</v>
      </c>
      <c r="AG65" s="33">
        <v>0</v>
      </c>
      <c r="AH65" s="31">
        <v>0</v>
      </c>
      <c r="AI65" s="31">
        <v>0</v>
      </c>
      <c r="AJ65" s="32">
        <v>0</v>
      </c>
      <c r="AK65" s="34">
        <v>3</v>
      </c>
      <c r="AL65" s="35">
        <v>0</v>
      </c>
      <c r="AM65" s="35">
        <v>0</v>
      </c>
      <c r="AN65" s="36">
        <v>0</v>
      </c>
      <c r="AO65" s="35">
        <v>0</v>
      </c>
      <c r="AP65" s="32">
        <v>0</v>
      </c>
      <c r="AQ65" s="31">
        <v>0</v>
      </c>
      <c r="AR65" s="32">
        <v>0</v>
      </c>
      <c r="AS65" s="34">
        <v>0</v>
      </c>
      <c r="AT65" s="31">
        <v>0</v>
      </c>
      <c r="AU65" s="31">
        <v>0</v>
      </c>
      <c r="AV65" s="31">
        <v>0</v>
      </c>
      <c r="AW65" s="32">
        <v>0</v>
      </c>
      <c r="AX65" s="31">
        <v>0</v>
      </c>
      <c r="AY65" s="31">
        <v>0</v>
      </c>
      <c r="AZ65" s="32">
        <v>0</v>
      </c>
      <c r="BA65" s="31">
        <v>0</v>
      </c>
      <c r="BB65" s="31">
        <v>0</v>
      </c>
      <c r="BC65" s="32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0</v>
      </c>
      <c r="BK65" s="32">
        <v>0</v>
      </c>
      <c r="BL65" s="32">
        <v>0</v>
      </c>
      <c r="BM65" s="32">
        <v>0</v>
      </c>
      <c r="BN65" s="32">
        <v>0</v>
      </c>
      <c r="BO65" s="32">
        <v>0</v>
      </c>
      <c r="BP65" s="31">
        <v>0</v>
      </c>
      <c r="BQ65" s="31">
        <v>0</v>
      </c>
      <c r="BR65" s="32">
        <v>0</v>
      </c>
      <c r="BS65" s="37">
        <v>0</v>
      </c>
      <c r="BT65" s="31">
        <v>0</v>
      </c>
      <c r="BU65" s="32">
        <v>0</v>
      </c>
      <c r="BV65" s="31">
        <v>0</v>
      </c>
      <c r="BW65" s="31">
        <v>0</v>
      </c>
      <c r="BX65" s="31">
        <v>0</v>
      </c>
      <c r="BY65" s="31">
        <v>0</v>
      </c>
      <c r="BZ65" s="31">
        <v>0</v>
      </c>
      <c r="CA65" s="31">
        <v>0</v>
      </c>
      <c r="CB65" s="31">
        <v>0</v>
      </c>
      <c r="CC65" s="31">
        <v>0</v>
      </c>
      <c r="CD65" s="31">
        <v>0</v>
      </c>
      <c r="CE65" s="31">
        <v>0</v>
      </c>
      <c r="CF65" s="38">
        <v>1</v>
      </c>
      <c r="CG65" s="67">
        <f t="shared" si="8"/>
        <v>4</v>
      </c>
      <c r="CH65" s="69">
        <f t="shared" si="9"/>
        <v>2</v>
      </c>
      <c r="CI65" s="30">
        <f t="shared" si="3"/>
        <v>0</v>
      </c>
      <c r="CJ65" s="30">
        <f t="shared" si="10"/>
        <v>0</v>
      </c>
      <c r="CK65" s="30">
        <f t="shared" si="5"/>
        <v>4</v>
      </c>
      <c r="CL65" s="67">
        <f t="shared" si="6"/>
        <v>1</v>
      </c>
      <c r="CM65" s="30">
        <v>3</v>
      </c>
      <c r="CN65" s="30">
        <v>0</v>
      </c>
      <c r="CO65" s="30">
        <v>0</v>
      </c>
      <c r="CP65" s="30">
        <v>1</v>
      </c>
      <c r="CQ65" s="67">
        <v>1</v>
      </c>
    </row>
    <row r="66" spans="1:95" x14ac:dyDescent="0.3">
      <c r="A66" s="13">
        <v>30</v>
      </c>
      <c r="B66" s="8" t="s">
        <v>0</v>
      </c>
      <c r="C66" s="8" t="s">
        <v>1</v>
      </c>
      <c r="D66" s="8" t="s">
        <v>4</v>
      </c>
      <c r="E66" s="8">
        <v>1</v>
      </c>
      <c r="F66" s="8" t="s">
        <v>6</v>
      </c>
      <c r="G66" s="8">
        <v>7</v>
      </c>
      <c r="H66" s="8">
        <v>2</v>
      </c>
      <c r="I66" s="8">
        <v>6.8299000000000003</v>
      </c>
      <c r="J66" s="8">
        <v>5.4911000000000003</v>
      </c>
      <c r="K66" s="8">
        <v>19.602043953791416</v>
      </c>
      <c r="L66" s="8">
        <v>21.555714285714281</v>
      </c>
      <c r="M66" s="7">
        <f t="shared" ref="M66:M129" si="11">-LN((J66/G66)/H66)</f>
        <v>0.93592872986533959</v>
      </c>
      <c r="N66" s="8">
        <v>47.87</v>
      </c>
      <c r="O66" s="8">
        <v>0.89500000000000002</v>
      </c>
      <c r="P66" s="8">
        <v>5.5940000000000003</v>
      </c>
      <c r="Q66" s="8">
        <v>2.4089999999999998</v>
      </c>
      <c r="R66" s="8">
        <v>0.66100000000000003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2">
        <v>0</v>
      </c>
      <c r="AG66" s="33">
        <v>0</v>
      </c>
      <c r="AH66" s="31">
        <v>0</v>
      </c>
      <c r="AI66" s="31">
        <v>0</v>
      </c>
      <c r="AJ66" s="32">
        <v>0</v>
      </c>
      <c r="AK66" s="34">
        <v>0</v>
      </c>
      <c r="AL66" s="35">
        <v>0</v>
      </c>
      <c r="AM66" s="35">
        <v>0</v>
      </c>
      <c r="AN66" s="36">
        <v>0</v>
      </c>
      <c r="AO66" s="35">
        <v>0</v>
      </c>
      <c r="AP66" s="32">
        <v>0</v>
      </c>
      <c r="AQ66" s="31">
        <v>0</v>
      </c>
      <c r="AR66" s="32">
        <v>0</v>
      </c>
      <c r="AS66" s="34">
        <v>0</v>
      </c>
      <c r="AT66" s="31">
        <v>0</v>
      </c>
      <c r="AU66" s="31">
        <v>0</v>
      </c>
      <c r="AV66" s="31">
        <v>0</v>
      </c>
      <c r="AW66" s="32">
        <v>0</v>
      </c>
      <c r="AX66" s="31">
        <v>0</v>
      </c>
      <c r="AY66" s="31">
        <v>0</v>
      </c>
      <c r="AZ66" s="32">
        <v>0</v>
      </c>
      <c r="BA66" s="31">
        <v>0</v>
      </c>
      <c r="BB66" s="31">
        <v>0</v>
      </c>
      <c r="BC66" s="32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2">
        <v>0</v>
      </c>
      <c r="BL66" s="32">
        <v>0</v>
      </c>
      <c r="BM66" s="32">
        <v>0</v>
      </c>
      <c r="BN66" s="32">
        <v>0</v>
      </c>
      <c r="BO66" s="32">
        <v>0</v>
      </c>
      <c r="BP66" s="31">
        <v>0</v>
      </c>
      <c r="BQ66" s="31">
        <v>0</v>
      </c>
      <c r="BR66" s="32">
        <v>0</v>
      </c>
      <c r="BS66" s="37">
        <v>0</v>
      </c>
      <c r="BT66" s="31">
        <v>0</v>
      </c>
      <c r="BU66" s="32">
        <v>0</v>
      </c>
      <c r="BV66" s="31">
        <v>0</v>
      </c>
      <c r="BW66" s="31">
        <v>0</v>
      </c>
      <c r="BX66" s="31">
        <v>0</v>
      </c>
      <c r="BY66" s="31">
        <v>0</v>
      </c>
      <c r="BZ66" s="31">
        <v>0</v>
      </c>
      <c r="CA66" s="31">
        <v>0</v>
      </c>
      <c r="CB66" s="31">
        <v>0</v>
      </c>
      <c r="CC66" s="31">
        <v>0</v>
      </c>
      <c r="CD66" s="31">
        <v>0</v>
      </c>
      <c r="CE66" s="31">
        <v>0</v>
      </c>
      <c r="CF66" s="38">
        <v>0</v>
      </c>
      <c r="CG66" s="67">
        <f t="shared" ref="CG66:CG129" si="12">SUM(S66:CF66)</f>
        <v>0</v>
      </c>
      <c r="CH66" s="69">
        <f t="shared" ref="CH66:CH129" si="13">COUNTIF(S66:CF66,"&gt;0")</f>
        <v>0</v>
      </c>
      <c r="CI66" s="30">
        <f t="shared" ref="CI66:CI129" si="14">SUM(AS66)</f>
        <v>0</v>
      </c>
      <c r="CJ66" s="30">
        <f t="shared" ref="CJ66:CJ129" si="15">SUM(S66:AH66,AJ66,AL66:AO66,AQ66:AR66,BL66:BM66)</f>
        <v>0</v>
      </c>
      <c r="CK66" s="30">
        <f t="shared" ref="CK66:CK129" si="16">SUM(AI66,AK66,AT66:BK66,BN66:CF66)</f>
        <v>0</v>
      </c>
      <c r="CL66" s="67">
        <f t="shared" ref="CL66:CL129" si="17">COUNTIF(CI66:CK66,"&gt;0")</f>
        <v>0</v>
      </c>
      <c r="CM66" s="30">
        <v>0</v>
      </c>
      <c r="CN66" s="30">
        <v>0</v>
      </c>
      <c r="CO66" s="30">
        <v>0</v>
      </c>
      <c r="CP66" s="30">
        <v>0</v>
      </c>
      <c r="CQ66" s="67">
        <v>0</v>
      </c>
    </row>
    <row r="67" spans="1:95" x14ac:dyDescent="0.3">
      <c r="A67" s="13">
        <v>32</v>
      </c>
      <c r="B67" s="8" t="s">
        <v>0</v>
      </c>
      <c r="C67" s="8" t="s">
        <v>14</v>
      </c>
      <c r="D67" s="8" t="s">
        <v>4</v>
      </c>
      <c r="E67" s="8">
        <v>4</v>
      </c>
      <c r="F67" s="8" t="s">
        <v>6</v>
      </c>
      <c r="G67" s="8">
        <v>6.9699999999999989</v>
      </c>
      <c r="H67" s="8">
        <v>2</v>
      </c>
      <c r="I67" s="8">
        <v>7.5350000000000001</v>
      </c>
      <c r="J67" s="8">
        <v>5.6852</v>
      </c>
      <c r="K67" s="8">
        <v>24.549435965494361</v>
      </c>
      <c r="L67" s="8">
        <v>18.433285509325668</v>
      </c>
      <c r="M67" s="7">
        <f t="shared" si="11"/>
        <v>0.89689609844965801</v>
      </c>
      <c r="N67" s="8">
        <v>47.7</v>
      </c>
      <c r="O67" s="8">
        <v>0.96099999999999997</v>
      </c>
      <c r="P67" s="8">
        <v>6.008</v>
      </c>
      <c r="Q67" s="8">
        <v>2.1019999999999999</v>
      </c>
      <c r="R67" s="8">
        <v>1.5069999999999999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2">
        <v>0</v>
      </c>
      <c r="AG67" s="33">
        <v>0</v>
      </c>
      <c r="AH67" s="31">
        <v>0</v>
      </c>
      <c r="AI67" s="31">
        <v>0</v>
      </c>
      <c r="AJ67" s="32">
        <v>0</v>
      </c>
      <c r="AK67" s="34">
        <v>5</v>
      </c>
      <c r="AL67" s="35">
        <v>0</v>
      </c>
      <c r="AM67" s="35">
        <v>0</v>
      </c>
      <c r="AN67" s="36">
        <v>0</v>
      </c>
      <c r="AO67" s="35">
        <v>0</v>
      </c>
      <c r="AP67" s="32">
        <v>0</v>
      </c>
      <c r="AQ67" s="31">
        <v>0</v>
      </c>
      <c r="AR67" s="32">
        <v>0</v>
      </c>
      <c r="AS67" s="34">
        <v>0</v>
      </c>
      <c r="AT67" s="31">
        <v>0</v>
      </c>
      <c r="AU67" s="31">
        <v>0</v>
      </c>
      <c r="AV67" s="31">
        <v>0</v>
      </c>
      <c r="AW67" s="32">
        <v>0</v>
      </c>
      <c r="AX67" s="31">
        <v>0</v>
      </c>
      <c r="AY67" s="31">
        <v>0</v>
      </c>
      <c r="AZ67" s="32">
        <v>0</v>
      </c>
      <c r="BA67" s="31">
        <v>0</v>
      </c>
      <c r="BB67" s="31">
        <v>0</v>
      </c>
      <c r="BC67" s="32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2">
        <v>0</v>
      </c>
      <c r="BL67" s="32">
        <v>0</v>
      </c>
      <c r="BM67" s="32">
        <v>0</v>
      </c>
      <c r="BN67" s="32">
        <v>0</v>
      </c>
      <c r="BO67" s="32">
        <v>0</v>
      </c>
      <c r="BP67" s="31">
        <v>0</v>
      </c>
      <c r="BQ67" s="31">
        <v>0</v>
      </c>
      <c r="BR67" s="32">
        <v>0</v>
      </c>
      <c r="BS67" s="37">
        <v>0</v>
      </c>
      <c r="BT67" s="31">
        <v>0</v>
      </c>
      <c r="BU67" s="32">
        <v>0</v>
      </c>
      <c r="BV67" s="31">
        <v>0</v>
      </c>
      <c r="BW67" s="31">
        <v>0</v>
      </c>
      <c r="BX67" s="31">
        <v>0</v>
      </c>
      <c r="BY67" s="31">
        <v>0</v>
      </c>
      <c r="BZ67" s="31">
        <v>0</v>
      </c>
      <c r="CA67" s="31">
        <v>0</v>
      </c>
      <c r="CB67" s="31">
        <v>0</v>
      </c>
      <c r="CC67" s="31">
        <v>0</v>
      </c>
      <c r="CD67" s="31">
        <v>0</v>
      </c>
      <c r="CE67" s="31">
        <v>0</v>
      </c>
      <c r="CF67" s="38">
        <v>0</v>
      </c>
      <c r="CG67" s="67">
        <f t="shared" si="12"/>
        <v>5</v>
      </c>
      <c r="CH67" s="69">
        <f t="shared" si="13"/>
        <v>1</v>
      </c>
      <c r="CI67" s="30">
        <f t="shared" si="14"/>
        <v>0</v>
      </c>
      <c r="CJ67" s="30">
        <f t="shared" si="15"/>
        <v>0</v>
      </c>
      <c r="CK67" s="30">
        <f t="shared" si="16"/>
        <v>5</v>
      </c>
      <c r="CL67" s="67">
        <f t="shared" si="17"/>
        <v>1</v>
      </c>
      <c r="CM67" s="30">
        <v>5</v>
      </c>
      <c r="CN67" s="30">
        <v>0</v>
      </c>
      <c r="CO67" s="30">
        <v>0</v>
      </c>
      <c r="CP67" s="30">
        <v>0</v>
      </c>
      <c r="CQ67" s="67">
        <v>1</v>
      </c>
    </row>
    <row r="68" spans="1:95" x14ac:dyDescent="0.3">
      <c r="A68" s="13">
        <v>33</v>
      </c>
      <c r="B68" s="8" t="s">
        <v>0</v>
      </c>
      <c r="C68" s="8" t="s">
        <v>14</v>
      </c>
      <c r="D68" s="8" t="s">
        <v>4</v>
      </c>
      <c r="E68" s="8">
        <v>1</v>
      </c>
      <c r="F68" s="8" t="s">
        <v>6</v>
      </c>
      <c r="G68" s="8">
        <v>6.9499999999999993</v>
      </c>
      <c r="H68" s="8">
        <v>2</v>
      </c>
      <c r="I68" s="8">
        <v>6.8251999999999997</v>
      </c>
      <c r="J68" s="8">
        <v>5.7850000000000001</v>
      </c>
      <c r="K68" s="8">
        <v>15.24057903065111</v>
      </c>
      <c r="L68" s="8">
        <v>16.762589928057544</v>
      </c>
      <c r="M68" s="7">
        <f t="shared" si="11"/>
        <v>0.87662047949100608</v>
      </c>
      <c r="N68" s="8">
        <v>47.6</v>
      </c>
      <c r="O68" s="8">
        <v>1.01</v>
      </c>
      <c r="P68" s="8">
        <v>6.3120000000000003</v>
      </c>
      <c r="Q68" s="8">
        <v>2.738</v>
      </c>
      <c r="R68" s="8">
        <v>1.917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2">
        <v>0</v>
      </c>
      <c r="AG68" s="33">
        <v>0</v>
      </c>
      <c r="AH68" s="31">
        <v>0</v>
      </c>
      <c r="AI68" s="31">
        <v>0</v>
      </c>
      <c r="AJ68" s="32">
        <v>0</v>
      </c>
      <c r="AK68" s="34">
        <v>0</v>
      </c>
      <c r="AL68" s="35">
        <v>0</v>
      </c>
      <c r="AM68" s="35">
        <v>0</v>
      </c>
      <c r="AN68" s="36">
        <v>0</v>
      </c>
      <c r="AO68" s="35">
        <v>0</v>
      </c>
      <c r="AP68" s="32">
        <v>0</v>
      </c>
      <c r="AQ68" s="31">
        <v>0</v>
      </c>
      <c r="AR68" s="32">
        <v>0</v>
      </c>
      <c r="AS68" s="34">
        <v>0</v>
      </c>
      <c r="AT68" s="31">
        <v>0</v>
      </c>
      <c r="AU68" s="31">
        <v>0</v>
      </c>
      <c r="AV68" s="31">
        <v>0</v>
      </c>
      <c r="AW68" s="32">
        <v>0</v>
      </c>
      <c r="AX68" s="31">
        <v>0</v>
      </c>
      <c r="AY68" s="31">
        <v>0</v>
      </c>
      <c r="AZ68" s="32">
        <v>0</v>
      </c>
      <c r="BA68" s="31">
        <v>0</v>
      </c>
      <c r="BB68" s="31">
        <v>0</v>
      </c>
      <c r="BC68" s="32">
        <v>0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0</v>
      </c>
      <c r="BK68" s="32">
        <v>0</v>
      </c>
      <c r="BL68" s="32">
        <v>0</v>
      </c>
      <c r="BM68" s="32">
        <v>0</v>
      </c>
      <c r="BN68" s="32">
        <v>0</v>
      </c>
      <c r="BO68" s="32">
        <v>0</v>
      </c>
      <c r="BP68" s="31">
        <v>0</v>
      </c>
      <c r="BQ68" s="31">
        <v>0</v>
      </c>
      <c r="BR68" s="32">
        <v>0</v>
      </c>
      <c r="BS68" s="37">
        <v>0</v>
      </c>
      <c r="BT68" s="31">
        <v>0</v>
      </c>
      <c r="BU68" s="32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  <c r="CE68" s="31">
        <v>0</v>
      </c>
      <c r="CF68" s="38">
        <v>0</v>
      </c>
      <c r="CG68" s="67">
        <f t="shared" si="12"/>
        <v>0</v>
      </c>
      <c r="CH68" s="69">
        <f t="shared" si="13"/>
        <v>0</v>
      </c>
      <c r="CI68" s="30">
        <f t="shared" si="14"/>
        <v>0</v>
      </c>
      <c r="CJ68" s="30">
        <f t="shared" si="15"/>
        <v>0</v>
      </c>
      <c r="CK68" s="30">
        <f t="shared" si="16"/>
        <v>0</v>
      </c>
      <c r="CL68" s="67">
        <f t="shared" si="17"/>
        <v>0</v>
      </c>
      <c r="CM68" s="30">
        <v>0</v>
      </c>
      <c r="CN68" s="30">
        <v>0</v>
      </c>
      <c r="CO68" s="30">
        <v>0</v>
      </c>
      <c r="CP68" s="30">
        <v>0</v>
      </c>
      <c r="CQ68" s="67">
        <v>0</v>
      </c>
    </row>
    <row r="69" spans="1:95" x14ac:dyDescent="0.3">
      <c r="A69" s="13">
        <v>37</v>
      </c>
      <c r="B69" s="8" t="s">
        <v>0</v>
      </c>
      <c r="C69" s="8" t="s">
        <v>1</v>
      </c>
      <c r="D69" s="8" t="s">
        <v>4</v>
      </c>
      <c r="E69" s="8">
        <v>3</v>
      </c>
      <c r="F69" s="8" t="s">
        <v>6</v>
      </c>
      <c r="G69" s="8">
        <v>6.9200000000000008</v>
      </c>
      <c r="H69" s="8">
        <v>2</v>
      </c>
      <c r="I69" s="8">
        <v>6.8631000000000002</v>
      </c>
      <c r="J69" s="8">
        <v>5.5964</v>
      </c>
      <c r="K69" s="8">
        <v>18.456674097710948</v>
      </c>
      <c r="L69" s="8">
        <v>19.127167630057812</v>
      </c>
      <c r="M69" s="7">
        <f t="shared" si="11"/>
        <v>0.90543941631252989</v>
      </c>
      <c r="N69" s="8">
        <v>46.22</v>
      </c>
      <c r="O69" s="8">
        <v>0.90500000000000003</v>
      </c>
      <c r="P69" s="8">
        <v>5.657</v>
      </c>
      <c r="Q69" s="8">
        <v>2.165</v>
      </c>
      <c r="R69" s="8">
        <v>1.619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2">
        <v>0</v>
      </c>
      <c r="AG69" s="33">
        <v>0</v>
      </c>
      <c r="AH69" s="31">
        <v>0</v>
      </c>
      <c r="AI69" s="31">
        <v>0</v>
      </c>
      <c r="AJ69" s="32">
        <v>0</v>
      </c>
      <c r="AK69" s="34">
        <v>1</v>
      </c>
      <c r="AL69" s="35">
        <v>0</v>
      </c>
      <c r="AM69" s="35">
        <v>0</v>
      </c>
      <c r="AN69" s="36">
        <v>0</v>
      </c>
      <c r="AO69" s="35">
        <v>1</v>
      </c>
      <c r="AP69" s="32">
        <v>0</v>
      </c>
      <c r="AQ69" s="31">
        <v>0</v>
      </c>
      <c r="AR69" s="32">
        <v>0</v>
      </c>
      <c r="AS69" s="34">
        <v>0</v>
      </c>
      <c r="AT69" s="31">
        <v>0</v>
      </c>
      <c r="AU69" s="31">
        <v>0</v>
      </c>
      <c r="AV69" s="31">
        <v>0</v>
      </c>
      <c r="AW69" s="32">
        <v>0</v>
      </c>
      <c r="AX69" s="31">
        <v>0</v>
      </c>
      <c r="AY69" s="31">
        <v>0</v>
      </c>
      <c r="AZ69" s="32">
        <v>0</v>
      </c>
      <c r="BA69" s="31">
        <v>0</v>
      </c>
      <c r="BB69" s="31">
        <v>0</v>
      </c>
      <c r="BC69" s="32">
        <v>0</v>
      </c>
      <c r="BD69" s="31">
        <v>0</v>
      </c>
      <c r="BE69" s="31">
        <v>0</v>
      </c>
      <c r="BF69" s="31">
        <v>0</v>
      </c>
      <c r="BG69" s="31">
        <v>0</v>
      </c>
      <c r="BH69" s="31">
        <v>0</v>
      </c>
      <c r="BI69" s="31">
        <v>0</v>
      </c>
      <c r="BJ69" s="31">
        <v>0</v>
      </c>
      <c r="BK69" s="32">
        <v>0</v>
      </c>
      <c r="BL69" s="32">
        <v>0</v>
      </c>
      <c r="BM69" s="32">
        <v>0</v>
      </c>
      <c r="BN69" s="32">
        <v>0</v>
      </c>
      <c r="BO69" s="32">
        <v>0</v>
      </c>
      <c r="BP69" s="31">
        <v>0</v>
      </c>
      <c r="BQ69" s="31">
        <v>0</v>
      </c>
      <c r="BR69" s="32">
        <v>0</v>
      </c>
      <c r="BS69" s="37">
        <v>0</v>
      </c>
      <c r="BT69" s="31">
        <v>0</v>
      </c>
      <c r="BU69" s="32">
        <v>0</v>
      </c>
      <c r="BV69" s="31">
        <v>0</v>
      </c>
      <c r="BW69" s="31">
        <v>0</v>
      </c>
      <c r="BX69" s="31">
        <v>0</v>
      </c>
      <c r="BY69" s="31">
        <v>0</v>
      </c>
      <c r="BZ69" s="31">
        <v>0</v>
      </c>
      <c r="CA69" s="31">
        <v>1</v>
      </c>
      <c r="CB69" s="31">
        <v>0</v>
      </c>
      <c r="CC69" s="31">
        <v>0</v>
      </c>
      <c r="CD69" s="31">
        <v>0</v>
      </c>
      <c r="CE69" s="31">
        <v>0</v>
      </c>
      <c r="CF69" s="38">
        <v>0</v>
      </c>
      <c r="CG69" s="67">
        <f t="shared" si="12"/>
        <v>3</v>
      </c>
      <c r="CH69" s="69">
        <f t="shared" si="13"/>
        <v>3</v>
      </c>
      <c r="CI69" s="30">
        <f t="shared" si="14"/>
        <v>0</v>
      </c>
      <c r="CJ69" s="30">
        <f t="shared" si="15"/>
        <v>1</v>
      </c>
      <c r="CK69" s="30">
        <f t="shared" si="16"/>
        <v>2</v>
      </c>
      <c r="CL69" s="67">
        <f t="shared" si="17"/>
        <v>2</v>
      </c>
      <c r="CM69" s="30">
        <v>2</v>
      </c>
      <c r="CN69" s="30">
        <v>0</v>
      </c>
      <c r="CO69" s="30">
        <v>0</v>
      </c>
      <c r="CP69" s="30">
        <v>1</v>
      </c>
      <c r="CQ69" s="67">
        <v>1</v>
      </c>
    </row>
    <row r="70" spans="1:95" x14ac:dyDescent="0.3">
      <c r="A70" s="13">
        <v>55</v>
      </c>
      <c r="B70" s="8" t="s">
        <v>0</v>
      </c>
      <c r="C70" s="8" t="s">
        <v>14</v>
      </c>
      <c r="D70" s="8" t="s">
        <v>4</v>
      </c>
      <c r="E70" s="8">
        <v>5</v>
      </c>
      <c r="F70" s="8" t="s">
        <v>6</v>
      </c>
      <c r="G70" s="8">
        <v>7.0600000000000005</v>
      </c>
      <c r="H70" s="8">
        <v>2</v>
      </c>
      <c r="I70" s="8">
        <v>6.9166999999999996</v>
      </c>
      <c r="J70" s="8">
        <v>5.6868999999999996</v>
      </c>
      <c r="K70" s="8">
        <v>17.780155276360116</v>
      </c>
      <c r="L70" s="8">
        <v>19.449008498583581</v>
      </c>
      <c r="M70" s="7">
        <f t="shared" si="11"/>
        <v>0.90942694785845857</v>
      </c>
      <c r="N70" s="8">
        <v>48.69</v>
      </c>
      <c r="O70" s="8">
        <v>0.96799999999999997</v>
      </c>
      <c r="P70" s="8">
        <v>6.05</v>
      </c>
      <c r="Q70" s="8">
        <v>1.456</v>
      </c>
      <c r="R70" s="8">
        <v>1.4670000000000001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2">
        <v>0</v>
      </c>
      <c r="AG70" s="33">
        <v>0</v>
      </c>
      <c r="AH70" s="31">
        <v>0</v>
      </c>
      <c r="AI70" s="31">
        <v>0</v>
      </c>
      <c r="AJ70" s="32">
        <v>0</v>
      </c>
      <c r="AK70" s="34">
        <v>1</v>
      </c>
      <c r="AL70" s="35">
        <v>0</v>
      </c>
      <c r="AM70" s="35">
        <v>0</v>
      </c>
      <c r="AN70" s="36">
        <v>0</v>
      </c>
      <c r="AO70" s="35">
        <v>0</v>
      </c>
      <c r="AP70" s="32">
        <v>2</v>
      </c>
      <c r="AQ70" s="31">
        <v>0</v>
      </c>
      <c r="AR70" s="32">
        <v>0</v>
      </c>
      <c r="AS70" s="34">
        <v>0</v>
      </c>
      <c r="AT70" s="31">
        <v>0</v>
      </c>
      <c r="AU70" s="31">
        <v>0</v>
      </c>
      <c r="AV70" s="31">
        <v>0</v>
      </c>
      <c r="AW70" s="32">
        <v>0</v>
      </c>
      <c r="AX70" s="31">
        <v>0</v>
      </c>
      <c r="AY70" s="31">
        <v>0</v>
      </c>
      <c r="AZ70" s="32">
        <v>0</v>
      </c>
      <c r="BA70" s="31">
        <v>0</v>
      </c>
      <c r="BB70" s="31">
        <v>0</v>
      </c>
      <c r="BC70" s="32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1">
        <v>0</v>
      </c>
      <c r="BK70" s="32">
        <v>0</v>
      </c>
      <c r="BL70" s="32">
        <v>0</v>
      </c>
      <c r="BM70" s="32">
        <v>0</v>
      </c>
      <c r="BN70" s="32">
        <v>0</v>
      </c>
      <c r="BO70" s="32">
        <v>0</v>
      </c>
      <c r="BP70" s="31">
        <v>0</v>
      </c>
      <c r="BQ70" s="31">
        <v>0</v>
      </c>
      <c r="BR70" s="32">
        <v>0</v>
      </c>
      <c r="BS70" s="37">
        <v>0</v>
      </c>
      <c r="BT70" s="31">
        <v>0</v>
      </c>
      <c r="BU70" s="32">
        <v>0</v>
      </c>
      <c r="BV70" s="31">
        <v>0</v>
      </c>
      <c r="BW70" s="31">
        <v>0</v>
      </c>
      <c r="BX70" s="31">
        <v>0</v>
      </c>
      <c r="BY70" s="31">
        <v>0</v>
      </c>
      <c r="BZ70" s="31">
        <v>0</v>
      </c>
      <c r="CA70" s="31">
        <v>1</v>
      </c>
      <c r="CB70" s="31">
        <v>0</v>
      </c>
      <c r="CC70" s="31">
        <v>0</v>
      </c>
      <c r="CD70" s="31">
        <v>0</v>
      </c>
      <c r="CE70" s="31">
        <v>0</v>
      </c>
      <c r="CF70" s="38">
        <v>0</v>
      </c>
      <c r="CG70" s="67">
        <f t="shared" si="12"/>
        <v>4</v>
      </c>
      <c r="CH70" s="69">
        <f t="shared" si="13"/>
        <v>3</v>
      </c>
      <c r="CI70" s="30">
        <f t="shared" si="14"/>
        <v>0</v>
      </c>
      <c r="CJ70" s="30">
        <f t="shared" si="15"/>
        <v>0</v>
      </c>
      <c r="CK70" s="30">
        <f t="shared" si="16"/>
        <v>2</v>
      </c>
      <c r="CL70" s="67">
        <f t="shared" si="17"/>
        <v>1</v>
      </c>
      <c r="CM70" s="30">
        <v>3</v>
      </c>
      <c r="CN70" s="30">
        <v>0</v>
      </c>
      <c r="CO70" s="30">
        <v>0</v>
      </c>
      <c r="CP70" s="30">
        <v>1</v>
      </c>
      <c r="CQ70" s="67">
        <v>1</v>
      </c>
    </row>
    <row r="71" spans="1:95" x14ac:dyDescent="0.3">
      <c r="A71" s="13">
        <v>56</v>
      </c>
      <c r="B71" s="8" t="s">
        <v>0</v>
      </c>
      <c r="C71" s="8" t="s">
        <v>1</v>
      </c>
      <c r="D71" s="8" t="s">
        <v>4</v>
      </c>
      <c r="E71" s="8">
        <v>5</v>
      </c>
      <c r="F71" s="8" t="s">
        <v>6</v>
      </c>
      <c r="G71" s="8">
        <v>6.94</v>
      </c>
      <c r="H71" s="8">
        <v>2</v>
      </c>
      <c r="I71" s="8">
        <v>83847</v>
      </c>
      <c r="J71" s="8">
        <v>5.4279000000000002</v>
      </c>
      <c r="K71" s="8">
        <v>99.993526423127847</v>
      </c>
      <c r="L71" s="8">
        <v>21.788184438040346</v>
      </c>
      <c r="M71" s="7">
        <f t="shared" si="11"/>
        <v>0.93889663626763509</v>
      </c>
      <c r="N71" s="8">
        <v>46.89</v>
      </c>
      <c r="O71" s="8">
        <v>0.90600000000000003</v>
      </c>
      <c r="P71" s="8">
        <v>5.6619999999999999</v>
      </c>
      <c r="Q71" s="8">
        <v>1.7949999999999999</v>
      </c>
      <c r="R71" s="8">
        <v>1.2729999999999999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2">
        <v>0</v>
      </c>
      <c r="AG71" s="33">
        <v>0</v>
      </c>
      <c r="AH71" s="31">
        <v>0</v>
      </c>
      <c r="AI71" s="31">
        <v>0</v>
      </c>
      <c r="AJ71" s="32">
        <v>0</v>
      </c>
      <c r="AK71" s="34">
        <v>0</v>
      </c>
      <c r="AL71" s="35">
        <v>0</v>
      </c>
      <c r="AM71" s="35">
        <v>0</v>
      </c>
      <c r="AN71" s="36">
        <v>0</v>
      </c>
      <c r="AO71" s="35">
        <v>0</v>
      </c>
      <c r="AP71" s="32">
        <v>1</v>
      </c>
      <c r="AQ71" s="31">
        <v>0</v>
      </c>
      <c r="AR71" s="32">
        <v>0</v>
      </c>
      <c r="AS71" s="34">
        <v>0</v>
      </c>
      <c r="AT71" s="31">
        <v>0</v>
      </c>
      <c r="AU71" s="31">
        <v>0</v>
      </c>
      <c r="AV71" s="31">
        <v>0</v>
      </c>
      <c r="AW71" s="32">
        <v>0</v>
      </c>
      <c r="AX71" s="31">
        <v>0</v>
      </c>
      <c r="AY71" s="31">
        <v>0</v>
      </c>
      <c r="AZ71" s="32">
        <v>0</v>
      </c>
      <c r="BA71" s="31">
        <v>0</v>
      </c>
      <c r="BB71" s="31">
        <v>0</v>
      </c>
      <c r="BC71" s="32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2">
        <v>0</v>
      </c>
      <c r="BL71" s="32">
        <v>0</v>
      </c>
      <c r="BM71" s="32">
        <v>0</v>
      </c>
      <c r="BN71" s="32">
        <v>0</v>
      </c>
      <c r="BO71" s="32">
        <v>0</v>
      </c>
      <c r="BP71" s="31">
        <v>0</v>
      </c>
      <c r="BQ71" s="31">
        <v>0</v>
      </c>
      <c r="BR71" s="32">
        <v>0</v>
      </c>
      <c r="BS71" s="37">
        <v>0</v>
      </c>
      <c r="BT71" s="31">
        <v>0</v>
      </c>
      <c r="BU71" s="32">
        <v>0</v>
      </c>
      <c r="BV71" s="31">
        <v>0</v>
      </c>
      <c r="BW71" s="31">
        <v>0</v>
      </c>
      <c r="BX71" s="31">
        <v>0</v>
      </c>
      <c r="BY71" s="31">
        <v>0</v>
      </c>
      <c r="BZ71" s="31">
        <v>0</v>
      </c>
      <c r="CA71" s="31">
        <v>0</v>
      </c>
      <c r="CB71" s="31">
        <v>0</v>
      </c>
      <c r="CC71" s="31">
        <v>0</v>
      </c>
      <c r="CD71" s="31">
        <v>0</v>
      </c>
      <c r="CE71" s="31">
        <v>0</v>
      </c>
      <c r="CF71" s="38">
        <v>0</v>
      </c>
      <c r="CG71" s="67">
        <f t="shared" si="12"/>
        <v>1</v>
      </c>
      <c r="CH71" s="69">
        <f t="shared" si="13"/>
        <v>1</v>
      </c>
      <c r="CI71" s="30">
        <f t="shared" si="14"/>
        <v>0</v>
      </c>
      <c r="CJ71" s="30">
        <f t="shared" si="15"/>
        <v>0</v>
      </c>
      <c r="CK71" s="30">
        <f t="shared" si="16"/>
        <v>0</v>
      </c>
      <c r="CL71" s="67">
        <f t="shared" si="17"/>
        <v>0</v>
      </c>
      <c r="CM71" s="30">
        <v>1</v>
      </c>
      <c r="CN71" s="30">
        <v>0</v>
      </c>
      <c r="CO71" s="30">
        <v>0</v>
      </c>
      <c r="CP71" s="30">
        <v>0</v>
      </c>
      <c r="CQ71" s="67">
        <v>1</v>
      </c>
    </row>
    <row r="72" spans="1:95" x14ac:dyDescent="0.3">
      <c r="A72" s="13">
        <v>131</v>
      </c>
      <c r="B72" s="8" t="s">
        <v>0</v>
      </c>
      <c r="C72" s="8" t="s">
        <v>14</v>
      </c>
      <c r="D72" s="8" t="s">
        <v>5</v>
      </c>
      <c r="E72" s="8">
        <v>5</v>
      </c>
      <c r="F72" s="8" t="s">
        <v>6</v>
      </c>
      <c r="G72" s="8">
        <v>7.01</v>
      </c>
      <c r="H72" s="8">
        <v>2</v>
      </c>
      <c r="I72" s="8">
        <v>6.9288999999999996</v>
      </c>
      <c r="J72" s="8">
        <v>5.7317</v>
      </c>
      <c r="K72" s="8">
        <v>17.278355871783397</v>
      </c>
      <c r="L72" s="8">
        <v>18.235378031383735</v>
      </c>
      <c r="M72" s="7">
        <f t="shared" si="11"/>
        <v>0.89447271076315238</v>
      </c>
      <c r="N72" s="8">
        <v>49.29</v>
      </c>
      <c r="O72" s="8">
        <v>0.77800000000000002</v>
      </c>
      <c r="P72" s="8">
        <v>4.8600000000000003</v>
      </c>
      <c r="Q72" s="8">
        <v>1.2370000000000001</v>
      </c>
      <c r="R72" s="8">
        <v>1.669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2">
        <v>0</v>
      </c>
      <c r="AG72" s="33">
        <v>0</v>
      </c>
      <c r="AH72" s="31">
        <v>0</v>
      </c>
      <c r="AI72" s="31">
        <v>0</v>
      </c>
      <c r="AJ72" s="32">
        <v>0</v>
      </c>
      <c r="AK72" s="34">
        <v>2</v>
      </c>
      <c r="AL72" s="35">
        <v>0</v>
      </c>
      <c r="AM72" s="35">
        <v>0</v>
      </c>
      <c r="AN72" s="36">
        <v>0</v>
      </c>
      <c r="AO72" s="35">
        <v>0</v>
      </c>
      <c r="AP72" s="32">
        <v>0</v>
      </c>
      <c r="AQ72" s="31">
        <v>0</v>
      </c>
      <c r="AR72" s="32">
        <v>0</v>
      </c>
      <c r="AS72" s="34">
        <v>0</v>
      </c>
      <c r="AT72" s="31">
        <v>0</v>
      </c>
      <c r="AU72" s="31">
        <v>0</v>
      </c>
      <c r="AV72" s="31">
        <v>0</v>
      </c>
      <c r="AW72" s="32">
        <v>0</v>
      </c>
      <c r="AX72" s="31">
        <v>0</v>
      </c>
      <c r="AY72" s="31">
        <v>0</v>
      </c>
      <c r="AZ72" s="32">
        <v>0</v>
      </c>
      <c r="BA72" s="31">
        <v>0</v>
      </c>
      <c r="BB72" s="31">
        <v>0</v>
      </c>
      <c r="BC72" s="32">
        <v>0</v>
      </c>
      <c r="BD72" s="31">
        <v>0</v>
      </c>
      <c r="BE72" s="31">
        <v>0</v>
      </c>
      <c r="BF72" s="31">
        <v>0</v>
      </c>
      <c r="BG72" s="31">
        <v>0</v>
      </c>
      <c r="BH72" s="31">
        <v>0</v>
      </c>
      <c r="BI72" s="31">
        <v>0</v>
      </c>
      <c r="BJ72" s="31">
        <v>0</v>
      </c>
      <c r="BK72" s="32">
        <v>0</v>
      </c>
      <c r="BL72" s="32">
        <v>0</v>
      </c>
      <c r="BM72" s="32">
        <v>0</v>
      </c>
      <c r="BN72" s="32">
        <v>0</v>
      </c>
      <c r="BO72" s="32">
        <v>0</v>
      </c>
      <c r="BP72" s="31">
        <v>0</v>
      </c>
      <c r="BQ72" s="31">
        <v>0</v>
      </c>
      <c r="BR72" s="32">
        <v>0</v>
      </c>
      <c r="BS72" s="37">
        <v>0</v>
      </c>
      <c r="BT72" s="31">
        <v>0</v>
      </c>
      <c r="BU72" s="32">
        <v>0</v>
      </c>
      <c r="BV72" s="31">
        <v>0</v>
      </c>
      <c r="BW72" s="31">
        <v>0</v>
      </c>
      <c r="BX72" s="31">
        <v>0</v>
      </c>
      <c r="BY72" s="31">
        <v>0</v>
      </c>
      <c r="BZ72" s="31">
        <v>0</v>
      </c>
      <c r="CA72" s="31">
        <v>0</v>
      </c>
      <c r="CB72" s="31">
        <v>0</v>
      </c>
      <c r="CC72" s="31">
        <v>0</v>
      </c>
      <c r="CD72" s="31">
        <v>0</v>
      </c>
      <c r="CE72" s="31">
        <v>0</v>
      </c>
      <c r="CF72" s="38">
        <v>0</v>
      </c>
      <c r="CG72" s="67">
        <f t="shared" si="12"/>
        <v>2</v>
      </c>
      <c r="CH72" s="69">
        <f t="shared" si="13"/>
        <v>1</v>
      </c>
      <c r="CI72" s="30">
        <f t="shared" si="14"/>
        <v>0</v>
      </c>
      <c r="CJ72" s="30">
        <f t="shared" si="15"/>
        <v>0</v>
      </c>
      <c r="CK72" s="30">
        <f t="shared" si="16"/>
        <v>2</v>
      </c>
      <c r="CL72" s="67">
        <f t="shared" si="17"/>
        <v>1</v>
      </c>
      <c r="CM72" s="30">
        <v>2</v>
      </c>
      <c r="CN72" s="30">
        <v>0</v>
      </c>
      <c r="CO72" s="30">
        <v>0</v>
      </c>
      <c r="CP72" s="30">
        <v>0</v>
      </c>
      <c r="CQ72" s="67">
        <v>1</v>
      </c>
    </row>
    <row r="73" spans="1:95" x14ac:dyDescent="0.3">
      <c r="A73" s="13">
        <v>134</v>
      </c>
      <c r="B73" s="8" t="s">
        <v>0</v>
      </c>
      <c r="C73" s="8" t="s">
        <v>1</v>
      </c>
      <c r="D73" s="8" t="s">
        <v>5</v>
      </c>
      <c r="E73" s="8">
        <v>3</v>
      </c>
      <c r="F73" s="8" t="s">
        <v>6</v>
      </c>
      <c r="G73" s="8">
        <v>7.01</v>
      </c>
      <c r="H73" s="8">
        <v>2</v>
      </c>
      <c r="I73" s="8">
        <v>7.0986000000000002</v>
      </c>
      <c r="J73" s="8">
        <v>5.8638000000000003</v>
      </c>
      <c r="K73" s="8">
        <v>17.394979291691318</v>
      </c>
      <c r="L73" s="8">
        <v>16.350927246790292</v>
      </c>
      <c r="M73" s="7">
        <f t="shared" si="11"/>
        <v>0.87168702401573595</v>
      </c>
      <c r="N73" s="8">
        <v>47.77</v>
      </c>
      <c r="O73" s="8">
        <v>0.71</v>
      </c>
      <c r="P73" s="8">
        <v>4.4370000000000003</v>
      </c>
      <c r="Q73" s="8">
        <v>1.6679999999999999</v>
      </c>
      <c r="R73" s="8">
        <v>1.68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2">
        <v>0</v>
      </c>
      <c r="AG73" s="33">
        <v>1</v>
      </c>
      <c r="AH73" s="31">
        <v>0</v>
      </c>
      <c r="AI73" s="31">
        <v>0</v>
      </c>
      <c r="AJ73" s="32">
        <v>0</v>
      </c>
      <c r="AK73" s="34">
        <v>0</v>
      </c>
      <c r="AL73" s="35">
        <v>0</v>
      </c>
      <c r="AM73" s="35">
        <v>0</v>
      </c>
      <c r="AN73" s="36">
        <v>0</v>
      </c>
      <c r="AO73" s="35">
        <v>0</v>
      </c>
      <c r="AP73" s="32">
        <v>0</v>
      </c>
      <c r="AQ73" s="31">
        <v>0</v>
      </c>
      <c r="AR73" s="32">
        <v>0</v>
      </c>
      <c r="AS73" s="34">
        <v>0</v>
      </c>
      <c r="AT73" s="31">
        <v>0</v>
      </c>
      <c r="AU73" s="31">
        <v>0</v>
      </c>
      <c r="AV73" s="31">
        <v>0</v>
      </c>
      <c r="AW73" s="32">
        <v>0</v>
      </c>
      <c r="AX73" s="31">
        <v>0</v>
      </c>
      <c r="AY73" s="31">
        <v>0</v>
      </c>
      <c r="AZ73" s="32">
        <v>0</v>
      </c>
      <c r="BA73" s="31">
        <v>0</v>
      </c>
      <c r="BB73" s="31">
        <v>0</v>
      </c>
      <c r="BC73" s="32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0</v>
      </c>
      <c r="BK73" s="32">
        <v>0</v>
      </c>
      <c r="BL73" s="32">
        <v>0</v>
      </c>
      <c r="BM73" s="32">
        <v>0</v>
      </c>
      <c r="BN73" s="32">
        <v>0</v>
      </c>
      <c r="BO73" s="32">
        <v>0</v>
      </c>
      <c r="BP73" s="31">
        <v>0</v>
      </c>
      <c r="BQ73" s="31">
        <v>0</v>
      </c>
      <c r="BR73" s="32">
        <v>0</v>
      </c>
      <c r="BS73" s="37">
        <v>0</v>
      </c>
      <c r="BT73" s="31">
        <v>0</v>
      </c>
      <c r="BU73" s="32">
        <v>0</v>
      </c>
      <c r="BV73" s="31">
        <v>0</v>
      </c>
      <c r="BW73" s="31">
        <v>0</v>
      </c>
      <c r="BX73" s="31">
        <v>0</v>
      </c>
      <c r="BY73" s="31">
        <v>0</v>
      </c>
      <c r="BZ73" s="31">
        <v>0</v>
      </c>
      <c r="CA73" s="31">
        <v>0</v>
      </c>
      <c r="CB73" s="31">
        <v>0</v>
      </c>
      <c r="CC73" s="31">
        <v>0</v>
      </c>
      <c r="CD73" s="31">
        <v>0</v>
      </c>
      <c r="CE73" s="31">
        <v>0</v>
      </c>
      <c r="CF73" s="38">
        <v>0</v>
      </c>
      <c r="CG73" s="67">
        <f t="shared" si="12"/>
        <v>1</v>
      </c>
      <c r="CH73" s="69">
        <f t="shared" si="13"/>
        <v>1</v>
      </c>
      <c r="CI73" s="30">
        <f t="shared" si="14"/>
        <v>0</v>
      </c>
      <c r="CJ73" s="30">
        <f t="shared" si="15"/>
        <v>1</v>
      </c>
      <c r="CK73" s="30">
        <f t="shared" si="16"/>
        <v>0</v>
      </c>
      <c r="CL73" s="67">
        <f t="shared" si="17"/>
        <v>1</v>
      </c>
      <c r="CM73" s="30">
        <v>1</v>
      </c>
      <c r="CN73" s="30">
        <v>0</v>
      </c>
      <c r="CO73" s="30">
        <v>0</v>
      </c>
      <c r="CP73" s="30">
        <v>0</v>
      </c>
      <c r="CQ73" s="67">
        <v>1</v>
      </c>
    </row>
    <row r="74" spans="1:95" x14ac:dyDescent="0.3">
      <c r="A74" s="13">
        <v>136</v>
      </c>
      <c r="B74" s="8" t="s">
        <v>0</v>
      </c>
      <c r="C74" s="8" t="s">
        <v>1</v>
      </c>
      <c r="D74" s="8" t="s">
        <v>5</v>
      </c>
      <c r="E74" s="8">
        <v>5</v>
      </c>
      <c r="F74" s="8" t="s">
        <v>6</v>
      </c>
      <c r="G74" s="8">
        <v>7.04</v>
      </c>
      <c r="H74" s="8">
        <v>2</v>
      </c>
      <c r="I74" s="8">
        <v>8.2467000000000006</v>
      </c>
      <c r="J74" s="8">
        <v>5.7625999999999999</v>
      </c>
      <c r="K74" s="8">
        <v>30.122351971091472</v>
      </c>
      <c r="L74" s="8">
        <v>18.144886363636363</v>
      </c>
      <c r="M74" s="7">
        <f t="shared" si="11"/>
        <v>0.89336658897852539</v>
      </c>
      <c r="N74" s="8">
        <v>47.39</v>
      </c>
      <c r="O74" s="8">
        <v>0.8</v>
      </c>
      <c r="P74" s="8">
        <v>4.9969999999999999</v>
      </c>
      <c r="Q74" s="8">
        <v>3.3780000000000001</v>
      </c>
      <c r="R74" s="8">
        <v>1.6759999999999999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2">
        <v>0</v>
      </c>
      <c r="AG74" s="33">
        <v>0</v>
      </c>
      <c r="AH74" s="31">
        <v>0</v>
      </c>
      <c r="AI74" s="31">
        <v>0</v>
      </c>
      <c r="AJ74" s="32">
        <v>0</v>
      </c>
      <c r="AK74" s="34">
        <v>0</v>
      </c>
      <c r="AL74" s="35">
        <v>0</v>
      </c>
      <c r="AM74" s="35">
        <v>0</v>
      </c>
      <c r="AN74" s="36">
        <v>0</v>
      </c>
      <c r="AO74" s="35">
        <v>0</v>
      </c>
      <c r="AP74" s="32">
        <v>0</v>
      </c>
      <c r="AQ74" s="31">
        <v>0</v>
      </c>
      <c r="AR74" s="32">
        <v>0</v>
      </c>
      <c r="AS74" s="34">
        <v>0</v>
      </c>
      <c r="AT74" s="31">
        <v>0</v>
      </c>
      <c r="AU74" s="31">
        <v>0</v>
      </c>
      <c r="AV74" s="31">
        <v>0</v>
      </c>
      <c r="AW74" s="32">
        <v>0</v>
      </c>
      <c r="AX74" s="31">
        <v>0</v>
      </c>
      <c r="AY74" s="31">
        <v>0</v>
      </c>
      <c r="AZ74" s="32">
        <v>0</v>
      </c>
      <c r="BA74" s="31">
        <v>0</v>
      </c>
      <c r="BB74" s="31">
        <v>0</v>
      </c>
      <c r="BC74" s="32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2">
        <v>0</v>
      </c>
      <c r="BL74" s="32">
        <v>0</v>
      </c>
      <c r="BM74" s="32">
        <v>0</v>
      </c>
      <c r="BN74" s="32">
        <v>0</v>
      </c>
      <c r="BO74" s="32">
        <v>0</v>
      </c>
      <c r="BP74" s="31">
        <v>0</v>
      </c>
      <c r="BQ74" s="31">
        <v>0</v>
      </c>
      <c r="BR74" s="32">
        <v>0</v>
      </c>
      <c r="BS74" s="37">
        <v>0</v>
      </c>
      <c r="BT74" s="31">
        <v>0</v>
      </c>
      <c r="BU74" s="32">
        <v>0</v>
      </c>
      <c r="BV74" s="31">
        <v>0</v>
      </c>
      <c r="BW74" s="31">
        <v>0</v>
      </c>
      <c r="BX74" s="31">
        <v>0</v>
      </c>
      <c r="BY74" s="31">
        <v>0</v>
      </c>
      <c r="BZ74" s="31">
        <v>0</v>
      </c>
      <c r="CA74" s="31">
        <v>0</v>
      </c>
      <c r="CB74" s="31">
        <v>0</v>
      </c>
      <c r="CC74" s="31">
        <v>0</v>
      </c>
      <c r="CD74" s="31">
        <v>0</v>
      </c>
      <c r="CE74" s="31">
        <v>0</v>
      </c>
      <c r="CF74" s="38">
        <v>0</v>
      </c>
      <c r="CG74" s="67">
        <f t="shared" si="12"/>
        <v>0</v>
      </c>
      <c r="CH74" s="69">
        <f t="shared" si="13"/>
        <v>0</v>
      </c>
      <c r="CI74" s="30">
        <f t="shared" si="14"/>
        <v>0</v>
      </c>
      <c r="CJ74" s="30">
        <f t="shared" si="15"/>
        <v>0</v>
      </c>
      <c r="CK74" s="30">
        <f t="shared" si="16"/>
        <v>0</v>
      </c>
      <c r="CL74" s="67">
        <f t="shared" si="17"/>
        <v>0</v>
      </c>
      <c r="CM74" s="30">
        <v>0</v>
      </c>
      <c r="CN74" s="30">
        <v>0</v>
      </c>
      <c r="CO74" s="30">
        <v>0</v>
      </c>
      <c r="CP74" s="30">
        <v>0</v>
      </c>
      <c r="CQ74" s="67">
        <v>0</v>
      </c>
    </row>
    <row r="75" spans="1:95" x14ac:dyDescent="0.3">
      <c r="A75" s="13">
        <v>141</v>
      </c>
      <c r="B75" s="8" t="s">
        <v>0</v>
      </c>
      <c r="C75" s="8" t="s">
        <v>1</v>
      </c>
      <c r="D75" s="8" t="s">
        <v>5</v>
      </c>
      <c r="E75" s="8">
        <v>4</v>
      </c>
      <c r="F75" s="8" t="s">
        <v>6</v>
      </c>
      <c r="G75" s="8">
        <v>7.01</v>
      </c>
      <c r="H75" s="8">
        <v>2</v>
      </c>
      <c r="I75" s="8">
        <v>6.6052</v>
      </c>
      <c r="J75" s="8">
        <v>5.4640000000000004</v>
      </c>
      <c r="K75" s="8">
        <v>17.27729667534669</v>
      </c>
      <c r="L75" s="8">
        <v>22.054208273894428</v>
      </c>
      <c r="M75" s="7">
        <f t="shared" si="11"/>
        <v>0.94230375933795496</v>
      </c>
      <c r="N75" s="8">
        <v>46.92</v>
      </c>
      <c r="O75" s="8">
        <v>0.71299999999999997</v>
      </c>
      <c r="P75" s="8">
        <v>4.4569999999999999</v>
      </c>
      <c r="Q75" s="8">
        <v>1.2709999999999999</v>
      </c>
      <c r="R75" s="8">
        <v>1.585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2">
        <v>0</v>
      </c>
      <c r="AG75" s="33">
        <v>0</v>
      </c>
      <c r="AH75" s="31">
        <v>0</v>
      </c>
      <c r="AI75" s="31">
        <v>0</v>
      </c>
      <c r="AJ75" s="32">
        <v>0</v>
      </c>
      <c r="AK75" s="34">
        <v>0</v>
      </c>
      <c r="AL75" s="35">
        <v>0</v>
      </c>
      <c r="AM75" s="35">
        <v>0</v>
      </c>
      <c r="AN75" s="36">
        <v>0</v>
      </c>
      <c r="AO75" s="35">
        <v>0</v>
      </c>
      <c r="AP75" s="32">
        <v>0</v>
      </c>
      <c r="AQ75" s="31">
        <v>0</v>
      </c>
      <c r="AR75" s="32">
        <v>0</v>
      </c>
      <c r="AS75" s="34">
        <v>0</v>
      </c>
      <c r="AT75" s="31">
        <v>0</v>
      </c>
      <c r="AU75" s="31">
        <v>0</v>
      </c>
      <c r="AV75" s="31">
        <v>0</v>
      </c>
      <c r="AW75" s="32">
        <v>0</v>
      </c>
      <c r="AX75" s="31">
        <v>0</v>
      </c>
      <c r="AY75" s="31">
        <v>0</v>
      </c>
      <c r="AZ75" s="32">
        <v>0</v>
      </c>
      <c r="BA75" s="31">
        <v>0</v>
      </c>
      <c r="BB75" s="31">
        <v>0</v>
      </c>
      <c r="BC75" s="32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2">
        <v>0</v>
      </c>
      <c r="BL75" s="32">
        <v>0</v>
      </c>
      <c r="BM75" s="32">
        <v>0</v>
      </c>
      <c r="BN75" s="32">
        <v>0</v>
      </c>
      <c r="BO75" s="32">
        <v>0</v>
      </c>
      <c r="BP75" s="31">
        <v>0</v>
      </c>
      <c r="BQ75" s="31">
        <v>0</v>
      </c>
      <c r="BR75" s="32">
        <v>0</v>
      </c>
      <c r="BS75" s="37">
        <v>0</v>
      </c>
      <c r="BT75" s="31">
        <v>0</v>
      </c>
      <c r="BU75" s="32">
        <v>0</v>
      </c>
      <c r="BV75" s="31">
        <v>0</v>
      </c>
      <c r="BW75" s="31">
        <v>0</v>
      </c>
      <c r="BX75" s="31">
        <v>1</v>
      </c>
      <c r="BY75" s="31">
        <v>0</v>
      </c>
      <c r="BZ75" s="31">
        <v>0</v>
      </c>
      <c r="CA75" s="31">
        <v>0</v>
      </c>
      <c r="CB75" s="31">
        <v>0</v>
      </c>
      <c r="CC75" s="31">
        <v>0</v>
      </c>
      <c r="CD75" s="31">
        <v>0</v>
      </c>
      <c r="CE75" s="31">
        <v>0</v>
      </c>
      <c r="CF75" s="38">
        <v>0</v>
      </c>
      <c r="CG75" s="67">
        <f t="shared" si="12"/>
        <v>1</v>
      </c>
      <c r="CH75" s="69">
        <f t="shared" si="13"/>
        <v>1</v>
      </c>
      <c r="CI75" s="30">
        <f t="shared" si="14"/>
        <v>0</v>
      </c>
      <c r="CJ75" s="30">
        <f t="shared" si="15"/>
        <v>0</v>
      </c>
      <c r="CK75" s="30">
        <f t="shared" si="16"/>
        <v>1</v>
      </c>
      <c r="CL75" s="67">
        <f t="shared" si="17"/>
        <v>1</v>
      </c>
      <c r="CM75" s="30">
        <v>0</v>
      </c>
      <c r="CN75" s="30">
        <v>0</v>
      </c>
      <c r="CO75" s="30">
        <v>0</v>
      </c>
      <c r="CP75" s="30">
        <v>1</v>
      </c>
      <c r="CQ75" s="67">
        <v>0</v>
      </c>
    </row>
    <row r="76" spans="1:95" x14ac:dyDescent="0.3">
      <c r="A76" s="13">
        <v>145</v>
      </c>
      <c r="B76" s="8" t="s">
        <v>0</v>
      </c>
      <c r="C76" s="8" t="s">
        <v>14</v>
      </c>
      <c r="D76" s="8" t="s">
        <v>5</v>
      </c>
      <c r="E76" s="8">
        <v>4</v>
      </c>
      <c r="F76" s="8" t="s">
        <v>6</v>
      </c>
      <c r="G76" s="8">
        <v>7.07</v>
      </c>
      <c r="H76" s="8">
        <v>2</v>
      </c>
      <c r="I76" s="8">
        <v>8.1168999999999993</v>
      </c>
      <c r="J76" s="8">
        <v>5.8346</v>
      </c>
      <c r="K76" s="8">
        <v>28.117877514814765</v>
      </c>
      <c r="L76" s="8">
        <v>17.473833097595477</v>
      </c>
      <c r="M76" s="7">
        <f t="shared" si="11"/>
        <v>0.8852019489220232</v>
      </c>
      <c r="N76" s="8">
        <v>47.3</v>
      </c>
      <c r="O76" s="8">
        <v>0.68</v>
      </c>
      <c r="P76" s="8">
        <v>4.2510000000000003</v>
      </c>
      <c r="Q76" s="8">
        <v>1.2330000000000001</v>
      </c>
      <c r="R76" s="8">
        <v>1.6080000000000001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2">
        <v>0</v>
      </c>
      <c r="AG76" s="33">
        <v>0</v>
      </c>
      <c r="AH76" s="31">
        <v>0</v>
      </c>
      <c r="AI76" s="31">
        <v>0</v>
      </c>
      <c r="AJ76" s="32">
        <v>0</v>
      </c>
      <c r="AK76" s="34">
        <v>1</v>
      </c>
      <c r="AL76" s="35">
        <v>0</v>
      </c>
      <c r="AM76" s="35">
        <v>0</v>
      </c>
      <c r="AN76" s="36">
        <v>0</v>
      </c>
      <c r="AO76" s="35">
        <v>0</v>
      </c>
      <c r="AP76" s="32">
        <v>0</v>
      </c>
      <c r="AQ76" s="31">
        <v>0</v>
      </c>
      <c r="AR76" s="32">
        <v>0</v>
      </c>
      <c r="AS76" s="34">
        <v>0</v>
      </c>
      <c r="AT76" s="31">
        <v>0</v>
      </c>
      <c r="AU76" s="31">
        <v>0</v>
      </c>
      <c r="AV76" s="31">
        <v>0</v>
      </c>
      <c r="AW76" s="32">
        <v>0</v>
      </c>
      <c r="AX76" s="31">
        <v>0</v>
      </c>
      <c r="AY76" s="31">
        <v>0</v>
      </c>
      <c r="AZ76" s="32">
        <v>0</v>
      </c>
      <c r="BA76" s="31">
        <v>0</v>
      </c>
      <c r="BB76" s="31">
        <v>0</v>
      </c>
      <c r="BC76" s="32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1">
        <v>0</v>
      </c>
      <c r="BK76" s="32">
        <v>0</v>
      </c>
      <c r="BL76" s="32">
        <v>0</v>
      </c>
      <c r="BM76" s="32">
        <v>0</v>
      </c>
      <c r="BN76" s="32">
        <v>0</v>
      </c>
      <c r="BO76" s="32">
        <v>0</v>
      </c>
      <c r="BP76" s="31">
        <v>0</v>
      </c>
      <c r="BQ76" s="31">
        <v>0</v>
      </c>
      <c r="BR76" s="32">
        <v>0</v>
      </c>
      <c r="BS76" s="37">
        <v>0</v>
      </c>
      <c r="BT76" s="31">
        <v>0</v>
      </c>
      <c r="BU76" s="32">
        <v>0</v>
      </c>
      <c r="BV76" s="31">
        <v>0</v>
      </c>
      <c r="BW76" s="31">
        <v>0</v>
      </c>
      <c r="BX76" s="31">
        <v>0</v>
      </c>
      <c r="BY76" s="31">
        <v>0</v>
      </c>
      <c r="BZ76" s="31">
        <v>0</v>
      </c>
      <c r="CA76" s="31">
        <v>0</v>
      </c>
      <c r="CB76" s="31">
        <v>0</v>
      </c>
      <c r="CC76" s="31">
        <v>0</v>
      </c>
      <c r="CD76" s="31">
        <v>0</v>
      </c>
      <c r="CE76" s="31">
        <v>0</v>
      </c>
      <c r="CF76" s="38">
        <v>0</v>
      </c>
      <c r="CG76" s="67">
        <f t="shared" si="12"/>
        <v>1</v>
      </c>
      <c r="CH76" s="69">
        <f t="shared" si="13"/>
        <v>1</v>
      </c>
      <c r="CI76" s="30">
        <f t="shared" si="14"/>
        <v>0</v>
      </c>
      <c r="CJ76" s="30">
        <f t="shared" si="15"/>
        <v>0</v>
      </c>
      <c r="CK76" s="30">
        <f t="shared" si="16"/>
        <v>1</v>
      </c>
      <c r="CL76" s="67">
        <f t="shared" si="17"/>
        <v>1</v>
      </c>
      <c r="CM76" s="30">
        <v>1</v>
      </c>
      <c r="CN76" s="30">
        <v>0</v>
      </c>
      <c r="CO76" s="30">
        <v>0</v>
      </c>
      <c r="CP76" s="30">
        <v>0</v>
      </c>
      <c r="CQ76" s="67">
        <v>1</v>
      </c>
    </row>
    <row r="77" spans="1:95" x14ac:dyDescent="0.3">
      <c r="A77" s="13">
        <v>146</v>
      </c>
      <c r="B77" s="8" t="s">
        <v>0</v>
      </c>
      <c r="C77" s="8" t="s">
        <v>14</v>
      </c>
      <c r="D77" s="8" t="s">
        <v>5</v>
      </c>
      <c r="E77" s="8">
        <v>3</v>
      </c>
      <c r="F77" s="8" t="s">
        <v>6</v>
      </c>
      <c r="G77" s="8">
        <v>7.06</v>
      </c>
      <c r="H77" s="8">
        <v>2</v>
      </c>
      <c r="I77" s="8">
        <v>6.8513000000000002</v>
      </c>
      <c r="J77" s="8">
        <v>5.7987000000000002</v>
      </c>
      <c r="K77" s="8">
        <v>15.36350765548144</v>
      </c>
      <c r="L77" s="8">
        <v>17.865439093484412</v>
      </c>
      <c r="M77" s="7">
        <f t="shared" si="11"/>
        <v>0.88995847756641688</v>
      </c>
      <c r="N77" s="8">
        <v>47.74</v>
      </c>
      <c r="O77" s="8">
        <v>0.71799999999999997</v>
      </c>
      <c r="P77" s="8">
        <v>4.4850000000000003</v>
      </c>
      <c r="Q77" s="8">
        <v>1.46</v>
      </c>
      <c r="R77" s="8">
        <v>1.0940000000000001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2">
        <v>0</v>
      </c>
      <c r="AG77" s="33">
        <v>16</v>
      </c>
      <c r="AH77" s="31">
        <v>0</v>
      </c>
      <c r="AI77" s="31">
        <v>0</v>
      </c>
      <c r="AJ77" s="32">
        <v>0</v>
      </c>
      <c r="AK77" s="34">
        <v>0</v>
      </c>
      <c r="AL77" s="35">
        <v>0</v>
      </c>
      <c r="AM77" s="35">
        <v>0</v>
      </c>
      <c r="AN77" s="36">
        <v>0</v>
      </c>
      <c r="AO77" s="35">
        <v>0</v>
      </c>
      <c r="AP77" s="32">
        <v>0</v>
      </c>
      <c r="AQ77" s="31">
        <v>0</v>
      </c>
      <c r="AR77" s="32">
        <v>0</v>
      </c>
      <c r="AS77" s="34">
        <v>0</v>
      </c>
      <c r="AT77" s="31">
        <v>0</v>
      </c>
      <c r="AU77" s="31">
        <v>0</v>
      </c>
      <c r="AV77" s="31">
        <v>0</v>
      </c>
      <c r="AW77" s="32">
        <v>0</v>
      </c>
      <c r="AX77" s="31">
        <v>0</v>
      </c>
      <c r="AY77" s="31">
        <v>0</v>
      </c>
      <c r="AZ77" s="32">
        <v>0</v>
      </c>
      <c r="BA77" s="31">
        <v>0</v>
      </c>
      <c r="BB77" s="31">
        <v>0</v>
      </c>
      <c r="BC77" s="32">
        <v>0</v>
      </c>
      <c r="BD77" s="31">
        <v>0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0</v>
      </c>
      <c r="BK77" s="32">
        <v>0</v>
      </c>
      <c r="BL77" s="32">
        <v>0</v>
      </c>
      <c r="BM77" s="32">
        <v>0</v>
      </c>
      <c r="BN77" s="32">
        <v>0</v>
      </c>
      <c r="BO77" s="32">
        <v>0</v>
      </c>
      <c r="BP77" s="31">
        <v>0</v>
      </c>
      <c r="BQ77" s="31">
        <v>0</v>
      </c>
      <c r="BR77" s="32">
        <v>0</v>
      </c>
      <c r="BS77" s="37">
        <v>0</v>
      </c>
      <c r="BT77" s="31">
        <v>0</v>
      </c>
      <c r="BU77" s="32">
        <v>0</v>
      </c>
      <c r="BV77" s="31">
        <v>0</v>
      </c>
      <c r="BW77" s="31">
        <v>0</v>
      </c>
      <c r="BX77" s="31">
        <v>0</v>
      </c>
      <c r="BY77" s="31">
        <v>0</v>
      </c>
      <c r="BZ77" s="31">
        <v>0</v>
      </c>
      <c r="CA77" s="31">
        <v>0</v>
      </c>
      <c r="CB77" s="31">
        <v>0</v>
      </c>
      <c r="CC77" s="31">
        <v>0</v>
      </c>
      <c r="CD77" s="31">
        <v>0</v>
      </c>
      <c r="CE77" s="31">
        <v>0</v>
      </c>
      <c r="CF77" s="38">
        <v>0</v>
      </c>
      <c r="CG77" s="67">
        <f t="shared" si="12"/>
        <v>16</v>
      </c>
      <c r="CH77" s="69">
        <f t="shared" si="13"/>
        <v>1</v>
      </c>
      <c r="CI77" s="30">
        <f t="shared" si="14"/>
        <v>0</v>
      </c>
      <c r="CJ77" s="30">
        <f t="shared" si="15"/>
        <v>16</v>
      </c>
      <c r="CK77" s="30">
        <f t="shared" si="16"/>
        <v>0</v>
      </c>
      <c r="CL77" s="67">
        <f t="shared" si="17"/>
        <v>1</v>
      </c>
      <c r="CM77" s="30">
        <v>16</v>
      </c>
      <c r="CN77" s="30">
        <v>0</v>
      </c>
      <c r="CO77" s="30">
        <v>0</v>
      </c>
      <c r="CP77" s="30">
        <v>0</v>
      </c>
      <c r="CQ77" s="67">
        <v>1</v>
      </c>
    </row>
    <row r="78" spans="1:95" x14ac:dyDescent="0.3">
      <c r="A78" s="13">
        <v>160</v>
      </c>
      <c r="B78" s="8" t="s">
        <v>0</v>
      </c>
      <c r="C78" s="8" t="s">
        <v>14</v>
      </c>
      <c r="D78" s="8" t="s">
        <v>5</v>
      </c>
      <c r="E78" s="8">
        <v>2</v>
      </c>
      <c r="F78" s="8" t="s">
        <v>6</v>
      </c>
      <c r="G78" s="8">
        <v>7.02</v>
      </c>
      <c r="H78" s="8">
        <v>2</v>
      </c>
      <c r="I78" s="8">
        <v>7.8555000000000001</v>
      </c>
      <c r="J78" s="8">
        <v>5.7233999999999998</v>
      </c>
      <c r="K78" s="8">
        <v>27.141493221309915</v>
      </c>
      <c r="L78" s="8">
        <v>18.470085470085468</v>
      </c>
      <c r="M78" s="7">
        <f t="shared" si="11"/>
        <v>0.89734736420058459</v>
      </c>
      <c r="N78" s="8">
        <v>47.34</v>
      </c>
      <c r="O78" s="8">
        <v>0.69899999999999995</v>
      </c>
      <c r="P78" s="8">
        <v>4.3689999999999998</v>
      </c>
      <c r="Q78" s="8">
        <v>0.96</v>
      </c>
      <c r="R78" s="8">
        <v>1.2230000000000001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2">
        <v>0</v>
      </c>
      <c r="AG78" s="33">
        <v>0</v>
      </c>
      <c r="AH78" s="31">
        <v>0</v>
      </c>
      <c r="AI78" s="31">
        <v>0</v>
      </c>
      <c r="AJ78" s="32">
        <v>0</v>
      </c>
      <c r="AK78" s="34">
        <v>0</v>
      </c>
      <c r="AL78" s="35">
        <v>0</v>
      </c>
      <c r="AM78" s="35">
        <v>0</v>
      </c>
      <c r="AN78" s="36">
        <v>0</v>
      </c>
      <c r="AO78" s="35">
        <v>0</v>
      </c>
      <c r="AP78" s="32">
        <v>0</v>
      </c>
      <c r="AQ78" s="31">
        <v>0</v>
      </c>
      <c r="AR78" s="32">
        <v>0</v>
      </c>
      <c r="AS78" s="34">
        <v>0</v>
      </c>
      <c r="AT78" s="31">
        <v>0</v>
      </c>
      <c r="AU78" s="31">
        <v>0</v>
      </c>
      <c r="AV78" s="31">
        <v>0</v>
      </c>
      <c r="AW78" s="32">
        <v>0</v>
      </c>
      <c r="AX78" s="31">
        <v>0</v>
      </c>
      <c r="AY78" s="31">
        <v>0</v>
      </c>
      <c r="AZ78" s="32">
        <v>0</v>
      </c>
      <c r="BA78" s="31">
        <v>0</v>
      </c>
      <c r="BB78" s="31">
        <v>0</v>
      </c>
      <c r="BC78" s="32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2">
        <v>0</v>
      </c>
      <c r="BL78" s="32">
        <v>0</v>
      </c>
      <c r="BM78" s="32">
        <v>0</v>
      </c>
      <c r="BN78" s="32">
        <v>0</v>
      </c>
      <c r="BO78" s="32">
        <v>0</v>
      </c>
      <c r="BP78" s="31">
        <v>0</v>
      </c>
      <c r="BQ78" s="31">
        <v>0</v>
      </c>
      <c r="BR78" s="32">
        <v>0</v>
      </c>
      <c r="BS78" s="37">
        <v>0</v>
      </c>
      <c r="BT78" s="31">
        <v>0</v>
      </c>
      <c r="BU78" s="32">
        <v>0</v>
      </c>
      <c r="BV78" s="31">
        <v>0</v>
      </c>
      <c r="BW78" s="31">
        <v>0</v>
      </c>
      <c r="BX78" s="31">
        <v>0</v>
      </c>
      <c r="BY78" s="31">
        <v>0</v>
      </c>
      <c r="BZ78" s="31">
        <v>0</v>
      </c>
      <c r="CA78" s="31">
        <v>0</v>
      </c>
      <c r="CB78" s="31">
        <v>0</v>
      </c>
      <c r="CC78" s="31">
        <v>0</v>
      </c>
      <c r="CD78" s="31">
        <v>0</v>
      </c>
      <c r="CE78" s="31">
        <v>0</v>
      </c>
      <c r="CF78" s="38">
        <v>0</v>
      </c>
      <c r="CG78" s="67">
        <f t="shared" si="12"/>
        <v>0</v>
      </c>
      <c r="CH78" s="69">
        <f t="shared" si="13"/>
        <v>0</v>
      </c>
      <c r="CI78" s="30">
        <f t="shared" si="14"/>
        <v>0</v>
      </c>
      <c r="CJ78" s="30">
        <f t="shared" si="15"/>
        <v>0</v>
      </c>
      <c r="CK78" s="30">
        <f t="shared" si="16"/>
        <v>0</v>
      </c>
      <c r="CL78" s="67">
        <f t="shared" si="17"/>
        <v>0</v>
      </c>
      <c r="CM78" s="30">
        <v>0</v>
      </c>
      <c r="CN78" s="30">
        <v>0</v>
      </c>
      <c r="CO78" s="30">
        <v>0</v>
      </c>
      <c r="CP78" s="30">
        <v>0</v>
      </c>
      <c r="CQ78" s="67">
        <v>0</v>
      </c>
    </row>
    <row r="79" spans="1:95" x14ac:dyDescent="0.3">
      <c r="A79" s="13">
        <v>169</v>
      </c>
      <c r="B79" s="8" t="s">
        <v>0</v>
      </c>
      <c r="C79" s="8" t="s">
        <v>1</v>
      </c>
      <c r="D79" s="8" t="s">
        <v>5</v>
      </c>
      <c r="E79" s="8">
        <v>1</v>
      </c>
      <c r="F79" s="8" t="s">
        <v>6</v>
      </c>
      <c r="G79" s="8">
        <v>6.99</v>
      </c>
      <c r="H79" s="8">
        <v>2</v>
      </c>
      <c r="I79" s="8">
        <v>8.1526999999999994</v>
      </c>
      <c r="J79" s="8">
        <v>5.8483999999999998</v>
      </c>
      <c r="K79" s="8">
        <v>28.264256013345268</v>
      </c>
      <c r="L79" s="8">
        <v>16.331902718168816</v>
      </c>
      <c r="M79" s="7">
        <f t="shared" si="11"/>
        <v>0.87145961724451848</v>
      </c>
      <c r="N79" s="8">
        <v>47.87</v>
      </c>
      <c r="O79" s="8">
        <v>0.73499999999999999</v>
      </c>
      <c r="P79" s="8">
        <v>4.5960000000000001</v>
      </c>
      <c r="Q79" s="8">
        <v>1.0609999999999999</v>
      </c>
      <c r="R79" s="8">
        <v>0.35799999999999998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2">
        <v>0</v>
      </c>
      <c r="AG79" s="33">
        <v>0</v>
      </c>
      <c r="AH79" s="31">
        <v>0</v>
      </c>
      <c r="AI79" s="31">
        <v>0</v>
      </c>
      <c r="AJ79" s="32">
        <v>0</v>
      </c>
      <c r="AK79" s="34">
        <v>0</v>
      </c>
      <c r="AL79" s="35">
        <v>0</v>
      </c>
      <c r="AM79" s="35">
        <v>0</v>
      </c>
      <c r="AN79" s="36">
        <v>0</v>
      </c>
      <c r="AO79" s="35">
        <v>0</v>
      </c>
      <c r="AP79" s="32">
        <v>0</v>
      </c>
      <c r="AQ79" s="31">
        <v>0</v>
      </c>
      <c r="AR79" s="32">
        <v>0</v>
      </c>
      <c r="AS79" s="34">
        <v>0</v>
      </c>
      <c r="AT79" s="31">
        <v>0</v>
      </c>
      <c r="AU79" s="31">
        <v>0</v>
      </c>
      <c r="AV79" s="31">
        <v>0</v>
      </c>
      <c r="AW79" s="32">
        <v>0</v>
      </c>
      <c r="AX79" s="31">
        <v>0</v>
      </c>
      <c r="AY79" s="31">
        <v>0</v>
      </c>
      <c r="AZ79" s="32">
        <v>0</v>
      </c>
      <c r="BA79" s="31">
        <v>0</v>
      </c>
      <c r="BB79" s="31">
        <v>0</v>
      </c>
      <c r="BC79" s="32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2">
        <v>0</v>
      </c>
      <c r="BL79" s="32">
        <v>0</v>
      </c>
      <c r="BM79" s="32">
        <v>0</v>
      </c>
      <c r="BN79" s="32">
        <v>0</v>
      </c>
      <c r="BO79" s="32">
        <v>0</v>
      </c>
      <c r="BP79" s="31">
        <v>0</v>
      </c>
      <c r="BQ79" s="31">
        <v>0</v>
      </c>
      <c r="BR79" s="32">
        <v>0</v>
      </c>
      <c r="BS79" s="37">
        <v>0</v>
      </c>
      <c r="BT79" s="31">
        <v>0</v>
      </c>
      <c r="BU79" s="32">
        <v>0</v>
      </c>
      <c r="BV79" s="31">
        <v>0</v>
      </c>
      <c r="BW79" s="31">
        <v>0</v>
      </c>
      <c r="BX79" s="31">
        <v>0</v>
      </c>
      <c r="BY79" s="31">
        <v>0</v>
      </c>
      <c r="BZ79" s="31">
        <v>0</v>
      </c>
      <c r="CA79" s="31">
        <v>0</v>
      </c>
      <c r="CB79" s="31">
        <v>0</v>
      </c>
      <c r="CC79" s="31">
        <v>0</v>
      </c>
      <c r="CD79" s="31">
        <v>0</v>
      </c>
      <c r="CE79" s="31">
        <v>0</v>
      </c>
      <c r="CF79" s="38">
        <v>0</v>
      </c>
      <c r="CG79" s="67">
        <f t="shared" si="12"/>
        <v>0</v>
      </c>
      <c r="CH79" s="69">
        <f t="shared" si="13"/>
        <v>0</v>
      </c>
      <c r="CI79" s="30">
        <f t="shared" si="14"/>
        <v>0</v>
      </c>
      <c r="CJ79" s="30">
        <f t="shared" si="15"/>
        <v>0</v>
      </c>
      <c r="CK79" s="30">
        <f t="shared" si="16"/>
        <v>0</v>
      </c>
      <c r="CL79" s="67">
        <f t="shared" si="17"/>
        <v>0</v>
      </c>
      <c r="CM79" s="30">
        <v>0</v>
      </c>
      <c r="CN79" s="30">
        <v>0</v>
      </c>
      <c r="CO79" s="30">
        <v>0</v>
      </c>
      <c r="CP79" s="30">
        <v>0</v>
      </c>
      <c r="CQ79" s="67">
        <v>0</v>
      </c>
    </row>
    <row r="80" spans="1:95" x14ac:dyDescent="0.3">
      <c r="A80" s="13">
        <v>171</v>
      </c>
      <c r="B80" s="8" t="s">
        <v>0</v>
      </c>
      <c r="C80" s="8" t="s">
        <v>14</v>
      </c>
      <c r="D80" s="8" t="s">
        <v>5</v>
      </c>
      <c r="E80" s="8">
        <v>1</v>
      </c>
      <c r="F80" s="8" t="s">
        <v>6</v>
      </c>
      <c r="G80" s="8">
        <v>6.96</v>
      </c>
      <c r="H80" s="8">
        <v>2</v>
      </c>
      <c r="I80" s="8">
        <v>7.1483999999999996</v>
      </c>
      <c r="J80" s="8">
        <v>5.8657000000000004</v>
      </c>
      <c r="K80" s="8">
        <v>17.943875552571196</v>
      </c>
      <c r="L80" s="8">
        <v>15.72270114942528</v>
      </c>
      <c r="M80" s="7">
        <f t="shared" si="11"/>
        <v>0.86420482783406705</v>
      </c>
      <c r="N80" s="8">
        <v>47.7</v>
      </c>
      <c r="O80" s="8">
        <v>0.76400000000000001</v>
      </c>
      <c r="P80" s="8">
        <v>4.7759999999999998</v>
      </c>
      <c r="Q80" s="8">
        <v>1.9890000000000001</v>
      </c>
      <c r="R80" s="8">
        <v>2.649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2">
        <v>0</v>
      </c>
      <c r="AG80" s="33">
        <v>0</v>
      </c>
      <c r="AH80" s="31">
        <v>0</v>
      </c>
      <c r="AI80" s="31">
        <v>0</v>
      </c>
      <c r="AJ80" s="32">
        <v>0</v>
      </c>
      <c r="AK80" s="34">
        <v>0</v>
      </c>
      <c r="AL80" s="35">
        <v>0</v>
      </c>
      <c r="AM80" s="35">
        <v>0</v>
      </c>
      <c r="AN80" s="36">
        <v>0</v>
      </c>
      <c r="AO80" s="35">
        <v>0</v>
      </c>
      <c r="AP80" s="32">
        <v>0</v>
      </c>
      <c r="AQ80" s="31">
        <v>0</v>
      </c>
      <c r="AR80" s="32">
        <v>0</v>
      </c>
      <c r="AS80" s="34">
        <v>0</v>
      </c>
      <c r="AT80" s="31">
        <v>0</v>
      </c>
      <c r="AU80" s="31">
        <v>0</v>
      </c>
      <c r="AV80" s="31">
        <v>0</v>
      </c>
      <c r="AW80" s="32">
        <v>0</v>
      </c>
      <c r="AX80" s="31">
        <v>0</v>
      </c>
      <c r="AY80" s="31">
        <v>0</v>
      </c>
      <c r="AZ80" s="32">
        <v>0</v>
      </c>
      <c r="BA80" s="31">
        <v>0</v>
      </c>
      <c r="BB80" s="31">
        <v>0</v>
      </c>
      <c r="BC80" s="32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1">
        <v>0</v>
      </c>
      <c r="BK80" s="32">
        <v>0</v>
      </c>
      <c r="BL80" s="32">
        <v>0</v>
      </c>
      <c r="BM80" s="32">
        <v>0</v>
      </c>
      <c r="BN80" s="32">
        <v>0</v>
      </c>
      <c r="BO80" s="32">
        <v>0</v>
      </c>
      <c r="BP80" s="31">
        <v>0</v>
      </c>
      <c r="BQ80" s="31">
        <v>0</v>
      </c>
      <c r="BR80" s="32">
        <v>0</v>
      </c>
      <c r="BS80" s="37">
        <v>0</v>
      </c>
      <c r="BT80" s="31">
        <v>0</v>
      </c>
      <c r="BU80" s="32">
        <v>0</v>
      </c>
      <c r="BV80" s="31">
        <v>0</v>
      </c>
      <c r="BW80" s="31">
        <v>0</v>
      </c>
      <c r="BX80" s="31">
        <v>0</v>
      </c>
      <c r="BY80" s="31">
        <v>0</v>
      </c>
      <c r="BZ80" s="31">
        <v>0</v>
      </c>
      <c r="CA80" s="31">
        <v>0</v>
      </c>
      <c r="CB80" s="31">
        <v>0</v>
      </c>
      <c r="CC80" s="31">
        <v>0</v>
      </c>
      <c r="CD80" s="31">
        <v>0</v>
      </c>
      <c r="CE80" s="31">
        <v>0</v>
      </c>
      <c r="CF80" s="38">
        <v>0</v>
      </c>
      <c r="CG80" s="67">
        <f t="shared" si="12"/>
        <v>0</v>
      </c>
      <c r="CH80" s="69">
        <f t="shared" si="13"/>
        <v>0</v>
      </c>
      <c r="CI80" s="30">
        <f t="shared" si="14"/>
        <v>0</v>
      </c>
      <c r="CJ80" s="30">
        <f t="shared" si="15"/>
        <v>0</v>
      </c>
      <c r="CK80" s="30">
        <f t="shared" si="16"/>
        <v>0</v>
      </c>
      <c r="CL80" s="67">
        <f t="shared" si="17"/>
        <v>0</v>
      </c>
      <c r="CM80" s="30">
        <v>0</v>
      </c>
      <c r="CN80" s="30">
        <v>0</v>
      </c>
      <c r="CO80" s="30">
        <v>0</v>
      </c>
      <c r="CP80" s="30">
        <v>0</v>
      </c>
      <c r="CQ80" s="67">
        <v>0</v>
      </c>
    </row>
    <row r="81" spans="1:95" x14ac:dyDescent="0.3">
      <c r="A81" s="13">
        <v>179</v>
      </c>
      <c r="B81" s="8" t="s">
        <v>0</v>
      </c>
      <c r="C81" s="8" t="s">
        <v>1</v>
      </c>
      <c r="D81" s="8" t="s">
        <v>5</v>
      </c>
      <c r="E81" s="8">
        <v>2</v>
      </c>
      <c r="F81" s="8" t="s">
        <v>6</v>
      </c>
      <c r="G81" s="8">
        <v>6.97</v>
      </c>
      <c r="H81" s="8">
        <v>2</v>
      </c>
      <c r="I81" s="8">
        <v>7.8971999999999998</v>
      </c>
      <c r="J81" s="8">
        <v>5.5762999999999998</v>
      </c>
      <c r="K81" s="8">
        <v>29.388897330699486</v>
      </c>
      <c r="L81" s="8">
        <v>19.995695839311335</v>
      </c>
      <c r="M81" s="7">
        <f t="shared" si="11"/>
        <v>0.91623693131282291</v>
      </c>
      <c r="N81" s="8">
        <v>47.2</v>
      </c>
      <c r="O81" s="8">
        <v>0.748</v>
      </c>
      <c r="P81" s="8">
        <v>4.6769999999999996</v>
      </c>
      <c r="Q81" s="8">
        <v>0.85099999999999998</v>
      </c>
      <c r="R81" s="8">
        <v>1.0149999999999999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2">
        <v>0</v>
      </c>
      <c r="AG81" s="33">
        <v>0</v>
      </c>
      <c r="AH81" s="31">
        <v>0</v>
      </c>
      <c r="AI81" s="31">
        <v>0</v>
      </c>
      <c r="AJ81" s="32">
        <v>0</v>
      </c>
      <c r="AK81" s="34">
        <v>0</v>
      </c>
      <c r="AL81" s="35">
        <v>0</v>
      </c>
      <c r="AM81" s="35">
        <v>0</v>
      </c>
      <c r="AN81" s="36">
        <v>0</v>
      </c>
      <c r="AO81" s="35">
        <v>0</v>
      </c>
      <c r="AP81" s="32">
        <v>0</v>
      </c>
      <c r="AQ81" s="31">
        <v>0</v>
      </c>
      <c r="AR81" s="32">
        <v>0</v>
      </c>
      <c r="AS81" s="34">
        <v>0</v>
      </c>
      <c r="AT81" s="31">
        <v>0</v>
      </c>
      <c r="AU81" s="31">
        <v>0</v>
      </c>
      <c r="AV81" s="31">
        <v>0</v>
      </c>
      <c r="AW81" s="32">
        <v>0</v>
      </c>
      <c r="AX81" s="31">
        <v>0</v>
      </c>
      <c r="AY81" s="31">
        <v>0</v>
      </c>
      <c r="AZ81" s="32">
        <v>0</v>
      </c>
      <c r="BA81" s="31">
        <v>0</v>
      </c>
      <c r="BB81" s="31">
        <v>0</v>
      </c>
      <c r="BC81" s="32">
        <v>0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1">
        <v>0</v>
      </c>
      <c r="BK81" s="32">
        <v>0</v>
      </c>
      <c r="BL81" s="32">
        <v>0</v>
      </c>
      <c r="BM81" s="32">
        <v>0</v>
      </c>
      <c r="BN81" s="32">
        <v>0</v>
      </c>
      <c r="BO81" s="32">
        <v>0</v>
      </c>
      <c r="BP81" s="31">
        <v>0</v>
      </c>
      <c r="BQ81" s="31">
        <v>0</v>
      </c>
      <c r="BR81" s="32">
        <v>0</v>
      </c>
      <c r="BS81" s="37">
        <v>0</v>
      </c>
      <c r="BT81" s="31">
        <v>0</v>
      </c>
      <c r="BU81" s="32">
        <v>0</v>
      </c>
      <c r="BV81" s="31">
        <v>0</v>
      </c>
      <c r="BW81" s="31">
        <v>0</v>
      </c>
      <c r="BX81" s="31">
        <v>0</v>
      </c>
      <c r="BY81" s="31">
        <v>0</v>
      </c>
      <c r="BZ81" s="31">
        <v>0</v>
      </c>
      <c r="CA81" s="31">
        <v>0</v>
      </c>
      <c r="CB81" s="31">
        <v>0</v>
      </c>
      <c r="CC81" s="31">
        <v>0</v>
      </c>
      <c r="CD81" s="31">
        <v>0</v>
      </c>
      <c r="CE81" s="31">
        <v>0</v>
      </c>
      <c r="CF81" s="38">
        <v>0</v>
      </c>
      <c r="CG81" s="67">
        <f t="shared" si="12"/>
        <v>0</v>
      </c>
      <c r="CH81" s="69">
        <f t="shared" si="13"/>
        <v>0</v>
      </c>
      <c r="CI81" s="30">
        <f t="shared" si="14"/>
        <v>0</v>
      </c>
      <c r="CJ81" s="30">
        <f t="shared" si="15"/>
        <v>0</v>
      </c>
      <c r="CK81" s="30">
        <f t="shared" si="16"/>
        <v>0</v>
      </c>
      <c r="CL81" s="67">
        <f t="shared" si="17"/>
        <v>0</v>
      </c>
      <c r="CM81" s="30">
        <v>0</v>
      </c>
      <c r="CN81" s="30">
        <v>0</v>
      </c>
      <c r="CO81" s="30">
        <v>0</v>
      </c>
      <c r="CP81" s="30">
        <v>0</v>
      </c>
      <c r="CQ81" s="67">
        <v>0</v>
      </c>
    </row>
    <row r="82" spans="1:95" x14ac:dyDescent="0.3">
      <c r="A82" s="13">
        <v>242</v>
      </c>
      <c r="B82" s="8" t="s">
        <v>2</v>
      </c>
      <c r="C82" s="8" t="s">
        <v>14</v>
      </c>
      <c r="D82" s="8" t="s">
        <v>4</v>
      </c>
      <c r="E82" s="8">
        <v>5</v>
      </c>
      <c r="F82" s="8" t="s">
        <v>6</v>
      </c>
      <c r="G82" s="8">
        <v>6.95</v>
      </c>
      <c r="H82" s="8">
        <v>2</v>
      </c>
      <c r="I82" s="8">
        <v>11.480499999999999</v>
      </c>
      <c r="J82" s="8">
        <v>5.7907999999999999</v>
      </c>
      <c r="K82" s="8">
        <v>49.559688166891682</v>
      </c>
      <c r="L82" s="8">
        <v>16.679136690647482</v>
      </c>
      <c r="M82" s="7">
        <f t="shared" si="11"/>
        <v>0.87561838883889476</v>
      </c>
      <c r="N82" s="8">
        <v>47.72</v>
      </c>
      <c r="O82" s="8">
        <v>1.0620000000000001</v>
      </c>
      <c r="P82" s="8">
        <v>6.6349999999999998</v>
      </c>
      <c r="Q82" s="8">
        <v>1.2130000000000001</v>
      </c>
      <c r="R82" s="8">
        <v>1.6930000000000001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2">
        <v>0</v>
      </c>
      <c r="AG82" s="33">
        <v>25</v>
      </c>
      <c r="AH82" s="31">
        <v>0</v>
      </c>
      <c r="AI82" s="31">
        <v>0</v>
      </c>
      <c r="AJ82" s="32">
        <v>0</v>
      </c>
      <c r="AK82" s="34">
        <v>1</v>
      </c>
      <c r="AL82" s="35">
        <v>0</v>
      </c>
      <c r="AM82" s="35">
        <v>0</v>
      </c>
      <c r="AN82" s="36">
        <v>0</v>
      </c>
      <c r="AO82" s="35">
        <v>0</v>
      </c>
      <c r="AP82" s="32">
        <v>0</v>
      </c>
      <c r="AQ82" s="31">
        <v>0</v>
      </c>
      <c r="AR82" s="32">
        <v>0</v>
      </c>
      <c r="AS82" s="34">
        <v>0</v>
      </c>
      <c r="AT82" s="31">
        <v>0</v>
      </c>
      <c r="AU82" s="31">
        <v>0</v>
      </c>
      <c r="AV82" s="31">
        <v>0</v>
      </c>
      <c r="AW82" s="32">
        <v>0</v>
      </c>
      <c r="AX82" s="31">
        <v>0</v>
      </c>
      <c r="AY82" s="31">
        <v>0</v>
      </c>
      <c r="AZ82" s="32">
        <v>0</v>
      </c>
      <c r="BA82" s="31">
        <v>0</v>
      </c>
      <c r="BB82" s="31">
        <v>0</v>
      </c>
      <c r="BC82" s="32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1</v>
      </c>
      <c r="BI82" s="31">
        <v>0</v>
      </c>
      <c r="BJ82" s="31">
        <v>0</v>
      </c>
      <c r="BK82" s="32">
        <v>0</v>
      </c>
      <c r="BL82" s="32">
        <v>0</v>
      </c>
      <c r="BM82" s="32">
        <v>0</v>
      </c>
      <c r="BN82" s="32">
        <v>0</v>
      </c>
      <c r="BO82" s="32">
        <v>0</v>
      </c>
      <c r="BP82" s="31">
        <v>0</v>
      </c>
      <c r="BQ82" s="31">
        <v>0</v>
      </c>
      <c r="BR82" s="32">
        <v>0</v>
      </c>
      <c r="BS82" s="37">
        <v>0</v>
      </c>
      <c r="BT82" s="31">
        <v>0</v>
      </c>
      <c r="BU82" s="32">
        <v>0</v>
      </c>
      <c r="BV82" s="31">
        <v>0</v>
      </c>
      <c r="BW82" s="31">
        <v>0</v>
      </c>
      <c r="BX82" s="31">
        <v>0</v>
      </c>
      <c r="BY82" s="31">
        <v>0</v>
      </c>
      <c r="BZ82" s="31">
        <v>0</v>
      </c>
      <c r="CA82" s="31">
        <v>0</v>
      </c>
      <c r="CB82" s="31">
        <v>0</v>
      </c>
      <c r="CC82" s="31">
        <v>0</v>
      </c>
      <c r="CD82" s="31">
        <v>0</v>
      </c>
      <c r="CE82" s="31">
        <v>0</v>
      </c>
      <c r="CF82" s="38">
        <v>0</v>
      </c>
      <c r="CG82" s="67">
        <f t="shared" si="12"/>
        <v>27</v>
      </c>
      <c r="CH82" s="69">
        <f t="shared" si="13"/>
        <v>3</v>
      </c>
      <c r="CI82" s="30">
        <f t="shared" si="14"/>
        <v>0</v>
      </c>
      <c r="CJ82" s="30">
        <f t="shared" si="15"/>
        <v>25</v>
      </c>
      <c r="CK82" s="30">
        <f t="shared" si="16"/>
        <v>2</v>
      </c>
      <c r="CL82" s="67">
        <f t="shared" si="17"/>
        <v>2</v>
      </c>
      <c r="CM82" s="30">
        <v>27</v>
      </c>
      <c r="CN82" s="30">
        <v>0</v>
      </c>
      <c r="CO82" s="30">
        <v>0</v>
      </c>
      <c r="CP82" s="30">
        <v>0</v>
      </c>
      <c r="CQ82" s="67">
        <v>1</v>
      </c>
    </row>
    <row r="83" spans="1:95" x14ac:dyDescent="0.3">
      <c r="A83" s="13">
        <v>249</v>
      </c>
      <c r="B83" s="8" t="s">
        <v>2</v>
      </c>
      <c r="C83" s="8" t="s">
        <v>1</v>
      </c>
      <c r="D83" s="8" t="s">
        <v>4</v>
      </c>
      <c r="E83" s="8">
        <v>5</v>
      </c>
      <c r="F83" s="8" t="s">
        <v>6</v>
      </c>
      <c r="G83" s="8">
        <v>7.12</v>
      </c>
      <c r="H83" s="8">
        <v>2</v>
      </c>
      <c r="I83" s="8">
        <v>14.1335</v>
      </c>
      <c r="J83" s="8">
        <v>5.8495999999999997</v>
      </c>
      <c r="K83" s="8">
        <v>58.611808823009156</v>
      </c>
      <c r="L83" s="8">
        <v>17.842696629213489</v>
      </c>
      <c r="M83" s="7">
        <f t="shared" si="11"/>
        <v>0.88968162314619059</v>
      </c>
      <c r="N83" s="8">
        <v>47.15</v>
      </c>
      <c r="O83" s="8">
        <v>1.2030000000000001</v>
      </c>
      <c r="P83" s="8">
        <v>7.52</v>
      </c>
      <c r="Q83" s="8">
        <v>1.343</v>
      </c>
      <c r="R83" s="8">
        <v>1.175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2">
        <v>0</v>
      </c>
      <c r="AG83" s="33">
        <v>2</v>
      </c>
      <c r="AH83" s="31">
        <v>0</v>
      </c>
      <c r="AI83" s="31">
        <v>0</v>
      </c>
      <c r="AJ83" s="32">
        <v>0</v>
      </c>
      <c r="AK83" s="34">
        <v>1</v>
      </c>
      <c r="AL83" s="35">
        <v>0</v>
      </c>
      <c r="AM83" s="35">
        <v>0</v>
      </c>
      <c r="AN83" s="36">
        <v>0</v>
      </c>
      <c r="AO83" s="35">
        <v>0</v>
      </c>
      <c r="AP83" s="32">
        <v>0</v>
      </c>
      <c r="AQ83" s="31">
        <v>0</v>
      </c>
      <c r="AR83" s="32">
        <v>0</v>
      </c>
      <c r="AS83" s="34">
        <v>0</v>
      </c>
      <c r="AT83" s="31">
        <v>0</v>
      </c>
      <c r="AU83" s="31">
        <v>0</v>
      </c>
      <c r="AV83" s="31">
        <v>0</v>
      </c>
      <c r="AW83" s="32">
        <v>0</v>
      </c>
      <c r="AX83" s="31">
        <v>0</v>
      </c>
      <c r="AY83" s="31">
        <v>0</v>
      </c>
      <c r="AZ83" s="32">
        <v>0</v>
      </c>
      <c r="BA83" s="31">
        <v>1</v>
      </c>
      <c r="BB83" s="31">
        <v>0</v>
      </c>
      <c r="BC83" s="32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2">
        <v>0</v>
      </c>
      <c r="BL83" s="32">
        <v>0</v>
      </c>
      <c r="BM83" s="32">
        <v>0</v>
      </c>
      <c r="BN83" s="32">
        <v>0</v>
      </c>
      <c r="BO83" s="32">
        <v>0</v>
      </c>
      <c r="BP83" s="31">
        <v>0</v>
      </c>
      <c r="BQ83" s="31">
        <v>0</v>
      </c>
      <c r="BR83" s="32">
        <v>0</v>
      </c>
      <c r="BS83" s="37">
        <v>0</v>
      </c>
      <c r="BT83" s="31">
        <v>0</v>
      </c>
      <c r="BU83" s="32">
        <v>0</v>
      </c>
      <c r="BV83" s="31">
        <v>0</v>
      </c>
      <c r="BW83" s="31">
        <v>0</v>
      </c>
      <c r="BX83" s="31">
        <v>0</v>
      </c>
      <c r="BY83" s="31">
        <v>0</v>
      </c>
      <c r="BZ83" s="31">
        <v>0</v>
      </c>
      <c r="CA83" s="31">
        <v>0</v>
      </c>
      <c r="CB83" s="31">
        <v>0</v>
      </c>
      <c r="CC83" s="31">
        <v>0</v>
      </c>
      <c r="CD83" s="31">
        <v>0</v>
      </c>
      <c r="CE83" s="31">
        <v>0</v>
      </c>
      <c r="CF83" s="38">
        <v>0</v>
      </c>
      <c r="CG83" s="67">
        <f t="shared" si="12"/>
        <v>4</v>
      </c>
      <c r="CH83" s="69">
        <f t="shared" si="13"/>
        <v>3</v>
      </c>
      <c r="CI83" s="30">
        <f t="shared" si="14"/>
        <v>0</v>
      </c>
      <c r="CJ83" s="30">
        <f t="shared" si="15"/>
        <v>2</v>
      </c>
      <c r="CK83" s="30">
        <f t="shared" si="16"/>
        <v>2</v>
      </c>
      <c r="CL83" s="67">
        <f t="shared" si="17"/>
        <v>2</v>
      </c>
      <c r="CM83" s="30">
        <v>4</v>
      </c>
      <c r="CN83" s="30">
        <v>0</v>
      </c>
      <c r="CO83" s="30">
        <v>0</v>
      </c>
      <c r="CP83" s="30">
        <v>0</v>
      </c>
      <c r="CQ83" s="67">
        <v>1</v>
      </c>
    </row>
    <row r="84" spans="1:95" x14ac:dyDescent="0.3">
      <c r="A84" s="13">
        <v>254</v>
      </c>
      <c r="B84" s="8" t="s">
        <v>2</v>
      </c>
      <c r="C84" s="8" t="s">
        <v>1</v>
      </c>
      <c r="D84" s="8" t="s">
        <v>4</v>
      </c>
      <c r="E84" s="8">
        <v>3</v>
      </c>
      <c r="F84" s="8" t="s">
        <v>6</v>
      </c>
      <c r="G84" s="8">
        <v>6.95</v>
      </c>
      <c r="H84" s="8">
        <v>2</v>
      </c>
      <c r="I84" s="8">
        <v>6.8921000000000001</v>
      </c>
      <c r="J84" s="8">
        <v>5.81</v>
      </c>
      <c r="K84" s="8">
        <v>15.700584727441571</v>
      </c>
      <c r="L84" s="8">
        <v>16.402877697841735</v>
      </c>
      <c r="M84" s="7">
        <f t="shared" si="11"/>
        <v>0.87230826927282634</v>
      </c>
      <c r="N84" s="8">
        <v>47.9</v>
      </c>
      <c r="O84" s="8">
        <v>1.175</v>
      </c>
      <c r="P84" s="8">
        <v>7.343</v>
      </c>
      <c r="Q84" s="8">
        <v>1.863</v>
      </c>
      <c r="R84" s="8">
        <v>1.9239999999999999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2">
        <v>0</v>
      </c>
      <c r="AG84" s="33">
        <v>0</v>
      </c>
      <c r="AH84" s="31">
        <v>0</v>
      </c>
      <c r="AI84" s="31">
        <v>0</v>
      </c>
      <c r="AJ84" s="32">
        <v>0</v>
      </c>
      <c r="AK84" s="34">
        <v>0</v>
      </c>
      <c r="AL84" s="35">
        <v>0</v>
      </c>
      <c r="AM84" s="35">
        <v>0</v>
      </c>
      <c r="AN84" s="36">
        <v>0</v>
      </c>
      <c r="AO84" s="35">
        <v>0</v>
      </c>
      <c r="AP84" s="32">
        <v>0</v>
      </c>
      <c r="AQ84" s="31">
        <v>0</v>
      </c>
      <c r="AR84" s="32">
        <v>0</v>
      </c>
      <c r="AS84" s="34">
        <v>0</v>
      </c>
      <c r="AT84" s="31">
        <v>0</v>
      </c>
      <c r="AU84" s="31">
        <v>0</v>
      </c>
      <c r="AV84" s="31">
        <v>0</v>
      </c>
      <c r="AW84" s="32">
        <v>0</v>
      </c>
      <c r="AX84" s="31">
        <v>0</v>
      </c>
      <c r="AY84" s="31">
        <v>0</v>
      </c>
      <c r="AZ84" s="32">
        <v>0</v>
      </c>
      <c r="BA84" s="31">
        <v>0</v>
      </c>
      <c r="BB84" s="31">
        <v>0</v>
      </c>
      <c r="BC84" s="32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0</v>
      </c>
      <c r="BI84" s="31">
        <v>0</v>
      </c>
      <c r="BJ84" s="31">
        <v>0</v>
      </c>
      <c r="BK84" s="32">
        <v>0</v>
      </c>
      <c r="BL84" s="32">
        <v>0</v>
      </c>
      <c r="BM84" s="32">
        <v>0</v>
      </c>
      <c r="BN84" s="32">
        <v>0</v>
      </c>
      <c r="BO84" s="32">
        <v>0</v>
      </c>
      <c r="BP84" s="31">
        <v>0</v>
      </c>
      <c r="BQ84" s="31">
        <v>0</v>
      </c>
      <c r="BR84" s="32">
        <v>0</v>
      </c>
      <c r="BS84" s="37">
        <v>0</v>
      </c>
      <c r="BT84" s="31">
        <v>0</v>
      </c>
      <c r="BU84" s="32">
        <v>0</v>
      </c>
      <c r="BV84" s="31">
        <v>0</v>
      </c>
      <c r="BW84" s="31">
        <v>0</v>
      </c>
      <c r="BX84" s="31">
        <v>0</v>
      </c>
      <c r="BY84" s="31">
        <v>0</v>
      </c>
      <c r="BZ84" s="31">
        <v>0</v>
      </c>
      <c r="CA84" s="31">
        <v>0</v>
      </c>
      <c r="CB84" s="31">
        <v>0</v>
      </c>
      <c r="CC84" s="31">
        <v>0</v>
      </c>
      <c r="CD84" s="31">
        <v>0</v>
      </c>
      <c r="CE84" s="31">
        <v>0</v>
      </c>
      <c r="CF84" s="38">
        <v>0</v>
      </c>
      <c r="CG84" s="67">
        <f t="shared" si="12"/>
        <v>0</v>
      </c>
      <c r="CH84" s="69">
        <f t="shared" si="13"/>
        <v>0</v>
      </c>
      <c r="CI84" s="30">
        <f t="shared" si="14"/>
        <v>0</v>
      </c>
      <c r="CJ84" s="30">
        <f t="shared" si="15"/>
        <v>0</v>
      </c>
      <c r="CK84" s="30">
        <f t="shared" si="16"/>
        <v>0</v>
      </c>
      <c r="CL84" s="67">
        <f t="shared" si="17"/>
        <v>0</v>
      </c>
      <c r="CM84" s="30">
        <v>0</v>
      </c>
      <c r="CN84" s="30">
        <v>0</v>
      </c>
      <c r="CO84" s="30">
        <v>0</v>
      </c>
      <c r="CP84" s="30">
        <v>0</v>
      </c>
      <c r="CQ84" s="67">
        <v>0</v>
      </c>
    </row>
    <row r="85" spans="1:95" x14ac:dyDescent="0.3">
      <c r="A85" s="13">
        <v>265</v>
      </c>
      <c r="B85" s="8" t="s">
        <v>2</v>
      </c>
      <c r="C85" s="8" t="s">
        <v>1</v>
      </c>
      <c r="D85" s="8" t="s">
        <v>4</v>
      </c>
      <c r="E85" s="8">
        <v>4</v>
      </c>
      <c r="F85" s="8" t="s">
        <v>6</v>
      </c>
      <c r="G85" s="8">
        <v>7.0399999999999991</v>
      </c>
      <c r="H85" s="8">
        <v>2</v>
      </c>
      <c r="I85" s="8">
        <v>9.1104000000000003</v>
      </c>
      <c r="J85" s="8">
        <v>5.8442999999999996</v>
      </c>
      <c r="K85" s="8">
        <v>35.850237091675453</v>
      </c>
      <c r="L85" s="8">
        <v>16.984374999999996</v>
      </c>
      <c r="M85" s="7">
        <f t="shared" si="11"/>
        <v>0.87928852345676523</v>
      </c>
      <c r="N85" s="8">
        <v>47.97</v>
      </c>
      <c r="O85" s="8">
        <v>1.1559999999999999</v>
      </c>
      <c r="P85" s="8">
        <v>7.2240000000000002</v>
      </c>
      <c r="Q85" s="8">
        <v>1.6870000000000001</v>
      </c>
      <c r="R85" s="8">
        <v>1.859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>
        <v>0</v>
      </c>
      <c r="AF85" s="32">
        <v>0</v>
      </c>
      <c r="AG85" s="33">
        <v>5</v>
      </c>
      <c r="AH85" s="31">
        <v>0</v>
      </c>
      <c r="AI85" s="31">
        <v>0</v>
      </c>
      <c r="AJ85" s="32">
        <v>0</v>
      </c>
      <c r="AK85" s="34">
        <v>3</v>
      </c>
      <c r="AL85" s="35">
        <v>0</v>
      </c>
      <c r="AM85" s="35">
        <v>0</v>
      </c>
      <c r="AN85" s="36">
        <v>0</v>
      </c>
      <c r="AO85" s="35">
        <v>0</v>
      </c>
      <c r="AP85" s="32">
        <v>0</v>
      </c>
      <c r="AQ85" s="31">
        <v>0</v>
      </c>
      <c r="AR85" s="32">
        <v>0</v>
      </c>
      <c r="AS85" s="34">
        <v>0</v>
      </c>
      <c r="AT85" s="31">
        <v>0</v>
      </c>
      <c r="AU85" s="31">
        <v>0</v>
      </c>
      <c r="AV85" s="31">
        <v>0</v>
      </c>
      <c r="AW85" s="32">
        <v>0</v>
      </c>
      <c r="AX85" s="31">
        <v>0</v>
      </c>
      <c r="AY85" s="31">
        <v>0</v>
      </c>
      <c r="AZ85" s="32">
        <v>0</v>
      </c>
      <c r="BA85" s="31">
        <v>0</v>
      </c>
      <c r="BB85" s="31">
        <v>0</v>
      </c>
      <c r="BC85" s="32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1</v>
      </c>
      <c r="BI85" s="31">
        <v>0</v>
      </c>
      <c r="BJ85" s="31">
        <v>0</v>
      </c>
      <c r="BK85" s="32">
        <v>0</v>
      </c>
      <c r="BL85" s="32">
        <v>0</v>
      </c>
      <c r="BM85" s="32">
        <v>0</v>
      </c>
      <c r="BN85" s="32">
        <v>0</v>
      </c>
      <c r="BO85" s="32">
        <v>0</v>
      </c>
      <c r="BP85" s="31">
        <v>0</v>
      </c>
      <c r="BQ85" s="31">
        <v>0</v>
      </c>
      <c r="BR85" s="32">
        <v>0</v>
      </c>
      <c r="BS85" s="37">
        <v>0</v>
      </c>
      <c r="BT85" s="31">
        <v>0</v>
      </c>
      <c r="BU85" s="32">
        <v>0</v>
      </c>
      <c r="BV85" s="31">
        <v>0</v>
      </c>
      <c r="BW85" s="31">
        <v>0</v>
      </c>
      <c r="BX85" s="31">
        <v>0</v>
      </c>
      <c r="BY85" s="31">
        <v>0</v>
      </c>
      <c r="BZ85" s="31">
        <v>1</v>
      </c>
      <c r="CA85" s="31">
        <v>1</v>
      </c>
      <c r="CB85" s="31">
        <v>0</v>
      </c>
      <c r="CC85" s="31">
        <v>0</v>
      </c>
      <c r="CD85" s="31">
        <v>0</v>
      </c>
      <c r="CE85" s="31">
        <v>0</v>
      </c>
      <c r="CF85" s="38">
        <v>0</v>
      </c>
      <c r="CG85" s="67">
        <f t="shared" si="12"/>
        <v>11</v>
      </c>
      <c r="CH85" s="69">
        <f t="shared" si="13"/>
        <v>5</v>
      </c>
      <c r="CI85" s="30">
        <f t="shared" si="14"/>
        <v>0</v>
      </c>
      <c r="CJ85" s="30">
        <f t="shared" si="15"/>
        <v>5</v>
      </c>
      <c r="CK85" s="30">
        <f t="shared" si="16"/>
        <v>6</v>
      </c>
      <c r="CL85" s="67">
        <f t="shared" si="17"/>
        <v>2</v>
      </c>
      <c r="CM85" s="30">
        <v>9</v>
      </c>
      <c r="CN85" s="30">
        <v>0</v>
      </c>
      <c r="CO85" s="30">
        <v>0</v>
      </c>
      <c r="CP85" s="30">
        <v>2</v>
      </c>
      <c r="CQ85" s="67">
        <v>1</v>
      </c>
    </row>
    <row r="86" spans="1:95" x14ac:dyDescent="0.3">
      <c r="A86" s="13">
        <v>272</v>
      </c>
      <c r="B86" s="8" t="s">
        <v>2</v>
      </c>
      <c r="C86" s="8" t="s">
        <v>14</v>
      </c>
      <c r="D86" s="8" t="s">
        <v>4</v>
      </c>
      <c r="E86" s="8">
        <v>3</v>
      </c>
      <c r="F86" s="8" t="s">
        <v>6</v>
      </c>
      <c r="G86" s="8">
        <v>7.0699999999999994</v>
      </c>
      <c r="H86" s="8">
        <v>2</v>
      </c>
      <c r="I86" s="8">
        <v>8.3759999999999994</v>
      </c>
      <c r="J86" s="8">
        <v>5.7588999999999997</v>
      </c>
      <c r="K86" s="8">
        <v>31.245224450811843</v>
      </c>
      <c r="L86" s="8">
        <v>18.544554455445542</v>
      </c>
      <c r="M86" s="7">
        <f t="shared" si="11"/>
        <v>0.89826117622036572</v>
      </c>
      <c r="N86" s="8">
        <v>47.49</v>
      </c>
      <c r="O86" s="8">
        <v>1.202</v>
      </c>
      <c r="P86" s="8">
        <v>7.5140000000000002</v>
      </c>
      <c r="Q86" s="8">
        <v>1.4630000000000001</v>
      </c>
      <c r="R86" s="8">
        <v>1.75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2">
        <v>0</v>
      </c>
      <c r="AG86" s="33">
        <v>0</v>
      </c>
      <c r="AH86" s="31">
        <v>0</v>
      </c>
      <c r="AI86" s="31">
        <v>0</v>
      </c>
      <c r="AJ86" s="32">
        <v>0</v>
      </c>
      <c r="AK86" s="34">
        <v>0</v>
      </c>
      <c r="AL86" s="35">
        <v>0</v>
      </c>
      <c r="AM86" s="35">
        <v>0</v>
      </c>
      <c r="AN86" s="36">
        <v>0</v>
      </c>
      <c r="AO86" s="35">
        <v>0</v>
      </c>
      <c r="AP86" s="32">
        <v>0</v>
      </c>
      <c r="AQ86" s="31">
        <v>0</v>
      </c>
      <c r="AR86" s="32">
        <v>0</v>
      </c>
      <c r="AS86" s="34">
        <v>0</v>
      </c>
      <c r="AT86" s="31">
        <v>0</v>
      </c>
      <c r="AU86" s="31">
        <v>0</v>
      </c>
      <c r="AV86" s="31">
        <v>0</v>
      </c>
      <c r="AW86" s="32">
        <v>0</v>
      </c>
      <c r="AX86" s="31">
        <v>0</v>
      </c>
      <c r="AY86" s="31">
        <v>0</v>
      </c>
      <c r="AZ86" s="32">
        <v>0</v>
      </c>
      <c r="BA86" s="31">
        <v>0</v>
      </c>
      <c r="BB86" s="31">
        <v>0</v>
      </c>
      <c r="BC86" s="32">
        <v>0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</v>
      </c>
      <c r="BJ86" s="31">
        <v>0</v>
      </c>
      <c r="BK86" s="32">
        <v>0</v>
      </c>
      <c r="BL86" s="32">
        <v>0</v>
      </c>
      <c r="BM86" s="32">
        <v>0</v>
      </c>
      <c r="BN86" s="32">
        <v>0</v>
      </c>
      <c r="BO86" s="32">
        <v>0</v>
      </c>
      <c r="BP86" s="31">
        <v>0</v>
      </c>
      <c r="BQ86" s="31">
        <v>0</v>
      </c>
      <c r="BR86" s="32">
        <v>0</v>
      </c>
      <c r="BS86" s="37">
        <v>0</v>
      </c>
      <c r="BT86" s="31">
        <v>0</v>
      </c>
      <c r="BU86" s="32">
        <v>0</v>
      </c>
      <c r="BV86" s="31">
        <v>0</v>
      </c>
      <c r="BW86" s="31">
        <v>0</v>
      </c>
      <c r="BX86" s="31">
        <v>0</v>
      </c>
      <c r="BY86" s="31">
        <v>0</v>
      </c>
      <c r="BZ86" s="31">
        <v>0</v>
      </c>
      <c r="CA86" s="31">
        <v>0</v>
      </c>
      <c r="CB86" s="31">
        <v>0</v>
      </c>
      <c r="CC86" s="31">
        <v>0</v>
      </c>
      <c r="CD86" s="31">
        <v>0</v>
      </c>
      <c r="CE86" s="31">
        <v>0</v>
      </c>
      <c r="CF86" s="38">
        <v>0</v>
      </c>
      <c r="CG86" s="67">
        <f t="shared" si="12"/>
        <v>0</v>
      </c>
      <c r="CH86" s="69">
        <f t="shared" si="13"/>
        <v>0</v>
      </c>
      <c r="CI86" s="30">
        <f t="shared" si="14"/>
        <v>0</v>
      </c>
      <c r="CJ86" s="30">
        <f t="shared" si="15"/>
        <v>0</v>
      </c>
      <c r="CK86" s="30">
        <f t="shared" si="16"/>
        <v>0</v>
      </c>
      <c r="CL86" s="67">
        <f t="shared" si="17"/>
        <v>0</v>
      </c>
      <c r="CM86" s="30">
        <v>0</v>
      </c>
      <c r="CN86" s="30">
        <v>0</v>
      </c>
      <c r="CO86" s="30">
        <v>0</v>
      </c>
      <c r="CP86" s="30">
        <v>0</v>
      </c>
      <c r="CQ86" s="67">
        <v>0</v>
      </c>
    </row>
    <row r="87" spans="1:95" x14ac:dyDescent="0.3">
      <c r="A87" s="13">
        <v>280</v>
      </c>
      <c r="B87" s="8" t="s">
        <v>2</v>
      </c>
      <c r="C87" s="8" t="s">
        <v>1</v>
      </c>
      <c r="D87" s="8" t="s">
        <v>4</v>
      </c>
      <c r="E87" s="8">
        <v>2</v>
      </c>
      <c r="F87" s="8" t="s">
        <v>6</v>
      </c>
      <c r="G87" s="8">
        <v>7</v>
      </c>
      <c r="H87" s="8">
        <v>2</v>
      </c>
      <c r="I87" s="8">
        <v>8.4754000000000005</v>
      </c>
      <c r="J87" s="8">
        <v>5.6139999999999999</v>
      </c>
      <c r="K87" s="8">
        <v>33.761238407626784</v>
      </c>
      <c r="L87" s="8">
        <v>19.8</v>
      </c>
      <c r="M87" s="7">
        <f t="shared" si="11"/>
        <v>0.91379385167556793</v>
      </c>
      <c r="N87" s="8">
        <v>47.59</v>
      </c>
      <c r="O87" s="8">
        <v>1.0529999999999999</v>
      </c>
      <c r="P87" s="8">
        <v>6.5839999999999996</v>
      </c>
      <c r="Q87" s="8">
        <v>1.9850000000000001</v>
      </c>
      <c r="R87" s="8">
        <v>1.421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3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1</v>
      </c>
      <c r="AE87" s="31">
        <v>0</v>
      </c>
      <c r="AF87" s="32">
        <v>0</v>
      </c>
      <c r="AG87" s="33">
        <v>0</v>
      </c>
      <c r="AH87" s="31">
        <v>0</v>
      </c>
      <c r="AI87" s="31">
        <v>0</v>
      </c>
      <c r="AJ87" s="32">
        <v>0</v>
      </c>
      <c r="AK87" s="34">
        <v>0</v>
      </c>
      <c r="AL87" s="35">
        <v>0</v>
      </c>
      <c r="AM87" s="35">
        <v>0</v>
      </c>
      <c r="AN87" s="36">
        <v>0</v>
      </c>
      <c r="AO87" s="35">
        <v>0</v>
      </c>
      <c r="AP87" s="32">
        <v>0</v>
      </c>
      <c r="AQ87" s="31">
        <v>0</v>
      </c>
      <c r="AR87" s="32">
        <v>0</v>
      </c>
      <c r="AS87" s="34">
        <v>3</v>
      </c>
      <c r="AT87" s="31">
        <v>0</v>
      </c>
      <c r="AU87" s="31">
        <v>0</v>
      </c>
      <c r="AV87" s="31">
        <v>0</v>
      </c>
      <c r="AW87" s="32">
        <v>0</v>
      </c>
      <c r="AX87" s="31">
        <v>0</v>
      </c>
      <c r="AY87" s="31">
        <v>0</v>
      </c>
      <c r="AZ87" s="32">
        <v>0</v>
      </c>
      <c r="BA87" s="31">
        <v>0</v>
      </c>
      <c r="BB87" s="31">
        <v>0</v>
      </c>
      <c r="BC87" s="32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1">
        <v>0</v>
      </c>
      <c r="BK87" s="32">
        <v>0</v>
      </c>
      <c r="BL87" s="32">
        <v>0</v>
      </c>
      <c r="BM87" s="32">
        <v>0</v>
      </c>
      <c r="BN87" s="32">
        <v>0</v>
      </c>
      <c r="BO87" s="32">
        <v>0</v>
      </c>
      <c r="BP87" s="31">
        <v>0</v>
      </c>
      <c r="BQ87" s="31">
        <v>0</v>
      </c>
      <c r="BR87" s="32">
        <v>0</v>
      </c>
      <c r="BS87" s="37">
        <v>0</v>
      </c>
      <c r="BT87" s="31">
        <v>0</v>
      </c>
      <c r="BU87" s="32">
        <v>0</v>
      </c>
      <c r="BV87" s="31">
        <v>0</v>
      </c>
      <c r="BW87" s="31">
        <v>0</v>
      </c>
      <c r="BX87" s="31">
        <v>0</v>
      </c>
      <c r="BY87" s="31">
        <v>0</v>
      </c>
      <c r="BZ87" s="31">
        <v>0</v>
      </c>
      <c r="CA87" s="31">
        <v>0</v>
      </c>
      <c r="CB87" s="31">
        <v>0</v>
      </c>
      <c r="CC87" s="31">
        <v>0</v>
      </c>
      <c r="CD87" s="31">
        <v>0</v>
      </c>
      <c r="CE87" s="31">
        <v>1</v>
      </c>
      <c r="CF87" s="38">
        <v>0</v>
      </c>
      <c r="CG87" s="67">
        <f t="shared" si="12"/>
        <v>8</v>
      </c>
      <c r="CH87" s="69">
        <f t="shared" si="13"/>
        <v>4</v>
      </c>
      <c r="CI87" s="30">
        <f t="shared" si="14"/>
        <v>3</v>
      </c>
      <c r="CJ87" s="30">
        <f t="shared" si="15"/>
        <v>4</v>
      </c>
      <c r="CK87" s="30">
        <f t="shared" si="16"/>
        <v>1</v>
      </c>
      <c r="CL87" s="67">
        <f t="shared" si="17"/>
        <v>3</v>
      </c>
      <c r="CM87" s="30">
        <v>6</v>
      </c>
      <c r="CN87" s="30">
        <v>0</v>
      </c>
      <c r="CO87" s="30">
        <v>0</v>
      </c>
      <c r="CP87" s="30">
        <v>2</v>
      </c>
      <c r="CQ87" s="67">
        <v>1</v>
      </c>
    </row>
    <row r="88" spans="1:95" x14ac:dyDescent="0.3">
      <c r="A88" s="13">
        <v>285</v>
      </c>
      <c r="B88" s="8" t="s">
        <v>2</v>
      </c>
      <c r="C88" s="8" t="s">
        <v>14</v>
      </c>
      <c r="D88" s="8" t="s">
        <v>4</v>
      </c>
      <c r="E88" s="8">
        <v>2</v>
      </c>
      <c r="F88" s="8" t="s">
        <v>6</v>
      </c>
      <c r="G88" s="8">
        <v>7.04</v>
      </c>
      <c r="H88" s="8">
        <v>2</v>
      </c>
      <c r="I88" s="8">
        <v>6.9785000000000004</v>
      </c>
      <c r="J88" s="8">
        <v>5.8155000000000001</v>
      </c>
      <c r="K88" s="8">
        <v>16.665472522748445</v>
      </c>
      <c r="L88" s="8">
        <v>17.393465909090907</v>
      </c>
      <c r="M88" s="7">
        <f t="shared" si="11"/>
        <v>0.8842285839329399</v>
      </c>
      <c r="N88" s="8">
        <v>48.32</v>
      </c>
      <c r="O88" s="8">
        <v>1.143</v>
      </c>
      <c r="P88" s="8">
        <v>7.1440000000000001</v>
      </c>
      <c r="Q88" s="8">
        <v>1.6519999999999999</v>
      </c>
      <c r="R88" s="8">
        <v>1.734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2">
        <v>0</v>
      </c>
      <c r="AG88" s="33">
        <v>0</v>
      </c>
      <c r="AH88" s="31">
        <v>0</v>
      </c>
      <c r="AI88" s="31">
        <v>0</v>
      </c>
      <c r="AJ88" s="32">
        <v>0</v>
      </c>
      <c r="AK88" s="34">
        <v>0</v>
      </c>
      <c r="AL88" s="35">
        <v>0</v>
      </c>
      <c r="AM88" s="35">
        <v>0</v>
      </c>
      <c r="AN88" s="36">
        <v>0</v>
      </c>
      <c r="AO88" s="35">
        <v>0</v>
      </c>
      <c r="AP88" s="32">
        <v>0</v>
      </c>
      <c r="AQ88" s="31">
        <v>1</v>
      </c>
      <c r="AR88" s="32">
        <v>0</v>
      </c>
      <c r="AS88" s="34">
        <v>0</v>
      </c>
      <c r="AT88" s="31">
        <v>0</v>
      </c>
      <c r="AU88" s="31">
        <v>0</v>
      </c>
      <c r="AV88" s="31">
        <v>0</v>
      </c>
      <c r="AW88" s="32">
        <v>0</v>
      </c>
      <c r="AX88" s="31">
        <v>0</v>
      </c>
      <c r="AY88" s="31">
        <v>0</v>
      </c>
      <c r="AZ88" s="32">
        <v>0</v>
      </c>
      <c r="BA88" s="31">
        <v>0</v>
      </c>
      <c r="BB88" s="31">
        <v>0</v>
      </c>
      <c r="BC88" s="32">
        <v>0</v>
      </c>
      <c r="BD88" s="31">
        <v>0</v>
      </c>
      <c r="BE88" s="31">
        <v>0</v>
      </c>
      <c r="BF88" s="31">
        <v>0</v>
      </c>
      <c r="BG88" s="31">
        <v>0</v>
      </c>
      <c r="BH88" s="31">
        <v>0</v>
      </c>
      <c r="BI88" s="31">
        <v>0</v>
      </c>
      <c r="BJ88" s="31">
        <v>0</v>
      </c>
      <c r="BK88" s="32">
        <v>0</v>
      </c>
      <c r="BL88" s="32">
        <v>0</v>
      </c>
      <c r="BM88" s="32">
        <v>0</v>
      </c>
      <c r="BN88" s="32">
        <v>0</v>
      </c>
      <c r="BO88" s="32">
        <v>0</v>
      </c>
      <c r="BP88" s="31">
        <v>0</v>
      </c>
      <c r="BQ88" s="31">
        <v>0</v>
      </c>
      <c r="BR88" s="32">
        <v>0</v>
      </c>
      <c r="BS88" s="37">
        <v>0</v>
      </c>
      <c r="BT88" s="31">
        <v>0</v>
      </c>
      <c r="BU88" s="32">
        <v>0</v>
      </c>
      <c r="BV88" s="31">
        <v>0</v>
      </c>
      <c r="BW88" s="31">
        <v>0</v>
      </c>
      <c r="BX88" s="31">
        <v>0</v>
      </c>
      <c r="BY88" s="31">
        <v>0</v>
      </c>
      <c r="BZ88" s="31">
        <v>0</v>
      </c>
      <c r="CA88" s="31">
        <v>0</v>
      </c>
      <c r="CB88" s="31">
        <v>0</v>
      </c>
      <c r="CC88" s="31">
        <v>0</v>
      </c>
      <c r="CD88" s="31">
        <v>0</v>
      </c>
      <c r="CE88" s="31">
        <v>0</v>
      </c>
      <c r="CF88" s="38">
        <v>0</v>
      </c>
      <c r="CG88" s="67">
        <f t="shared" si="12"/>
        <v>1</v>
      </c>
      <c r="CH88" s="69">
        <f t="shared" si="13"/>
        <v>1</v>
      </c>
      <c r="CI88" s="30">
        <f t="shared" si="14"/>
        <v>0</v>
      </c>
      <c r="CJ88" s="30">
        <f t="shared" si="15"/>
        <v>1</v>
      </c>
      <c r="CK88" s="30">
        <f t="shared" si="16"/>
        <v>0</v>
      </c>
      <c r="CL88" s="67">
        <f t="shared" si="17"/>
        <v>1</v>
      </c>
      <c r="CM88" s="30">
        <v>1</v>
      </c>
      <c r="CN88" s="30">
        <v>0</v>
      </c>
      <c r="CO88" s="30">
        <v>0</v>
      </c>
      <c r="CP88" s="30">
        <v>0</v>
      </c>
      <c r="CQ88" s="67">
        <v>1</v>
      </c>
    </row>
    <row r="89" spans="1:95" x14ac:dyDescent="0.3">
      <c r="A89" s="13">
        <v>292</v>
      </c>
      <c r="B89" s="8" t="s">
        <v>2</v>
      </c>
      <c r="C89" s="8" t="s">
        <v>14</v>
      </c>
      <c r="D89" s="8" t="s">
        <v>4</v>
      </c>
      <c r="E89" s="8">
        <v>1</v>
      </c>
      <c r="F89" s="8" t="s">
        <v>6</v>
      </c>
      <c r="G89" s="8">
        <v>6.96</v>
      </c>
      <c r="H89" s="8">
        <v>2</v>
      </c>
      <c r="I89" s="8">
        <v>8.6277000000000008</v>
      </c>
      <c r="J89" s="8">
        <v>5.4526000000000003</v>
      </c>
      <c r="K89" s="8">
        <v>36.801233237131562</v>
      </c>
      <c r="L89" s="8">
        <v>21.65804597701149</v>
      </c>
      <c r="M89" s="7">
        <f t="shared" si="11"/>
        <v>0.93723409576989358</v>
      </c>
      <c r="N89" s="8">
        <v>48.61</v>
      </c>
      <c r="O89" s="8">
        <v>1.161</v>
      </c>
      <c r="P89" s="8">
        <v>7.2549999999999999</v>
      </c>
      <c r="Q89" s="8">
        <v>1.0649999999999999</v>
      </c>
      <c r="R89" s="8">
        <v>1.0069999999999999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1</v>
      </c>
      <c r="AC89" s="31">
        <v>0</v>
      </c>
      <c r="AD89" s="31">
        <v>0</v>
      </c>
      <c r="AE89" s="31">
        <v>0</v>
      </c>
      <c r="AF89" s="32">
        <v>0</v>
      </c>
      <c r="AG89" s="33">
        <v>1</v>
      </c>
      <c r="AH89" s="31">
        <v>0</v>
      </c>
      <c r="AI89" s="31">
        <v>0</v>
      </c>
      <c r="AJ89" s="32">
        <v>0</v>
      </c>
      <c r="AK89" s="34">
        <v>1</v>
      </c>
      <c r="AL89" s="35">
        <v>0</v>
      </c>
      <c r="AM89" s="35">
        <v>0</v>
      </c>
      <c r="AN89" s="36">
        <v>0</v>
      </c>
      <c r="AO89" s="35">
        <v>0</v>
      </c>
      <c r="AP89" s="32">
        <v>0</v>
      </c>
      <c r="AQ89" s="31">
        <v>0</v>
      </c>
      <c r="AR89" s="32">
        <v>0</v>
      </c>
      <c r="AS89" s="34">
        <v>0</v>
      </c>
      <c r="AT89" s="31">
        <v>0</v>
      </c>
      <c r="AU89" s="31">
        <v>0</v>
      </c>
      <c r="AV89" s="31">
        <v>0</v>
      </c>
      <c r="AW89" s="32">
        <v>0</v>
      </c>
      <c r="AX89" s="31">
        <v>0</v>
      </c>
      <c r="AY89" s="31">
        <v>0</v>
      </c>
      <c r="AZ89" s="32">
        <v>0</v>
      </c>
      <c r="BA89" s="31">
        <v>0</v>
      </c>
      <c r="BB89" s="31">
        <v>0</v>
      </c>
      <c r="BC89" s="32">
        <v>0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0</v>
      </c>
      <c r="BJ89" s="31">
        <v>0</v>
      </c>
      <c r="BK89" s="32">
        <v>0</v>
      </c>
      <c r="BL89" s="32">
        <v>0</v>
      </c>
      <c r="BM89" s="32">
        <v>0</v>
      </c>
      <c r="BN89" s="32">
        <v>0</v>
      </c>
      <c r="BO89" s="32">
        <v>0</v>
      </c>
      <c r="BP89" s="31">
        <v>0</v>
      </c>
      <c r="BQ89" s="31">
        <v>0</v>
      </c>
      <c r="BR89" s="32">
        <v>0</v>
      </c>
      <c r="BS89" s="37">
        <v>0</v>
      </c>
      <c r="BT89" s="31">
        <v>0</v>
      </c>
      <c r="BU89" s="32">
        <v>0</v>
      </c>
      <c r="BV89" s="31">
        <v>0</v>
      </c>
      <c r="BW89" s="31">
        <v>0</v>
      </c>
      <c r="BX89" s="31">
        <v>0</v>
      </c>
      <c r="BY89" s="31">
        <v>0</v>
      </c>
      <c r="BZ89" s="31">
        <v>0</v>
      </c>
      <c r="CA89" s="31">
        <v>0</v>
      </c>
      <c r="CB89" s="31">
        <v>0</v>
      </c>
      <c r="CC89" s="31">
        <v>0</v>
      </c>
      <c r="CD89" s="31">
        <v>0</v>
      </c>
      <c r="CE89" s="31">
        <v>0</v>
      </c>
      <c r="CF89" s="38">
        <v>0</v>
      </c>
      <c r="CG89" s="67">
        <f t="shared" si="12"/>
        <v>3</v>
      </c>
      <c r="CH89" s="69">
        <f t="shared" si="13"/>
        <v>3</v>
      </c>
      <c r="CI89" s="30">
        <f t="shared" si="14"/>
        <v>0</v>
      </c>
      <c r="CJ89" s="30">
        <f t="shared" si="15"/>
        <v>2</v>
      </c>
      <c r="CK89" s="30">
        <f t="shared" si="16"/>
        <v>1</v>
      </c>
      <c r="CL89" s="67">
        <f t="shared" si="17"/>
        <v>2</v>
      </c>
      <c r="CM89" s="30">
        <v>3</v>
      </c>
      <c r="CN89" s="30">
        <v>0</v>
      </c>
      <c r="CO89" s="30">
        <v>0</v>
      </c>
      <c r="CP89" s="30">
        <v>0</v>
      </c>
      <c r="CQ89" s="67">
        <v>1</v>
      </c>
    </row>
    <row r="90" spans="1:95" x14ac:dyDescent="0.3">
      <c r="A90" s="13">
        <v>295</v>
      </c>
      <c r="B90" s="8" t="s">
        <v>2</v>
      </c>
      <c r="C90" s="8" t="s">
        <v>1</v>
      </c>
      <c r="D90" s="8" t="s">
        <v>4</v>
      </c>
      <c r="E90" s="8">
        <v>1</v>
      </c>
      <c r="F90" s="8" t="s">
        <v>6</v>
      </c>
      <c r="G90" s="8">
        <v>6.93</v>
      </c>
      <c r="H90" s="8">
        <v>2</v>
      </c>
      <c r="I90" s="8">
        <v>10.9261</v>
      </c>
      <c r="J90" s="8">
        <v>5.7152000000000003</v>
      </c>
      <c r="K90" s="8">
        <v>47.692223208647185</v>
      </c>
      <c r="L90" s="8">
        <v>17.529581529581524</v>
      </c>
      <c r="M90" s="7">
        <f t="shared" si="11"/>
        <v>0.88587770150176881</v>
      </c>
      <c r="N90" s="8">
        <v>48.08</v>
      </c>
      <c r="O90" s="8">
        <v>1.2490000000000001</v>
      </c>
      <c r="P90" s="8">
        <v>7.8040000000000003</v>
      </c>
      <c r="Q90" s="8">
        <v>1.226</v>
      </c>
      <c r="R90" s="8">
        <v>1.355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1">
        <v>0</v>
      </c>
      <c r="AD90" s="31">
        <v>0</v>
      </c>
      <c r="AE90" s="31">
        <v>0</v>
      </c>
      <c r="AF90" s="32">
        <v>0</v>
      </c>
      <c r="AG90" s="33">
        <v>0</v>
      </c>
      <c r="AH90" s="31">
        <v>0</v>
      </c>
      <c r="AI90" s="31">
        <v>0</v>
      </c>
      <c r="AJ90" s="32">
        <v>0</v>
      </c>
      <c r="AK90" s="34">
        <v>0</v>
      </c>
      <c r="AL90" s="35">
        <v>0</v>
      </c>
      <c r="AM90" s="35">
        <v>0</v>
      </c>
      <c r="AN90" s="36">
        <v>0</v>
      </c>
      <c r="AO90" s="35">
        <v>0</v>
      </c>
      <c r="AP90" s="32">
        <v>0</v>
      </c>
      <c r="AQ90" s="31">
        <v>0</v>
      </c>
      <c r="AR90" s="32">
        <v>0</v>
      </c>
      <c r="AS90" s="34">
        <v>0</v>
      </c>
      <c r="AT90" s="31">
        <v>0</v>
      </c>
      <c r="AU90" s="31">
        <v>0</v>
      </c>
      <c r="AV90" s="31">
        <v>0</v>
      </c>
      <c r="AW90" s="32">
        <v>0</v>
      </c>
      <c r="AX90" s="31">
        <v>0</v>
      </c>
      <c r="AY90" s="31">
        <v>0</v>
      </c>
      <c r="AZ90" s="32">
        <v>0</v>
      </c>
      <c r="BA90" s="31">
        <v>0</v>
      </c>
      <c r="BB90" s="31">
        <v>0</v>
      </c>
      <c r="BC90" s="32">
        <v>0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0</v>
      </c>
      <c r="BJ90" s="31">
        <v>0</v>
      </c>
      <c r="BK90" s="32">
        <v>0</v>
      </c>
      <c r="BL90" s="32">
        <v>0</v>
      </c>
      <c r="BM90" s="32">
        <v>0</v>
      </c>
      <c r="BN90" s="32">
        <v>0</v>
      </c>
      <c r="BO90" s="32">
        <v>0</v>
      </c>
      <c r="BP90" s="31">
        <v>0</v>
      </c>
      <c r="BQ90" s="31">
        <v>0</v>
      </c>
      <c r="BR90" s="32">
        <v>0</v>
      </c>
      <c r="BS90" s="37">
        <v>0</v>
      </c>
      <c r="BT90" s="31">
        <v>0</v>
      </c>
      <c r="BU90" s="32">
        <v>0</v>
      </c>
      <c r="BV90" s="31">
        <v>0</v>
      </c>
      <c r="BW90" s="31">
        <v>0</v>
      </c>
      <c r="BX90" s="31">
        <v>0</v>
      </c>
      <c r="BY90" s="31">
        <v>0</v>
      </c>
      <c r="BZ90" s="31">
        <v>0</v>
      </c>
      <c r="CA90" s="31">
        <v>0</v>
      </c>
      <c r="CB90" s="31">
        <v>0</v>
      </c>
      <c r="CC90" s="31">
        <v>0</v>
      </c>
      <c r="CD90" s="31">
        <v>0</v>
      </c>
      <c r="CE90" s="31">
        <v>0</v>
      </c>
      <c r="CF90" s="38">
        <v>0</v>
      </c>
      <c r="CG90" s="67">
        <f t="shared" si="12"/>
        <v>0</v>
      </c>
      <c r="CH90" s="69">
        <f t="shared" si="13"/>
        <v>0</v>
      </c>
      <c r="CI90" s="30">
        <f t="shared" si="14"/>
        <v>0</v>
      </c>
      <c r="CJ90" s="30">
        <f t="shared" si="15"/>
        <v>0</v>
      </c>
      <c r="CK90" s="30">
        <f t="shared" si="16"/>
        <v>0</v>
      </c>
      <c r="CL90" s="67">
        <f t="shared" si="17"/>
        <v>0</v>
      </c>
      <c r="CM90" s="30">
        <v>0</v>
      </c>
      <c r="CN90" s="30">
        <v>0</v>
      </c>
      <c r="CO90" s="30">
        <v>0</v>
      </c>
      <c r="CP90" s="30">
        <v>0</v>
      </c>
      <c r="CQ90" s="67">
        <v>0</v>
      </c>
    </row>
    <row r="91" spans="1:95" x14ac:dyDescent="0.3">
      <c r="A91" s="13">
        <v>365</v>
      </c>
      <c r="B91" s="8" t="s">
        <v>2</v>
      </c>
      <c r="C91" s="8" t="s">
        <v>14</v>
      </c>
      <c r="D91" s="8" t="s">
        <v>5</v>
      </c>
      <c r="E91" s="8">
        <v>1</v>
      </c>
      <c r="F91" s="8" t="s">
        <v>6</v>
      </c>
      <c r="G91" s="8">
        <v>7.01</v>
      </c>
      <c r="H91" s="8">
        <v>2</v>
      </c>
      <c r="I91" s="8">
        <v>7.8771000000000004</v>
      </c>
      <c r="J91" s="8">
        <v>5.8121</v>
      </c>
      <c r="K91" s="8">
        <v>26.215231493823872</v>
      </c>
      <c r="L91" s="8">
        <v>17.08844507845934</v>
      </c>
      <c r="M91" s="7">
        <f t="shared" si="11"/>
        <v>0.88054293026528274</v>
      </c>
      <c r="N91" s="8">
        <v>47.64</v>
      </c>
      <c r="O91" s="8">
        <v>0.69899999999999995</v>
      </c>
      <c r="P91" s="8">
        <v>4.3719999999999999</v>
      </c>
      <c r="Q91" s="8">
        <v>1.196</v>
      </c>
      <c r="R91" s="8">
        <v>1.337</v>
      </c>
      <c r="S91" s="31">
        <v>1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0</v>
      </c>
      <c r="AC91" s="31">
        <v>0</v>
      </c>
      <c r="AD91" s="31">
        <v>0</v>
      </c>
      <c r="AE91" s="31">
        <v>0</v>
      </c>
      <c r="AF91" s="32">
        <v>0</v>
      </c>
      <c r="AG91" s="33">
        <v>0</v>
      </c>
      <c r="AH91" s="31">
        <v>0</v>
      </c>
      <c r="AI91" s="31">
        <v>0</v>
      </c>
      <c r="AJ91" s="32">
        <v>0</v>
      </c>
      <c r="AK91" s="34">
        <v>0</v>
      </c>
      <c r="AL91" s="35">
        <v>0</v>
      </c>
      <c r="AM91" s="35">
        <v>0</v>
      </c>
      <c r="AN91" s="36">
        <v>0</v>
      </c>
      <c r="AO91" s="35">
        <v>0</v>
      </c>
      <c r="AP91" s="32">
        <v>0</v>
      </c>
      <c r="AQ91" s="31">
        <v>0</v>
      </c>
      <c r="AR91" s="32">
        <v>0</v>
      </c>
      <c r="AS91" s="34">
        <v>0</v>
      </c>
      <c r="AT91" s="31">
        <v>0</v>
      </c>
      <c r="AU91" s="31">
        <v>0</v>
      </c>
      <c r="AV91" s="31">
        <v>0</v>
      </c>
      <c r="AW91" s="32">
        <v>0</v>
      </c>
      <c r="AX91" s="31">
        <v>0</v>
      </c>
      <c r="AY91" s="31">
        <v>0</v>
      </c>
      <c r="AZ91" s="32">
        <v>0</v>
      </c>
      <c r="BA91" s="31">
        <v>0</v>
      </c>
      <c r="BB91" s="31">
        <v>0</v>
      </c>
      <c r="BC91" s="32">
        <v>0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1">
        <v>0</v>
      </c>
      <c r="BK91" s="32">
        <v>0</v>
      </c>
      <c r="BL91" s="32">
        <v>0</v>
      </c>
      <c r="BM91" s="32">
        <v>0</v>
      </c>
      <c r="BN91" s="32">
        <v>0</v>
      </c>
      <c r="BO91" s="32">
        <v>0</v>
      </c>
      <c r="BP91" s="31">
        <v>0</v>
      </c>
      <c r="BQ91" s="31">
        <v>0</v>
      </c>
      <c r="BR91" s="32">
        <v>0</v>
      </c>
      <c r="BS91" s="37">
        <v>0</v>
      </c>
      <c r="BT91" s="31">
        <v>0</v>
      </c>
      <c r="BU91" s="32">
        <v>0</v>
      </c>
      <c r="BV91" s="31">
        <v>0</v>
      </c>
      <c r="BW91" s="31">
        <v>0</v>
      </c>
      <c r="BX91" s="31">
        <v>0</v>
      </c>
      <c r="BY91" s="31">
        <v>0</v>
      </c>
      <c r="BZ91" s="31">
        <v>0</v>
      </c>
      <c r="CA91" s="31">
        <v>0</v>
      </c>
      <c r="CB91" s="31">
        <v>0</v>
      </c>
      <c r="CC91" s="31">
        <v>0</v>
      </c>
      <c r="CD91" s="31">
        <v>0</v>
      </c>
      <c r="CE91" s="31">
        <v>0</v>
      </c>
      <c r="CF91" s="38">
        <v>0</v>
      </c>
      <c r="CG91" s="67">
        <f t="shared" si="12"/>
        <v>1</v>
      </c>
      <c r="CH91" s="69">
        <f t="shared" si="13"/>
        <v>1</v>
      </c>
      <c r="CI91" s="30">
        <f t="shared" si="14"/>
        <v>0</v>
      </c>
      <c r="CJ91" s="30">
        <f t="shared" si="15"/>
        <v>1</v>
      </c>
      <c r="CK91" s="30">
        <f t="shared" si="16"/>
        <v>0</v>
      </c>
      <c r="CL91" s="67">
        <f t="shared" si="17"/>
        <v>1</v>
      </c>
      <c r="CM91" s="30">
        <v>1</v>
      </c>
      <c r="CN91" s="30">
        <v>0</v>
      </c>
      <c r="CO91" s="30">
        <v>0</v>
      </c>
      <c r="CP91" s="30">
        <v>0</v>
      </c>
      <c r="CQ91" s="67">
        <v>1</v>
      </c>
    </row>
    <row r="92" spans="1:95" x14ac:dyDescent="0.3">
      <c r="A92" s="13">
        <v>370</v>
      </c>
      <c r="B92" s="8" t="s">
        <v>2</v>
      </c>
      <c r="C92" s="8" t="s">
        <v>14</v>
      </c>
      <c r="D92" s="8" t="s">
        <v>5</v>
      </c>
      <c r="E92" s="8">
        <v>5</v>
      </c>
      <c r="F92" s="8" t="s">
        <v>6</v>
      </c>
      <c r="G92" s="8">
        <v>7.02</v>
      </c>
      <c r="H92" s="8">
        <v>2</v>
      </c>
      <c r="I92" s="8">
        <v>11.051500000000001</v>
      </c>
      <c r="J92" s="8">
        <v>5.9127999999999998</v>
      </c>
      <c r="K92" s="8">
        <v>46.49776048500204</v>
      </c>
      <c r="L92" s="8">
        <v>15.772079772079769</v>
      </c>
      <c r="M92" s="7">
        <f t="shared" si="11"/>
        <v>0.86479090610912512</v>
      </c>
      <c r="N92" s="8">
        <v>46.82</v>
      </c>
      <c r="O92" s="8">
        <v>0.72699999999999998</v>
      </c>
      <c r="P92" s="8">
        <v>4.5460000000000003</v>
      </c>
      <c r="Q92" s="8">
        <v>0.77900000000000003</v>
      </c>
      <c r="R92" s="8">
        <v>1.585</v>
      </c>
      <c r="S92" s="31">
        <v>2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0</v>
      </c>
      <c r="AC92" s="31">
        <v>0</v>
      </c>
      <c r="AD92" s="31">
        <v>0</v>
      </c>
      <c r="AE92" s="31">
        <v>0</v>
      </c>
      <c r="AF92" s="32">
        <v>0</v>
      </c>
      <c r="AG92" s="33">
        <v>0</v>
      </c>
      <c r="AH92" s="31">
        <v>0</v>
      </c>
      <c r="AI92" s="31">
        <v>0</v>
      </c>
      <c r="AJ92" s="32">
        <v>0</v>
      </c>
      <c r="AK92" s="34">
        <v>0</v>
      </c>
      <c r="AL92" s="35">
        <v>0</v>
      </c>
      <c r="AM92" s="35">
        <v>0</v>
      </c>
      <c r="AN92" s="36">
        <v>0</v>
      </c>
      <c r="AO92" s="35">
        <v>0</v>
      </c>
      <c r="AP92" s="32">
        <v>0</v>
      </c>
      <c r="AQ92" s="31">
        <v>0</v>
      </c>
      <c r="AR92" s="32">
        <v>0</v>
      </c>
      <c r="AS92" s="34">
        <v>0</v>
      </c>
      <c r="AT92" s="31">
        <v>0</v>
      </c>
      <c r="AU92" s="31">
        <v>0</v>
      </c>
      <c r="AV92" s="31">
        <v>0</v>
      </c>
      <c r="AW92" s="32">
        <v>0</v>
      </c>
      <c r="AX92" s="31">
        <v>0</v>
      </c>
      <c r="AY92" s="31">
        <v>0</v>
      </c>
      <c r="AZ92" s="32">
        <v>0</v>
      </c>
      <c r="BA92" s="31">
        <v>0</v>
      </c>
      <c r="BB92" s="31">
        <v>0</v>
      </c>
      <c r="BC92" s="32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1">
        <v>0</v>
      </c>
      <c r="BK92" s="32">
        <v>0</v>
      </c>
      <c r="BL92" s="32">
        <v>0</v>
      </c>
      <c r="BM92" s="32">
        <v>0</v>
      </c>
      <c r="BN92" s="32">
        <v>0</v>
      </c>
      <c r="BO92" s="32">
        <v>0</v>
      </c>
      <c r="BP92" s="31">
        <v>0</v>
      </c>
      <c r="BQ92" s="31">
        <v>0</v>
      </c>
      <c r="BR92" s="32">
        <v>0</v>
      </c>
      <c r="BS92" s="37">
        <v>0</v>
      </c>
      <c r="BT92" s="31">
        <v>0</v>
      </c>
      <c r="BU92" s="32">
        <v>0</v>
      </c>
      <c r="BV92" s="31">
        <v>0</v>
      </c>
      <c r="BW92" s="31">
        <v>0</v>
      </c>
      <c r="BX92" s="31">
        <v>0</v>
      </c>
      <c r="BY92" s="31">
        <v>0</v>
      </c>
      <c r="BZ92" s="31">
        <v>0</v>
      </c>
      <c r="CA92" s="31">
        <v>0</v>
      </c>
      <c r="CB92" s="31">
        <v>0</v>
      </c>
      <c r="CC92" s="31">
        <v>0</v>
      </c>
      <c r="CD92" s="31">
        <v>0</v>
      </c>
      <c r="CE92" s="31">
        <v>0</v>
      </c>
      <c r="CF92" s="38">
        <v>0</v>
      </c>
      <c r="CG92" s="67">
        <f t="shared" si="12"/>
        <v>2</v>
      </c>
      <c r="CH92" s="69">
        <f t="shared" si="13"/>
        <v>1</v>
      </c>
      <c r="CI92" s="30">
        <f t="shared" si="14"/>
        <v>0</v>
      </c>
      <c r="CJ92" s="30">
        <f t="shared" si="15"/>
        <v>2</v>
      </c>
      <c r="CK92" s="30">
        <f t="shared" si="16"/>
        <v>0</v>
      </c>
      <c r="CL92" s="67">
        <f t="shared" si="17"/>
        <v>1</v>
      </c>
      <c r="CM92" s="30">
        <v>2</v>
      </c>
      <c r="CN92" s="30">
        <v>0</v>
      </c>
      <c r="CO92" s="30">
        <v>0</v>
      </c>
      <c r="CP92" s="30">
        <v>0</v>
      </c>
      <c r="CQ92" s="67">
        <v>1</v>
      </c>
    </row>
    <row r="93" spans="1:95" x14ac:dyDescent="0.3">
      <c r="A93" s="13">
        <v>381</v>
      </c>
      <c r="B93" s="8" t="s">
        <v>2</v>
      </c>
      <c r="C93" s="8" t="s">
        <v>1</v>
      </c>
      <c r="D93" s="8" t="s">
        <v>5</v>
      </c>
      <c r="E93" s="8">
        <v>4</v>
      </c>
      <c r="F93" s="8" t="s">
        <v>6</v>
      </c>
      <c r="G93" s="8">
        <v>7.06</v>
      </c>
      <c r="H93" s="8">
        <v>2</v>
      </c>
      <c r="I93" s="8">
        <v>9.1570999999999998</v>
      </c>
      <c r="J93" s="8">
        <v>5.8738999999999999</v>
      </c>
      <c r="K93" s="8">
        <v>35.854145963241635</v>
      </c>
      <c r="L93" s="8">
        <v>16.800283286118976</v>
      </c>
      <c r="M93" s="7">
        <f t="shared" si="11"/>
        <v>0.87707342360790808</v>
      </c>
      <c r="N93" s="8">
        <v>47.22</v>
      </c>
      <c r="O93" s="8">
        <v>0.73399999999999999</v>
      </c>
      <c r="P93" s="8">
        <v>4.5869999999999997</v>
      </c>
      <c r="Q93" s="8">
        <v>1.0109999999999999</v>
      </c>
      <c r="R93" s="8">
        <v>1.351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0</v>
      </c>
      <c r="AC93" s="31">
        <v>0</v>
      </c>
      <c r="AD93" s="31">
        <v>0</v>
      </c>
      <c r="AE93" s="31">
        <v>0</v>
      </c>
      <c r="AF93" s="32">
        <v>0</v>
      </c>
      <c r="AG93" s="33">
        <v>0</v>
      </c>
      <c r="AH93" s="31">
        <v>0</v>
      </c>
      <c r="AI93" s="31">
        <v>0</v>
      </c>
      <c r="AJ93" s="32">
        <v>0</v>
      </c>
      <c r="AK93" s="34">
        <v>1</v>
      </c>
      <c r="AL93" s="35">
        <v>0</v>
      </c>
      <c r="AM93" s="35">
        <v>0</v>
      </c>
      <c r="AN93" s="36">
        <v>0</v>
      </c>
      <c r="AO93" s="35">
        <v>0</v>
      </c>
      <c r="AP93" s="32">
        <v>0</v>
      </c>
      <c r="AQ93" s="31">
        <v>0</v>
      </c>
      <c r="AR93" s="32">
        <v>0</v>
      </c>
      <c r="AS93" s="34">
        <v>0</v>
      </c>
      <c r="AT93" s="31">
        <v>0</v>
      </c>
      <c r="AU93" s="31">
        <v>0</v>
      </c>
      <c r="AV93" s="31">
        <v>0</v>
      </c>
      <c r="AW93" s="32">
        <v>0</v>
      </c>
      <c r="AX93" s="31">
        <v>0</v>
      </c>
      <c r="AY93" s="31">
        <v>0</v>
      </c>
      <c r="AZ93" s="32">
        <v>0</v>
      </c>
      <c r="BA93" s="31">
        <v>0</v>
      </c>
      <c r="BB93" s="31">
        <v>0</v>
      </c>
      <c r="BC93" s="32">
        <v>0</v>
      </c>
      <c r="BD93" s="31">
        <v>0</v>
      </c>
      <c r="BE93" s="31">
        <v>0</v>
      </c>
      <c r="BF93" s="31">
        <v>0</v>
      </c>
      <c r="BG93" s="31">
        <v>0</v>
      </c>
      <c r="BH93" s="31">
        <v>0</v>
      </c>
      <c r="BI93" s="31">
        <v>0</v>
      </c>
      <c r="BJ93" s="31">
        <v>0</v>
      </c>
      <c r="BK93" s="32">
        <v>0</v>
      </c>
      <c r="BL93" s="32">
        <v>0</v>
      </c>
      <c r="BM93" s="32">
        <v>0</v>
      </c>
      <c r="BN93" s="32">
        <v>0</v>
      </c>
      <c r="BO93" s="32">
        <v>0</v>
      </c>
      <c r="BP93" s="31">
        <v>0</v>
      </c>
      <c r="BQ93" s="31">
        <v>0</v>
      </c>
      <c r="BR93" s="32">
        <v>0</v>
      </c>
      <c r="BS93" s="37">
        <v>0</v>
      </c>
      <c r="BT93" s="31">
        <v>0</v>
      </c>
      <c r="BU93" s="32">
        <v>0</v>
      </c>
      <c r="BV93" s="31">
        <v>0</v>
      </c>
      <c r="BW93" s="31">
        <v>0</v>
      </c>
      <c r="BX93" s="31">
        <v>1</v>
      </c>
      <c r="BY93" s="31">
        <v>0</v>
      </c>
      <c r="BZ93" s="31">
        <v>0</v>
      </c>
      <c r="CA93" s="31">
        <v>0</v>
      </c>
      <c r="CB93" s="31">
        <v>0</v>
      </c>
      <c r="CC93" s="31">
        <v>0</v>
      </c>
      <c r="CD93" s="31">
        <v>0</v>
      </c>
      <c r="CE93" s="31">
        <v>0</v>
      </c>
      <c r="CF93" s="38">
        <v>1</v>
      </c>
      <c r="CG93" s="67">
        <f t="shared" si="12"/>
        <v>3</v>
      </c>
      <c r="CH93" s="69">
        <f t="shared" si="13"/>
        <v>3</v>
      </c>
      <c r="CI93" s="30">
        <f t="shared" si="14"/>
        <v>0</v>
      </c>
      <c r="CJ93" s="30">
        <f t="shared" si="15"/>
        <v>0</v>
      </c>
      <c r="CK93" s="30">
        <f t="shared" si="16"/>
        <v>3</v>
      </c>
      <c r="CL93" s="67">
        <f t="shared" si="17"/>
        <v>1</v>
      </c>
      <c r="CM93" s="30">
        <v>1</v>
      </c>
      <c r="CN93" s="30">
        <v>0</v>
      </c>
      <c r="CO93" s="30">
        <v>0</v>
      </c>
      <c r="CP93" s="30">
        <v>2</v>
      </c>
      <c r="CQ93" s="67">
        <v>1</v>
      </c>
    </row>
    <row r="94" spans="1:95" x14ac:dyDescent="0.3">
      <c r="A94" s="13">
        <v>387</v>
      </c>
      <c r="B94" s="8" t="s">
        <v>2</v>
      </c>
      <c r="C94" s="8" t="s">
        <v>1</v>
      </c>
      <c r="D94" s="8" t="s">
        <v>5</v>
      </c>
      <c r="E94" s="8">
        <v>3</v>
      </c>
      <c r="F94" s="8" t="s">
        <v>6</v>
      </c>
      <c r="G94" s="8">
        <v>7</v>
      </c>
      <c r="H94" s="8">
        <v>2</v>
      </c>
      <c r="I94" s="8">
        <v>7.7935999999999996</v>
      </c>
      <c r="J94" s="8">
        <v>5.7827999999999999</v>
      </c>
      <c r="K94" s="8">
        <v>25.800656949291721</v>
      </c>
      <c r="L94" s="8">
        <v>17.388571428571428</v>
      </c>
      <c r="M94" s="7">
        <f t="shared" si="11"/>
        <v>0.88416933516310836</v>
      </c>
      <c r="N94" s="8">
        <v>47.33</v>
      </c>
      <c r="O94" s="8">
        <v>0.96399999999999997</v>
      </c>
      <c r="P94" s="8">
        <v>6.0259999999999998</v>
      </c>
      <c r="Q94" s="8">
        <v>1.288</v>
      </c>
      <c r="R94" s="8">
        <v>1.835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2">
        <v>0</v>
      </c>
      <c r="AG94" s="33">
        <v>0</v>
      </c>
      <c r="AH94" s="31">
        <v>0</v>
      </c>
      <c r="AI94" s="31">
        <v>0</v>
      </c>
      <c r="AJ94" s="32">
        <v>0</v>
      </c>
      <c r="AK94" s="34">
        <v>0</v>
      </c>
      <c r="AL94" s="35">
        <v>0</v>
      </c>
      <c r="AM94" s="35">
        <v>0</v>
      </c>
      <c r="AN94" s="36">
        <v>0</v>
      </c>
      <c r="AO94" s="35">
        <v>0</v>
      </c>
      <c r="AP94" s="32">
        <v>0</v>
      </c>
      <c r="AQ94" s="31">
        <v>0</v>
      </c>
      <c r="AR94" s="32">
        <v>0</v>
      </c>
      <c r="AS94" s="34">
        <v>0</v>
      </c>
      <c r="AT94" s="31">
        <v>0</v>
      </c>
      <c r="AU94" s="31">
        <v>0</v>
      </c>
      <c r="AV94" s="31">
        <v>0</v>
      </c>
      <c r="AW94" s="32">
        <v>0</v>
      </c>
      <c r="AX94" s="31">
        <v>0</v>
      </c>
      <c r="AY94" s="31">
        <v>0</v>
      </c>
      <c r="AZ94" s="32">
        <v>0</v>
      </c>
      <c r="BA94" s="31">
        <v>0</v>
      </c>
      <c r="BB94" s="31">
        <v>0</v>
      </c>
      <c r="BC94" s="32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1">
        <v>0</v>
      </c>
      <c r="BK94" s="32">
        <v>0</v>
      </c>
      <c r="BL94" s="32">
        <v>0</v>
      </c>
      <c r="BM94" s="32">
        <v>0</v>
      </c>
      <c r="BN94" s="32">
        <v>0</v>
      </c>
      <c r="BO94" s="32">
        <v>0</v>
      </c>
      <c r="BP94" s="31">
        <v>0</v>
      </c>
      <c r="BQ94" s="31">
        <v>0</v>
      </c>
      <c r="BR94" s="32">
        <v>0</v>
      </c>
      <c r="BS94" s="37">
        <v>0</v>
      </c>
      <c r="BT94" s="31">
        <v>0</v>
      </c>
      <c r="BU94" s="32">
        <v>0</v>
      </c>
      <c r="BV94" s="31">
        <v>0</v>
      </c>
      <c r="BW94" s="31">
        <v>0</v>
      </c>
      <c r="BX94" s="31">
        <v>0</v>
      </c>
      <c r="BY94" s="31">
        <v>0</v>
      </c>
      <c r="BZ94" s="31">
        <v>0</v>
      </c>
      <c r="CA94" s="31">
        <v>0</v>
      </c>
      <c r="CB94" s="31">
        <v>0</v>
      </c>
      <c r="CC94" s="31">
        <v>0</v>
      </c>
      <c r="CD94" s="31">
        <v>0</v>
      </c>
      <c r="CE94" s="31">
        <v>0</v>
      </c>
      <c r="CF94" s="38">
        <v>1</v>
      </c>
      <c r="CG94" s="67">
        <f t="shared" si="12"/>
        <v>1</v>
      </c>
      <c r="CH94" s="69">
        <f t="shared" si="13"/>
        <v>1</v>
      </c>
      <c r="CI94" s="30">
        <f t="shared" si="14"/>
        <v>0</v>
      </c>
      <c r="CJ94" s="30">
        <f t="shared" si="15"/>
        <v>0</v>
      </c>
      <c r="CK94" s="30">
        <f t="shared" si="16"/>
        <v>1</v>
      </c>
      <c r="CL94" s="67">
        <f t="shared" si="17"/>
        <v>1</v>
      </c>
      <c r="CM94" s="30">
        <v>0</v>
      </c>
      <c r="CN94" s="30">
        <v>0</v>
      </c>
      <c r="CO94" s="30">
        <v>0</v>
      </c>
      <c r="CP94" s="30">
        <v>1</v>
      </c>
      <c r="CQ94" s="67">
        <v>0</v>
      </c>
    </row>
    <row r="95" spans="1:95" x14ac:dyDescent="0.3">
      <c r="A95" s="13">
        <v>391</v>
      </c>
      <c r="B95" s="8" t="s">
        <v>2</v>
      </c>
      <c r="C95" s="8" t="s">
        <v>1</v>
      </c>
      <c r="D95" s="8" t="s">
        <v>5</v>
      </c>
      <c r="E95" s="8">
        <v>2</v>
      </c>
      <c r="F95" s="8" t="s">
        <v>6</v>
      </c>
      <c r="G95" s="8">
        <v>7.04</v>
      </c>
      <c r="H95" s="8">
        <v>2</v>
      </c>
      <c r="I95" s="8">
        <v>8.9225999999999992</v>
      </c>
      <c r="J95" s="8">
        <v>5.7130999999999998</v>
      </c>
      <c r="K95" s="8">
        <v>35.970457041669462</v>
      </c>
      <c r="L95" s="8">
        <v>18.848011363636367</v>
      </c>
      <c r="M95" s="7">
        <f t="shared" si="11"/>
        <v>0.90199356720237689</v>
      </c>
      <c r="N95" s="8">
        <v>47.59</v>
      </c>
      <c r="O95" s="8">
        <v>0.83499999999999996</v>
      </c>
      <c r="P95" s="8">
        <v>5.2160000000000002</v>
      </c>
      <c r="Q95" s="8">
        <v>2.5190000000000001</v>
      </c>
      <c r="R95" s="8">
        <v>1.325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2">
        <v>0</v>
      </c>
      <c r="AG95" s="33">
        <v>0</v>
      </c>
      <c r="AH95" s="31">
        <v>0</v>
      </c>
      <c r="AI95" s="31">
        <v>0</v>
      </c>
      <c r="AJ95" s="32">
        <v>0</v>
      </c>
      <c r="AK95" s="34">
        <v>0</v>
      </c>
      <c r="AL95" s="35">
        <v>0</v>
      </c>
      <c r="AM95" s="35">
        <v>0</v>
      </c>
      <c r="AN95" s="36">
        <v>0</v>
      </c>
      <c r="AO95" s="35">
        <v>0</v>
      </c>
      <c r="AP95" s="32">
        <v>0</v>
      </c>
      <c r="AQ95" s="31">
        <v>0</v>
      </c>
      <c r="AR95" s="32">
        <v>0</v>
      </c>
      <c r="AS95" s="34">
        <v>0</v>
      </c>
      <c r="AT95" s="31">
        <v>0</v>
      </c>
      <c r="AU95" s="31">
        <v>0</v>
      </c>
      <c r="AV95" s="31">
        <v>0</v>
      </c>
      <c r="AW95" s="32">
        <v>0</v>
      </c>
      <c r="AX95" s="31">
        <v>0</v>
      </c>
      <c r="AY95" s="31">
        <v>0</v>
      </c>
      <c r="AZ95" s="32">
        <v>0</v>
      </c>
      <c r="BA95" s="31">
        <v>0</v>
      </c>
      <c r="BB95" s="31">
        <v>0</v>
      </c>
      <c r="BC95" s="32">
        <v>0</v>
      </c>
      <c r="BD95" s="31">
        <v>0</v>
      </c>
      <c r="BE95" s="31">
        <v>0</v>
      </c>
      <c r="BF95" s="31">
        <v>1</v>
      </c>
      <c r="BG95" s="31">
        <v>0</v>
      </c>
      <c r="BH95" s="31">
        <v>0</v>
      </c>
      <c r="BI95" s="31">
        <v>0</v>
      </c>
      <c r="BJ95" s="31">
        <v>0</v>
      </c>
      <c r="BK95" s="32">
        <v>0</v>
      </c>
      <c r="BL95" s="32">
        <v>0</v>
      </c>
      <c r="BM95" s="32">
        <v>0</v>
      </c>
      <c r="BN95" s="32">
        <v>0</v>
      </c>
      <c r="BO95" s="32">
        <v>0</v>
      </c>
      <c r="BP95" s="31">
        <v>0</v>
      </c>
      <c r="BQ95" s="31">
        <v>0</v>
      </c>
      <c r="BR95" s="32">
        <v>0</v>
      </c>
      <c r="BS95" s="37">
        <v>0</v>
      </c>
      <c r="BT95" s="31">
        <v>0</v>
      </c>
      <c r="BU95" s="32">
        <v>0</v>
      </c>
      <c r="BV95" s="31">
        <v>0</v>
      </c>
      <c r="BW95" s="31">
        <v>0</v>
      </c>
      <c r="BX95" s="31">
        <v>0</v>
      </c>
      <c r="BY95" s="31">
        <v>0</v>
      </c>
      <c r="BZ95" s="31">
        <v>0</v>
      </c>
      <c r="CA95" s="31">
        <v>0</v>
      </c>
      <c r="CB95" s="31">
        <v>0</v>
      </c>
      <c r="CC95" s="31">
        <v>0</v>
      </c>
      <c r="CD95" s="31">
        <v>0</v>
      </c>
      <c r="CE95" s="31">
        <v>0</v>
      </c>
      <c r="CF95" s="38">
        <v>0</v>
      </c>
      <c r="CG95" s="67">
        <f t="shared" si="12"/>
        <v>1</v>
      </c>
      <c r="CH95" s="69">
        <f t="shared" si="13"/>
        <v>1</v>
      </c>
      <c r="CI95" s="30">
        <f t="shared" si="14"/>
        <v>0</v>
      </c>
      <c r="CJ95" s="30">
        <f t="shared" si="15"/>
        <v>0</v>
      </c>
      <c r="CK95" s="30">
        <f t="shared" si="16"/>
        <v>1</v>
      </c>
      <c r="CL95" s="67">
        <f t="shared" si="17"/>
        <v>1</v>
      </c>
      <c r="CM95" s="30">
        <v>1</v>
      </c>
      <c r="CN95" s="30">
        <v>0</v>
      </c>
      <c r="CO95" s="30">
        <v>0</v>
      </c>
      <c r="CP95" s="30">
        <v>0</v>
      </c>
      <c r="CQ95" s="67">
        <v>1</v>
      </c>
    </row>
    <row r="96" spans="1:95" x14ac:dyDescent="0.3">
      <c r="A96" s="13">
        <v>392</v>
      </c>
      <c r="B96" s="8" t="s">
        <v>2</v>
      </c>
      <c r="C96" s="8" t="s">
        <v>14</v>
      </c>
      <c r="D96" s="8" t="s">
        <v>5</v>
      </c>
      <c r="E96" s="8">
        <v>4</v>
      </c>
      <c r="F96" s="8" t="s">
        <v>6</v>
      </c>
      <c r="G96" s="8">
        <v>7.03</v>
      </c>
      <c r="H96" s="8">
        <v>2</v>
      </c>
      <c r="I96" s="8">
        <v>11.7834</v>
      </c>
      <c r="J96" s="8">
        <v>5.9680999999999997</v>
      </c>
      <c r="K96" s="8">
        <v>49.351630259517634</v>
      </c>
      <c r="L96" s="8">
        <v>15.105263157894743</v>
      </c>
      <c r="M96" s="7">
        <f t="shared" si="11"/>
        <v>0.85690526758926833</v>
      </c>
      <c r="N96" s="8">
        <v>47.83</v>
      </c>
      <c r="O96" s="8">
        <v>0.72199999999999998</v>
      </c>
      <c r="P96" s="8">
        <v>4.5140000000000002</v>
      </c>
      <c r="Q96" s="8">
        <v>0.65700000000000003</v>
      </c>
      <c r="R96" s="8">
        <v>1.3859999999999999</v>
      </c>
      <c r="S96" s="31">
        <v>4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2">
        <v>0</v>
      </c>
      <c r="AG96" s="33">
        <v>0</v>
      </c>
      <c r="AH96" s="31">
        <v>0</v>
      </c>
      <c r="AI96" s="31">
        <v>0</v>
      </c>
      <c r="AJ96" s="32">
        <v>0</v>
      </c>
      <c r="AK96" s="34">
        <v>9</v>
      </c>
      <c r="AL96" s="35">
        <v>0</v>
      </c>
      <c r="AM96" s="35">
        <v>0</v>
      </c>
      <c r="AN96" s="36">
        <v>0</v>
      </c>
      <c r="AO96" s="35">
        <v>0</v>
      </c>
      <c r="AP96" s="32">
        <v>0</v>
      </c>
      <c r="AQ96" s="31">
        <v>0</v>
      </c>
      <c r="AR96" s="32">
        <v>0</v>
      </c>
      <c r="AS96" s="34">
        <v>0</v>
      </c>
      <c r="AT96" s="31">
        <v>0</v>
      </c>
      <c r="AU96" s="31">
        <v>0</v>
      </c>
      <c r="AV96" s="31">
        <v>0</v>
      </c>
      <c r="AW96" s="32">
        <v>0</v>
      </c>
      <c r="AX96" s="31">
        <v>0</v>
      </c>
      <c r="AY96" s="31">
        <v>0</v>
      </c>
      <c r="AZ96" s="32">
        <v>0</v>
      </c>
      <c r="BA96" s="31">
        <v>0</v>
      </c>
      <c r="BB96" s="31">
        <v>0</v>
      </c>
      <c r="BC96" s="32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1">
        <v>0</v>
      </c>
      <c r="BK96" s="32">
        <v>0</v>
      </c>
      <c r="BL96" s="32">
        <v>0</v>
      </c>
      <c r="BM96" s="32">
        <v>0</v>
      </c>
      <c r="BN96" s="32">
        <v>0</v>
      </c>
      <c r="BO96" s="32">
        <v>0</v>
      </c>
      <c r="BP96" s="31">
        <v>0</v>
      </c>
      <c r="BQ96" s="31">
        <v>0</v>
      </c>
      <c r="BR96" s="32">
        <v>0</v>
      </c>
      <c r="BS96" s="37">
        <v>0</v>
      </c>
      <c r="BT96" s="31">
        <v>0</v>
      </c>
      <c r="BU96" s="32">
        <v>0</v>
      </c>
      <c r="BV96" s="31">
        <v>0</v>
      </c>
      <c r="BW96" s="31">
        <v>0</v>
      </c>
      <c r="BX96" s="31">
        <v>0</v>
      </c>
      <c r="BY96" s="31">
        <v>0</v>
      </c>
      <c r="BZ96" s="31">
        <v>0</v>
      </c>
      <c r="CA96" s="31">
        <v>0</v>
      </c>
      <c r="CB96" s="31">
        <v>0</v>
      </c>
      <c r="CC96" s="31">
        <v>0</v>
      </c>
      <c r="CD96" s="31">
        <v>0</v>
      </c>
      <c r="CE96" s="31">
        <v>0</v>
      </c>
      <c r="CF96" s="38">
        <v>0</v>
      </c>
      <c r="CG96" s="67">
        <f t="shared" si="12"/>
        <v>13</v>
      </c>
      <c r="CH96" s="69">
        <f t="shared" si="13"/>
        <v>2</v>
      </c>
      <c r="CI96" s="30">
        <f t="shared" si="14"/>
        <v>0</v>
      </c>
      <c r="CJ96" s="30">
        <f t="shared" si="15"/>
        <v>4</v>
      </c>
      <c r="CK96" s="30">
        <f t="shared" si="16"/>
        <v>9</v>
      </c>
      <c r="CL96" s="67">
        <f t="shared" si="17"/>
        <v>2</v>
      </c>
      <c r="CM96" s="30">
        <v>13</v>
      </c>
      <c r="CN96" s="30">
        <v>0</v>
      </c>
      <c r="CO96" s="30">
        <v>0</v>
      </c>
      <c r="CP96" s="30">
        <v>0</v>
      </c>
      <c r="CQ96" s="67">
        <v>1</v>
      </c>
    </row>
    <row r="97" spans="1:95" x14ac:dyDescent="0.3">
      <c r="A97" s="13">
        <v>393</v>
      </c>
      <c r="B97" s="8" t="s">
        <v>2</v>
      </c>
      <c r="C97" s="8" t="s">
        <v>1</v>
      </c>
      <c r="D97" s="8" t="s">
        <v>5</v>
      </c>
      <c r="E97" s="8">
        <v>5</v>
      </c>
      <c r="F97" s="8" t="s">
        <v>6</v>
      </c>
      <c r="G97" s="8">
        <v>7</v>
      </c>
      <c r="H97" s="8">
        <v>2</v>
      </c>
      <c r="I97" s="8">
        <v>11.9572</v>
      </c>
      <c r="J97" s="8">
        <v>5.9653</v>
      </c>
      <c r="K97" s="8">
        <v>50.111230053858769</v>
      </c>
      <c r="L97" s="8">
        <v>14.78142857142857</v>
      </c>
      <c r="M97" s="7">
        <f t="shared" si="11"/>
        <v>0.85309798195201014</v>
      </c>
      <c r="N97" s="8">
        <v>46.84</v>
      </c>
      <c r="O97" s="8">
        <v>0.71599999999999997</v>
      </c>
      <c r="P97" s="8">
        <v>4.4740000000000002</v>
      </c>
      <c r="Q97" s="8">
        <v>0.91200000000000003</v>
      </c>
      <c r="R97" s="8">
        <v>1.595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2">
        <v>0</v>
      </c>
      <c r="AG97" s="33">
        <v>0</v>
      </c>
      <c r="AH97" s="31">
        <v>0</v>
      </c>
      <c r="AI97" s="31">
        <v>0</v>
      </c>
      <c r="AJ97" s="32">
        <v>0</v>
      </c>
      <c r="AK97" s="34">
        <v>0</v>
      </c>
      <c r="AL97" s="35">
        <v>0</v>
      </c>
      <c r="AM97" s="35">
        <v>0</v>
      </c>
      <c r="AN97" s="36">
        <v>0</v>
      </c>
      <c r="AO97" s="35">
        <v>0</v>
      </c>
      <c r="AP97" s="32">
        <v>0</v>
      </c>
      <c r="AQ97" s="31">
        <v>0</v>
      </c>
      <c r="AR97" s="32">
        <v>0</v>
      </c>
      <c r="AS97" s="34">
        <v>0</v>
      </c>
      <c r="AT97" s="31">
        <v>0</v>
      </c>
      <c r="AU97" s="31">
        <v>0</v>
      </c>
      <c r="AV97" s="31">
        <v>0</v>
      </c>
      <c r="AW97" s="32">
        <v>0</v>
      </c>
      <c r="AX97" s="31">
        <v>0</v>
      </c>
      <c r="AY97" s="31">
        <v>0</v>
      </c>
      <c r="AZ97" s="32">
        <v>0</v>
      </c>
      <c r="BA97" s="31">
        <v>0</v>
      </c>
      <c r="BB97" s="31">
        <v>0</v>
      </c>
      <c r="BC97" s="32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1">
        <v>0</v>
      </c>
      <c r="BK97" s="32">
        <v>0</v>
      </c>
      <c r="BL97" s="32">
        <v>0</v>
      </c>
      <c r="BM97" s="32">
        <v>0</v>
      </c>
      <c r="BN97" s="32">
        <v>0</v>
      </c>
      <c r="BO97" s="32">
        <v>0</v>
      </c>
      <c r="BP97" s="31">
        <v>0</v>
      </c>
      <c r="BQ97" s="31">
        <v>0</v>
      </c>
      <c r="BR97" s="32">
        <v>0</v>
      </c>
      <c r="BS97" s="37">
        <v>0</v>
      </c>
      <c r="BT97" s="31">
        <v>0</v>
      </c>
      <c r="BU97" s="32">
        <v>0</v>
      </c>
      <c r="BV97" s="31">
        <v>0</v>
      </c>
      <c r="BW97" s="31">
        <v>0</v>
      </c>
      <c r="BX97" s="31">
        <v>0</v>
      </c>
      <c r="BY97" s="31">
        <v>0</v>
      </c>
      <c r="BZ97" s="31">
        <v>0</v>
      </c>
      <c r="CA97" s="31">
        <v>0</v>
      </c>
      <c r="CB97" s="31">
        <v>0</v>
      </c>
      <c r="CC97" s="31">
        <v>0</v>
      </c>
      <c r="CD97" s="31">
        <v>0</v>
      </c>
      <c r="CE97" s="31">
        <v>0</v>
      </c>
      <c r="CF97" s="38">
        <v>0</v>
      </c>
      <c r="CG97" s="67">
        <f t="shared" si="12"/>
        <v>0</v>
      </c>
      <c r="CH97" s="69">
        <f t="shared" si="13"/>
        <v>0</v>
      </c>
      <c r="CI97" s="30">
        <f t="shared" si="14"/>
        <v>0</v>
      </c>
      <c r="CJ97" s="30">
        <f t="shared" si="15"/>
        <v>0</v>
      </c>
      <c r="CK97" s="30">
        <f t="shared" si="16"/>
        <v>0</v>
      </c>
      <c r="CL97" s="67">
        <f t="shared" si="17"/>
        <v>0</v>
      </c>
      <c r="CM97" s="30">
        <v>0</v>
      </c>
      <c r="CN97" s="30">
        <v>0</v>
      </c>
      <c r="CO97" s="30">
        <v>0</v>
      </c>
      <c r="CP97" s="30">
        <v>0</v>
      </c>
      <c r="CQ97" s="67">
        <v>0</v>
      </c>
    </row>
    <row r="98" spans="1:95" x14ac:dyDescent="0.3">
      <c r="A98" s="13">
        <v>397</v>
      </c>
      <c r="B98" s="8" t="s">
        <v>2</v>
      </c>
      <c r="C98" s="8" t="s">
        <v>14</v>
      </c>
      <c r="D98" s="8" t="s">
        <v>5</v>
      </c>
      <c r="E98" s="8">
        <v>4</v>
      </c>
      <c r="F98" s="8" t="s">
        <v>6</v>
      </c>
      <c r="G98" s="8">
        <v>6.91</v>
      </c>
      <c r="H98" s="8">
        <v>2</v>
      </c>
      <c r="I98" s="8">
        <v>12.7012</v>
      </c>
      <c r="J98" s="8">
        <v>5.7309999999999999</v>
      </c>
      <c r="K98" s="8">
        <v>54.878279217711714</v>
      </c>
      <c r="L98" s="8">
        <v>17.062228654124461</v>
      </c>
      <c r="M98" s="7">
        <f t="shared" si="11"/>
        <v>0.88022678276992339</v>
      </c>
      <c r="N98" s="8">
        <v>48</v>
      </c>
      <c r="O98" s="8">
        <v>0.76</v>
      </c>
      <c r="P98" s="8">
        <v>4.7510000000000003</v>
      </c>
      <c r="Q98" s="8">
        <v>1.05</v>
      </c>
      <c r="R98" s="8">
        <v>1.6459999999999999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2">
        <v>0</v>
      </c>
      <c r="AG98" s="33">
        <v>0</v>
      </c>
      <c r="AH98" s="31">
        <v>0</v>
      </c>
      <c r="AI98" s="31">
        <v>0</v>
      </c>
      <c r="AJ98" s="32">
        <v>0</v>
      </c>
      <c r="AK98" s="34">
        <v>0</v>
      </c>
      <c r="AL98" s="35">
        <v>0</v>
      </c>
      <c r="AM98" s="35">
        <v>0</v>
      </c>
      <c r="AN98" s="36">
        <v>0</v>
      </c>
      <c r="AO98" s="35">
        <v>0</v>
      </c>
      <c r="AP98" s="32">
        <v>0</v>
      </c>
      <c r="AQ98" s="31">
        <v>0</v>
      </c>
      <c r="AR98" s="32">
        <v>0</v>
      </c>
      <c r="AS98" s="34">
        <v>0</v>
      </c>
      <c r="AT98" s="31">
        <v>0</v>
      </c>
      <c r="AU98" s="31">
        <v>0</v>
      </c>
      <c r="AV98" s="31">
        <v>0</v>
      </c>
      <c r="AW98" s="32">
        <v>0</v>
      </c>
      <c r="AX98" s="31">
        <v>0</v>
      </c>
      <c r="AY98" s="31">
        <v>0</v>
      </c>
      <c r="AZ98" s="32">
        <v>0</v>
      </c>
      <c r="BA98" s="31">
        <v>0</v>
      </c>
      <c r="BB98" s="31">
        <v>0</v>
      </c>
      <c r="BC98" s="32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1">
        <v>0</v>
      </c>
      <c r="BK98" s="32">
        <v>0</v>
      </c>
      <c r="BL98" s="32">
        <v>0</v>
      </c>
      <c r="BM98" s="32">
        <v>0</v>
      </c>
      <c r="BN98" s="32">
        <v>0</v>
      </c>
      <c r="BO98" s="32">
        <v>0</v>
      </c>
      <c r="BP98" s="31">
        <v>0</v>
      </c>
      <c r="BQ98" s="31">
        <v>0</v>
      </c>
      <c r="BR98" s="32">
        <v>0</v>
      </c>
      <c r="BS98" s="37">
        <v>0</v>
      </c>
      <c r="BT98" s="31">
        <v>0</v>
      </c>
      <c r="BU98" s="32">
        <v>0</v>
      </c>
      <c r="BV98" s="31">
        <v>0</v>
      </c>
      <c r="BW98" s="31">
        <v>0</v>
      </c>
      <c r="BX98" s="31">
        <v>0</v>
      </c>
      <c r="BY98" s="31">
        <v>0</v>
      </c>
      <c r="BZ98" s="31">
        <v>0</v>
      </c>
      <c r="CA98" s="31">
        <v>0</v>
      </c>
      <c r="CB98" s="31">
        <v>0</v>
      </c>
      <c r="CC98" s="31">
        <v>0</v>
      </c>
      <c r="CD98" s="31">
        <v>0</v>
      </c>
      <c r="CE98" s="31">
        <v>0</v>
      </c>
      <c r="CF98" s="38">
        <v>0</v>
      </c>
      <c r="CG98" s="67">
        <f t="shared" si="12"/>
        <v>0</v>
      </c>
      <c r="CH98" s="69">
        <f t="shared" si="13"/>
        <v>0</v>
      </c>
      <c r="CI98" s="30">
        <f t="shared" si="14"/>
        <v>0</v>
      </c>
      <c r="CJ98" s="30">
        <f t="shared" si="15"/>
        <v>0</v>
      </c>
      <c r="CK98" s="30">
        <f t="shared" si="16"/>
        <v>0</v>
      </c>
      <c r="CL98" s="67">
        <f t="shared" si="17"/>
        <v>0</v>
      </c>
      <c r="CM98" s="30">
        <v>0</v>
      </c>
      <c r="CN98" s="30">
        <v>0</v>
      </c>
      <c r="CO98" s="30">
        <v>0</v>
      </c>
      <c r="CP98" s="30">
        <v>0</v>
      </c>
      <c r="CQ98" s="67">
        <v>0</v>
      </c>
    </row>
    <row r="99" spans="1:95" x14ac:dyDescent="0.3">
      <c r="A99" s="13">
        <v>412</v>
      </c>
      <c r="B99" s="8" t="s">
        <v>2</v>
      </c>
      <c r="C99" s="8" t="s">
        <v>14</v>
      </c>
      <c r="D99" s="8" t="s">
        <v>5</v>
      </c>
      <c r="E99" s="8">
        <v>2</v>
      </c>
      <c r="F99" s="8" t="s">
        <v>6</v>
      </c>
      <c r="G99" s="8">
        <v>7.06</v>
      </c>
      <c r="H99" s="8">
        <v>2</v>
      </c>
      <c r="I99" s="8">
        <v>7.0172999999999996</v>
      </c>
      <c r="J99" s="8">
        <v>5.7858000000000001</v>
      </c>
      <c r="K99" s="8">
        <v>17.549484844598346</v>
      </c>
      <c r="L99" s="8">
        <v>18.048158640226625</v>
      </c>
      <c r="M99" s="7">
        <f t="shared" si="11"/>
        <v>0.89218559230283923</v>
      </c>
      <c r="N99" s="8">
        <v>48.38</v>
      </c>
      <c r="O99" s="8">
        <v>0.69299999999999995</v>
      </c>
      <c r="P99" s="8">
        <v>4.3330000000000002</v>
      </c>
      <c r="Q99" s="8">
        <v>0.90100000000000002</v>
      </c>
      <c r="R99" s="8">
        <v>1.081</v>
      </c>
      <c r="S99" s="31">
        <v>1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2">
        <v>0</v>
      </c>
      <c r="AG99" s="33">
        <v>0</v>
      </c>
      <c r="AH99" s="31">
        <v>0</v>
      </c>
      <c r="AI99" s="31">
        <v>0</v>
      </c>
      <c r="AJ99" s="32">
        <v>0</v>
      </c>
      <c r="AK99" s="34">
        <v>1</v>
      </c>
      <c r="AL99" s="35">
        <v>0</v>
      </c>
      <c r="AM99" s="35">
        <v>0</v>
      </c>
      <c r="AN99" s="36">
        <v>0</v>
      </c>
      <c r="AO99" s="35">
        <v>0</v>
      </c>
      <c r="AP99" s="32">
        <v>0</v>
      </c>
      <c r="AQ99" s="31">
        <v>0</v>
      </c>
      <c r="AR99" s="32">
        <v>0</v>
      </c>
      <c r="AS99" s="34">
        <v>0</v>
      </c>
      <c r="AT99" s="31">
        <v>0</v>
      </c>
      <c r="AU99" s="31">
        <v>0</v>
      </c>
      <c r="AV99" s="31">
        <v>0</v>
      </c>
      <c r="AW99" s="32">
        <v>0</v>
      </c>
      <c r="AX99" s="31">
        <v>0</v>
      </c>
      <c r="AY99" s="31">
        <v>0</v>
      </c>
      <c r="AZ99" s="32">
        <v>0</v>
      </c>
      <c r="BA99" s="31">
        <v>0</v>
      </c>
      <c r="BB99" s="31">
        <v>0</v>
      </c>
      <c r="BC99" s="32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1">
        <v>0</v>
      </c>
      <c r="BK99" s="32">
        <v>0</v>
      </c>
      <c r="BL99" s="32">
        <v>0</v>
      </c>
      <c r="BM99" s="32">
        <v>0</v>
      </c>
      <c r="BN99" s="32">
        <v>0</v>
      </c>
      <c r="BO99" s="32">
        <v>0</v>
      </c>
      <c r="BP99" s="31">
        <v>0</v>
      </c>
      <c r="BQ99" s="31">
        <v>0</v>
      </c>
      <c r="BR99" s="32">
        <v>0</v>
      </c>
      <c r="BS99" s="37">
        <v>0</v>
      </c>
      <c r="BT99" s="31">
        <v>0</v>
      </c>
      <c r="BU99" s="32">
        <v>0</v>
      </c>
      <c r="BV99" s="31">
        <v>0</v>
      </c>
      <c r="BW99" s="31">
        <v>0</v>
      </c>
      <c r="BX99" s="31">
        <v>0</v>
      </c>
      <c r="BY99" s="31">
        <v>0</v>
      </c>
      <c r="BZ99" s="31">
        <v>0</v>
      </c>
      <c r="CA99" s="31">
        <v>0</v>
      </c>
      <c r="CB99" s="31">
        <v>0</v>
      </c>
      <c r="CC99" s="31">
        <v>0</v>
      </c>
      <c r="CD99" s="31">
        <v>0</v>
      </c>
      <c r="CE99" s="31">
        <v>0</v>
      </c>
      <c r="CF99" s="38">
        <v>0</v>
      </c>
      <c r="CG99" s="67">
        <f t="shared" si="12"/>
        <v>2</v>
      </c>
      <c r="CH99" s="69">
        <f t="shared" si="13"/>
        <v>2</v>
      </c>
      <c r="CI99" s="30">
        <f t="shared" si="14"/>
        <v>0</v>
      </c>
      <c r="CJ99" s="30">
        <f t="shared" si="15"/>
        <v>1</v>
      </c>
      <c r="CK99" s="30">
        <f t="shared" si="16"/>
        <v>1</v>
      </c>
      <c r="CL99" s="67">
        <f t="shared" si="17"/>
        <v>2</v>
      </c>
      <c r="CM99" s="30">
        <v>2</v>
      </c>
      <c r="CN99" s="30">
        <v>0</v>
      </c>
      <c r="CO99" s="30">
        <v>0</v>
      </c>
      <c r="CP99" s="30">
        <v>0</v>
      </c>
      <c r="CQ99" s="67">
        <v>1</v>
      </c>
    </row>
    <row r="100" spans="1:95" x14ac:dyDescent="0.3">
      <c r="A100" s="13">
        <v>419</v>
      </c>
      <c r="B100" s="8" t="s">
        <v>2</v>
      </c>
      <c r="C100" s="8" t="s">
        <v>14</v>
      </c>
      <c r="D100" s="8" t="s">
        <v>5</v>
      </c>
      <c r="E100" s="8">
        <v>3</v>
      </c>
      <c r="F100" s="8" t="s">
        <v>6</v>
      </c>
      <c r="G100" s="8">
        <v>6.94</v>
      </c>
      <c r="H100" s="8">
        <v>2</v>
      </c>
      <c r="I100" s="8">
        <v>9.1515000000000004</v>
      </c>
      <c r="J100" s="8">
        <v>5.6719999999999997</v>
      </c>
      <c r="K100" s="8">
        <v>38.021089438889803</v>
      </c>
      <c r="L100" s="8">
        <v>18.270893371757936</v>
      </c>
      <c r="M100" s="7">
        <f t="shared" si="11"/>
        <v>0.89490716584883223</v>
      </c>
      <c r="N100" s="8">
        <v>47.37</v>
      </c>
      <c r="O100" s="8">
        <v>0.80100000000000005</v>
      </c>
      <c r="P100" s="8">
        <v>5.0049999999999999</v>
      </c>
      <c r="Q100" s="8">
        <v>1.2170000000000001</v>
      </c>
      <c r="R100" s="8">
        <v>1.742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2">
        <v>0</v>
      </c>
      <c r="AG100" s="33">
        <v>0</v>
      </c>
      <c r="AH100" s="31">
        <v>0</v>
      </c>
      <c r="AI100" s="31">
        <v>0</v>
      </c>
      <c r="AJ100" s="32">
        <v>0</v>
      </c>
      <c r="AK100" s="34">
        <v>0</v>
      </c>
      <c r="AL100" s="35">
        <v>0</v>
      </c>
      <c r="AM100" s="35">
        <v>0</v>
      </c>
      <c r="AN100" s="36">
        <v>0</v>
      </c>
      <c r="AO100" s="35">
        <v>0</v>
      </c>
      <c r="AP100" s="32">
        <v>0</v>
      </c>
      <c r="AQ100" s="31">
        <v>0</v>
      </c>
      <c r="AR100" s="32">
        <v>0</v>
      </c>
      <c r="AS100" s="34">
        <v>0</v>
      </c>
      <c r="AT100" s="31">
        <v>0</v>
      </c>
      <c r="AU100" s="31">
        <v>0</v>
      </c>
      <c r="AV100" s="31">
        <v>0</v>
      </c>
      <c r="AW100" s="32">
        <v>0</v>
      </c>
      <c r="AX100" s="31">
        <v>0</v>
      </c>
      <c r="AY100" s="31">
        <v>0</v>
      </c>
      <c r="AZ100" s="32">
        <v>0</v>
      </c>
      <c r="BA100" s="31">
        <v>0</v>
      </c>
      <c r="BB100" s="31">
        <v>0</v>
      </c>
      <c r="BC100" s="32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1</v>
      </c>
      <c r="BI100" s="31">
        <v>0</v>
      </c>
      <c r="BJ100" s="31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1">
        <v>0</v>
      </c>
      <c r="BQ100" s="31">
        <v>0</v>
      </c>
      <c r="BR100" s="32">
        <v>0</v>
      </c>
      <c r="BS100" s="37">
        <v>0</v>
      </c>
      <c r="BT100" s="31">
        <v>0</v>
      </c>
      <c r="BU100" s="32">
        <v>0</v>
      </c>
      <c r="BV100" s="31">
        <v>0</v>
      </c>
      <c r="BW100" s="31">
        <v>0</v>
      </c>
      <c r="BX100" s="31">
        <v>0</v>
      </c>
      <c r="BY100" s="31">
        <v>0</v>
      </c>
      <c r="BZ100" s="31">
        <v>0</v>
      </c>
      <c r="CA100" s="31">
        <v>0</v>
      </c>
      <c r="CB100" s="31">
        <v>0</v>
      </c>
      <c r="CC100" s="31">
        <v>0</v>
      </c>
      <c r="CD100" s="31">
        <v>0</v>
      </c>
      <c r="CE100" s="31">
        <v>0</v>
      </c>
      <c r="CF100" s="38">
        <v>0</v>
      </c>
      <c r="CG100" s="67">
        <f t="shared" si="12"/>
        <v>1</v>
      </c>
      <c r="CH100" s="69">
        <f t="shared" si="13"/>
        <v>1</v>
      </c>
      <c r="CI100" s="30">
        <f t="shared" si="14"/>
        <v>0</v>
      </c>
      <c r="CJ100" s="30">
        <f t="shared" si="15"/>
        <v>0</v>
      </c>
      <c r="CK100" s="30">
        <f t="shared" si="16"/>
        <v>1</v>
      </c>
      <c r="CL100" s="67">
        <f t="shared" si="17"/>
        <v>1</v>
      </c>
      <c r="CM100" s="30">
        <v>1</v>
      </c>
      <c r="CN100" s="30">
        <v>0</v>
      </c>
      <c r="CO100" s="30">
        <v>0</v>
      </c>
      <c r="CP100" s="30">
        <v>0</v>
      </c>
      <c r="CQ100" s="67">
        <v>1</v>
      </c>
    </row>
    <row r="101" spans="1:95" x14ac:dyDescent="0.3">
      <c r="A101" s="13">
        <v>420</v>
      </c>
      <c r="B101" s="8" t="s">
        <v>2</v>
      </c>
      <c r="C101" s="8" t="s">
        <v>1</v>
      </c>
      <c r="D101" s="8" t="s">
        <v>5</v>
      </c>
      <c r="E101" s="8">
        <v>1</v>
      </c>
      <c r="F101" s="8" t="s">
        <v>6</v>
      </c>
      <c r="G101" s="8">
        <v>6.96</v>
      </c>
      <c r="H101" s="8">
        <v>2</v>
      </c>
      <c r="I101" s="8">
        <v>11.142899999999999</v>
      </c>
      <c r="J101" s="8">
        <v>5.7328000000000001</v>
      </c>
      <c r="K101" s="8">
        <v>48.551992748745832</v>
      </c>
      <c r="L101" s="8">
        <v>17.632183908045977</v>
      </c>
      <c r="M101" s="7">
        <f t="shared" si="11"/>
        <v>0.8871225873377212</v>
      </c>
      <c r="N101" s="8">
        <v>46.84</v>
      </c>
      <c r="O101" s="8">
        <v>0.86299999999999999</v>
      </c>
      <c r="P101" s="8">
        <v>5.3920000000000003</v>
      </c>
      <c r="Q101" s="8">
        <v>0.97199999999999998</v>
      </c>
      <c r="R101" s="8">
        <v>1.6739999999999999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2">
        <v>0</v>
      </c>
      <c r="AG101" s="33">
        <v>0</v>
      </c>
      <c r="AH101" s="31">
        <v>0</v>
      </c>
      <c r="AI101" s="31">
        <v>0</v>
      </c>
      <c r="AJ101" s="32">
        <v>0</v>
      </c>
      <c r="AK101" s="34">
        <v>0</v>
      </c>
      <c r="AL101" s="35">
        <v>0</v>
      </c>
      <c r="AM101" s="35">
        <v>0</v>
      </c>
      <c r="AN101" s="36">
        <v>0</v>
      </c>
      <c r="AO101" s="35">
        <v>0</v>
      </c>
      <c r="AP101" s="32">
        <v>0</v>
      </c>
      <c r="AQ101" s="31">
        <v>0</v>
      </c>
      <c r="AR101" s="32">
        <v>0</v>
      </c>
      <c r="AS101" s="34">
        <v>0</v>
      </c>
      <c r="AT101" s="31">
        <v>0</v>
      </c>
      <c r="AU101" s="31">
        <v>0</v>
      </c>
      <c r="AV101" s="31">
        <v>0</v>
      </c>
      <c r="AW101" s="32">
        <v>0</v>
      </c>
      <c r="AX101" s="31">
        <v>0</v>
      </c>
      <c r="AY101" s="31">
        <v>0</v>
      </c>
      <c r="AZ101" s="32">
        <v>0</v>
      </c>
      <c r="BA101" s="31">
        <v>0</v>
      </c>
      <c r="BB101" s="31">
        <v>0</v>
      </c>
      <c r="BC101" s="32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1</v>
      </c>
      <c r="BI101" s="31">
        <v>0</v>
      </c>
      <c r="BJ101" s="31">
        <v>0</v>
      </c>
      <c r="BK101" s="32">
        <v>0</v>
      </c>
      <c r="BL101" s="32">
        <v>0</v>
      </c>
      <c r="BM101" s="32">
        <v>0</v>
      </c>
      <c r="BN101" s="32">
        <v>0</v>
      </c>
      <c r="BO101" s="32">
        <v>0</v>
      </c>
      <c r="BP101" s="31">
        <v>0</v>
      </c>
      <c r="BQ101" s="31">
        <v>0</v>
      </c>
      <c r="BR101" s="32">
        <v>0</v>
      </c>
      <c r="BS101" s="37">
        <v>0</v>
      </c>
      <c r="BT101" s="31">
        <v>0</v>
      </c>
      <c r="BU101" s="32">
        <v>0</v>
      </c>
      <c r="BV101" s="31">
        <v>0</v>
      </c>
      <c r="BW101" s="31">
        <v>0</v>
      </c>
      <c r="BX101" s="31">
        <v>0</v>
      </c>
      <c r="BY101" s="31">
        <v>0</v>
      </c>
      <c r="BZ101" s="31">
        <v>0</v>
      </c>
      <c r="CA101" s="31">
        <v>0</v>
      </c>
      <c r="CB101" s="31">
        <v>0</v>
      </c>
      <c r="CC101" s="31">
        <v>0</v>
      </c>
      <c r="CD101" s="31">
        <v>0</v>
      </c>
      <c r="CE101" s="31">
        <v>0</v>
      </c>
      <c r="CF101" s="38">
        <v>0</v>
      </c>
      <c r="CG101" s="67">
        <f t="shared" si="12"/>
        <v>1</v>
      </c>
      <c r="CH101" s="69">
        <f t="shared" si="13"/>
        <v>1</v>
      </c>
      <c r="CI101" s="30">
        <f t="shared" si="14"/>
        <v>0</v>
      </c>
      <c r="CJ101" s="30">
        <f t="shared" si="15"/>
        <v>0</v>
      </c>
      <c r="CK101" s="30">
        <f t="shared" si="16"/>
        <v>1</v>
      </c>
      <c r="CL101" s="67">
        <f t="shared" si="17"/>
        <v>1</v>
      </c>
      <c r="CM101" s="30">
        <v>1</v>
      </c>
      <c r="CN101" s="30">
        <v>0</v>
      </c>
      <c r="CO101" s="30">
        <v>0</v>
      </c>
      <c r="CP101" s="30">
        <v>0</v>
      </c>
      <c r="CQ101" s="67">
        <v>1</v>
      </c>
    </row>
    <row r="102" spans="1:95" x14ac:dyDescent="0.3">
      <c r="A102" s="13">
        <v>491</v>
      </c>
      <c r="B102" s="8" t="s">
        <v>3</v>
      </c>
      <c r="C102" s="8" t="s">
        <v>14</v>
      </c>
      <c r="D102" s="8" t="s">
        <v>4</v>
      </c>
      <c r="E102" s="8">
        <v>2</v>
      </c>
      <c r="F102" s="8" t="s">
        <v>6</v>
      </c>
      <c r="G102" s="8">
        <v>6.97</v>
      </c>
      <c r="H102" s="8">
        <v>2</v>
      </c>
      <c r="I102" s="8">
        <v>12.6061</v>
      </c>
      <c r="J102" s="8">
        <v>5.7727000000000004</v>
      </c>
      <c r="K102" s="8">
        <v>45.792909781772323</v>
      </c>
      <c r="L102" s="8">
        <v>17.17790530846484</v>
      </c>
      <c r="M102" s="7">
        <f t="shared" si="11"/>
        <v>0.88162249665271109</v>
      </c>
      <c r="N102" s="8">
        <v>46.91</v>
      </c>
      <c r="O102" s="8">
        <v>0.81699999999999995</v>
      </c>
      <c r="P102" s="8">
        <v>5.1079999999999997</v>
      </c>
      <c r="Q102" s="8">
        <v>2.94</v>
      </c>
      <c r="R102" s="8">
        <v>2.2669999999999999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2">
        <v>0</v>
      </c>
      <c r="AG102" s="33">
        <v>3</v>
      </c>
      <c r="AH102" s="31">
        <v>0</v>
      </c>
      <c r="AI102" s="31">
        <v>0</v>
      </c>
      <c r="AJ102" s="32">
        <v>0</v>
      </c>
      <c r="AK102" s="34">
        <v>0</v>
      </c>
      <c r="AL102" s="35">
        <v>0</v>
      </c>
      <c r="AM102" s="35">
        <v>0</v>
      </c>
      <c r="AN102" s="36">
        <v>0</v>
      </c>
      <c r="AO102" s="35">
        <v>0</v>
      </c>
      <c r="AP102" s="32">
        <v>0</v>
      </c>
      <c r="AQ102" s="31">
        <v>0</v>
      </c>
      <c r="AR102" s="32">
        <v>0</v>
      </c>
      <c r="AS102" s="34">
        <v>0</v>
      </c>
      <c r="AT102" s="31">
        <v>0</v>
      </c>
      <c r="AU102" s="31">
        <v>0</v>
      </c>
      <c r="AV102" s="31">
        <v>0</v>
      </c>
      <c r="AW102" s="32">
        <v>0</v>
      </c>
      <c r="AX102" s="31">
        <v>0</v>
      </c>
      <c r="AY102" s="31">
        <v>0</v>
      </c>
      <c r="AZ102" s="32">
        <v>0</v>
      </c>
      <c r="BA102" s="31">
        <v>0</v>
      </c>
      <c r="BB102" s="31">
        <v>0</v>
      </c>
      <c r="BC102" s="32">
        <v>0</v>
      </c>
      <c r="BD102" s="31">
        <v>0</v>
      </c>
      <c r="BE102" s="31">
        <v>0</v>
      </c>
      <c r="BF102" s="31">
        <v>0</v>
      </c>
      <c r="BG102" s="31">
        <v>0</v>
      </c>
      <c r="BH102" s="31">
        <v>0</v>
      </c>
      <c r="BI102" s="31">
        <v>0</v>
      </c>
      <c r="BJ102" s="31">
        <v>0</v>
      </c>
      <c r="BK102" s="32">
        <v>0</v>
      </c>
      <c r="BL102" s="32">
        <v>0</v>
      </c>
      <c r="BM102" s="32">
        <v>0</v>
      </c>
      <c r="BN102" s="32">
        <v>0</v>
      </c>
      <c r="BO102" s="32">
        <v>0</v>
      </c>
      <c r="BP102" s="31">
        <v>0</v>
      </c>
      <c r="BQ102" s="31">
        <v>0</v>
      </c>
      <c r="BR102" s="32">
        <v>0</v>
      </c>
      <c r="BS102" s="37">
        <v>0</v>
      </c>
      <c r="BT102" s="31">
        <v>0</v>
      </c>
      <c r="BU102" s="32">
        <v>0</v>
      </c>
      <c r="BV102" s="31">
        <v>0</v>
      </c>
      <c r="BW102" s="31">
        <v>0</v>
      </c>
      <c r="BX102" s="31">
        <v>0</v>
      </c>
      <c r="BY102" s="31">
        <v>0</v>
      </c>
      <c r="BZ102" s="31">
        <v>0</v>
      </c>
      <c r="CA102" s="31">
        <v>0</v>
      </c>
      <c r="CB102" s="31">
        <v>0</v>
      </c>
      <c r="CC102" s="31">
        <v>0</v>
      </c>
      <c r="CD102" s="31">
        <v>0</v>
      </c>
      <c r="CE102" s="31">
        <v>0</v>
      </c>
      <c r="CF102" s="38">
        <v>0</v>
      </c>
      <c r="CG102" s="67">
        <f t="shared" si="12"/>
        <v>3</v>
      </c>
      <c r="CH102" s="69">
        <f t="shared" si="13"/>
        <v>1</v>
      </c>
      <c r="CI102" s="30">
        <f t="shared" si="14"/>
        <v>0</v>
      </c>
      <c r="CJ102" s="30">
        <f t="shared" si="15"/>
        <v>3</v>
      </c>
      <c r="CK102" s="30">
        <f t="shared" si="16"/>
        <v>0</v>
      </c>
      <c r="CL102" s="67">
        <f t="shared" si="17"/>
        <v>1</v>
      </c>
      <c r="CM102" s="30">
        <v>3</v>
      </c>
      <c r="CN102" s="30">
        <v>0</v>
      </c>
      <c r="CO102" s="30">
        <v>0</v>
      </c>
      <c r="CP102" s="30">
        <v>0</v>
      </c>
      <c r="CQ102" s="67">
        <v>1</v>
      </c>
    </row>
    <row r="103" spans="1:95" x14ac:dyDescent="0.3">
      <c r="A103" s="13">
        <v>492</v>
      </c>
      <c r="B103" s="8" t="s">
        <v>3</v>
      </c>
      <c r="C103" s="8" t="s">
        <v>1</v>
      </c>
      <c r="D103" s="8" t="s">
        <v>4</v>
      </c>
      <c r="E103" s="8">
        <v>2</v>
      </c>
      <c r="F103" s="8" t="s">
        <v>6</v>
      </c>
      <c r="G103" s="8">
        <v>7.08</v>
      </c>
      <c r="H103" s="8">
        <v>2</v>
      </c>
      <c r="I103" s="8">
        <v>13.604699999999999</v>
      </c>
      <c r="J103" s="8">
        <v>5.5481999999999996</v>
      </c>
      <c r="K103" s="8">
        <v>40.781494630532094</v>
      </c>
      <c r="L103" s="8">
        <v>21.63559322033899</v>
      </c>
      <c r="M103" s="7">
        <f t="shared" si="11"/>
        <v>0.93694753743606285</v>
      </c>
      <c r="N103" s="8">
        <v>48.37</v>
      </c>
      <c r="O103" s="8">
        <v>0.93700000000000006</v>
      </c>
      <c r="P103" s="8">
        <v>5.8570000000000002</v>
      </c>
      <c r="Q103" s="8">
        <v>2.1589999999999998</v>
      </c>
      <c r="R103" s="8">
        <v>1.482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2">
        <v>0</v>
      </c>
      <c r="AG103" s="33">
        <v>0</v>
      </c>
      <c r="AH103" s="31">
        <v>0</v>
      </c>
      <c r="AI103" s="31">
        <v>0</v>
      </c>
      <c r="AJ103" s="32">
        <v>0</v>
      </c>
      <c r="AK103" s="34">
        <v>0</v>
      </c>
      <c r="AL103" s="35">
        <v>0</v>
      </c>
      <c r="AM103" s="35">
        <v>0</v>
      </c>
      <c r="AN103" s="36">
        <v>0</v>
      </c>
      <c r="AO103" s="35">
        <v>0</v>
      </c>
      <c r="AP103" s="32">
        <v>0</v>
      </c>
      <c r="AQ103" s="31">
        <v>0</v>
      </c>
      <c r="AR103" s="32">
        <v>0</v>
      </c>
      <c r="AS103" s="34">
        <v>0</v>
      </c>
      <c r="AT103" s="31">
        <v>0</v>
      </c>
      <c r="AU103" s="31">
        <v>0</v>
      </c>
      <c r="AV103" s="31">
        <v>0</v>
      </c>
      <c r="AW103" s="32">
        <v>0</v>
      </c>
      <c r="AX103" s="31">
        <v>0</v>
      </c>
      <c r="AY103" s="31">
        <v>0</v>
      </c>
      <c r="AZ103" s="32">
        <v>0</v>
      </c>
      <c r="BA103" s="31">
        <v>0</v>
      </c>
      <c r="BB103" s="31">
        <v>0</v>
      </c>
      <c r="BC103" s="32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1">
        <v>0</v>
      </c>
      <c r="BK103" s="32">
        <v>0</v>
      </c>
      <c r="BL103" s="32">
        <v>0</v>
      </c>
      <c r="BM103" s="32">
        <v>0</v>
      </c>
      <c r="BN103" s="32">
        <v>0</v>
      </c>
      <c r="BO103" s="32">
        <v>0</v>
      </c>
      <c r="BP103" s="31">
        <v>0</v>
      </c>
      <c r="BQ103" s="31">
        <v>0</v>
      </c>
      <c r="BR103" s="32">
        <v>0</v>
      </c>
      <c r="BS103" s="37">
        <v>0</v>
      </c>
      <c r="BT103" s="31">
        <v>0</v>
      </c>
      <c r="BU103" s="32">
        <v>0</v>
      </c>
      <c r="BV103" s="31">
        <v>0</v>
      </c>
      <c r="BW103" s="31">
        <v>0</v>
      </c>
      <c r="BX103" s="31">
        <v>0</v>
      </c>
      <c r="BY103" s="31">
        <v>0</v>
      </c>
      <c r="BZ103" s="31">
        <v>0</v>
      </c>
      <c r="CA103" s="31">
        <v>0</v>
      </c>
      <c r="CB103" s="31">
        <v>0</v>
      </c>
      <c r="CC103" s="31">
        <v>0</v>
      </c>
      <c r="CD103" s="31">
        <v>0</v>
      </c>
      <c r="CE103" s="31">
        <v>0</v>
      </c>
      <c r="CF103" s="38">
        <v>0</v>
      </c>
      <c r="CG103" s="67">
        <f t="shared" si="12"/>
        <v>0</v>
      </c>
      <c r="CH103" s="69">
        <f t="shared" si="13"/>
        <v>0</v>
      </c>
      <c r="CI103" s="30">
        <f t="shared" si="14"/>
        <v>0</v>
      </c>
      <c r="CJ103" s="30">
        <f t="shared" si="15"/>
        <v>0</v>
      </c>
      <c r="CK103" s="30">
        <f t="shared" si="16"/>
        <v>0</v>
      </c>
      <c r="CL103" s="67">
        <f t="shared" si="17"/>
        <v>0</v>
      </c>
      <c r="CM103" s="30">
        <v>0</v>
      </c>
      <c r="CN103" s="30">
        <v>0</v>
      </c>
      <c r="CO103" s="30">
        <v>0</v>
      </c>
      <c r="CP103" s="30">
        <v>0</v>
      </c>
      <c r="CQ103" s="67">
        <v>0</v>
      </c>
    </row>
    <row r="104" spans="1:95" x14ac:dyDescent="0.3">
      <c r="A104" s="13">
        <v>496</v>
      </c>
      <c r="B104" s="8" t="s">
        <v>3</v>
      </c>
      <c r="C104" s="8" t="s">
        <v>1</v>
      </c>
      <c r="D104" s="8" t="s">
        <v>4</v>
      </c>
      <c r="E104" s="8">
        <v>4</v>
      </c>
      <c r="F104" s="8" t="s">
        <v>6</v>
      </c>
      <c r="G104" s="8">
        <v>7.03</v>
      </c>
      <c r="H104" s="8">
        <v>2</v>
      </c>
      <c r="I104" s="8">
        <v>10.9597</v>
      </c>
      <c r="J104" s="8">
        <v>5.4912000000000001</v>
      </c>
      <c r="K104" s="8">
        <v>50.103561228865757</v>
      </c>
      <c r="L104" s="8">
        <v>21.889046941678522</v>
      </c>
      <c r="M104" s="7">
        <f t="shared" si="11"/>
        <v>0.9401870755110675</v>
      </c>
      <c r="N104" s="8">
        <v>48.33</v>
      </c>
      <c r="O104" s="8">
        <v>0.76700000000000002</v>
      </c>
      <c r="P104" s="8">
        <v>4.7910000000000004</v>
      </c>
      <c r="Q104" s="8">
        <v>2.415</v>
      </c>
      <c r="R104" s="8">
        <v>2.2879999999999998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2">
        <v>0</v>
      </c>
      <c r="AG104" s="33">
        <v>0</v>
      </c>
      <c r="AH104" s="31">
        <v>0</v>
      </c>
      <c r="AI104" s="31">
        <v>0</v>
      </c>
      <c r="AJ104" s="32">
        <v>0</v>
      </c>
      <c r="AK104" s="34">
        <v>0</v>
      </c>
      <c r="AL104" s="35">
        <v>0</v>
      </c>
      <c r="AM104" s="35">
        <v>0</v>
      </c>
      <c r="AN104" s="36">
        <v>0</v>
      </c>
      <c r="AO104" s="35">
        <v>0</v>
      </c>
      <c r="AP104" s="32">
        <v>0</v>
      </c>
      <c r="AQ104" s="31">
        <v>0</v>
      </c>
      <c r="AR104" s="32">
        <v>0</v>
      </c>
      <c r="AS104" s="34">
        <v>0</v>
      </c>
      <c r="AT104" s="31">
        <v>0</v>
      </c>
      <c r="AU104" s="31">
        <v>0</v>
      </c>
      <c r="AV104" s="31">
        <v>0</v>
      </c>
      <c r="AW104" s="32">
        <v>0</v>
      </c>
      <c r="AX104" s="31">
        <v>0</v>
      </c>
      <c r="AY104" s="31">
        <v>0</v>
      </c>
      <c r="AZ104" s="32">
        <v>0</v>
      </c>
      <c r="BA104" s="31">
        <v>0</v>
      </c>
      <c r="BB104" s="31">
        <v>0</v>
      </c>
      <c r="BC104" s="32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1">
        <v>0</v>
      </c>
      <c r="BK104" s="32">
        <v>0</v>
      </c>
      <c r="BL104" s="32">
        <v>0</v>
      </c>
      <c r="BM104" s="32">
        <v>0</v>
      </c>
      <c r="BN104" s="32">
        <v>0</v>
      </c>
      <c r="BO104" s="32">
        <v>0</v>
      </c>
      <c r="BP104" s="31">
        <v>0</v>
      </c>
      <c r="BQ104" s="31">
        <v>0</v>
      </c>
      <c r="BR104" s="32">
        <v>0</v>
      </c>
      <c r="BS104" s="37">
        <v>0</v>
      </c>
      <c r="BT104" s="31">
        <v>0</v>
      </c>
      <c r="BU104" s="32">
        <v>0</v>
      </c>
      <c r="BV104" s="31">
        <v>0</v>
      </c>
      <c r="BW104" s="31">
        <v>0</v>
      </c>
      <c r="BX104" s="31">
        <v>0</v>
      </c>
      <c r="BY104" s="31">
        <v>0</v>
      </c>
      <c r="BZ104" s="31">
        <v>0</v>
      </c>
      <c r="CA104" s="31">
        <v>0</v>
      </c>
      <c r="CB104" s="31">
        <v>0</v>
      </c>
      <c r="CC104" s="31">
        <v>0</v>
      </c>
      <c r="CD104" s="31">
        <v>0</v>
      </c>
      <c r="CE104" s="31">
        <v>0</v>
      </c>
      <c r="CF104" s="38">
        <v>0</v>
      </c>
      <c r="CG104" s="67">
        <f t="shared" si="12"/>
        <v>0</v>
      </c>
      <c r="CH104" s="69">
        <f t="shared" si="13"/>
        <v>0</v>
      </c>
      <c r="CI104" s="30">
        <f t="shared" si="14"/>
        <v>0</v>
      </c>
      <c r="CJ104" s="30">
        <f t="shared" si="15"/>
        <v>0</v>
      </c>
      <c r="CK104" s="30">
        <f t="shared" si="16"/>
        <v>0</v>
      </c>
      <c r="CL104" s="67">
        <f t="shared" si="17"/>
        <v>0</v>
      </c>
      <c r="CM104" s="30">
        <v>0</v>
      </c>
      <c r="CN104" s="30">
        <v>0</v>
      </c>
      <c r="CO104" s="30">
        <v>0</v>
      </c>
      <c r="CP104" s="30">
        <v>0</v>
      </c>
      <c r="CQ104" s="67">
        <v>0</v>
      </c>
    </row>
    <row r="105" spans="1:95" x14ac:dyDescent="0.3">
      <c r="A105" s="13">
        <v>503</v>
      </c>
      <c r="B105" s="8" t="s">
        <v>3</v>
      </c>
      <c r="C105" s="8" t="s">
        <v>14</v>
      </c>
      <c r="D105" s="8" t="s">
        <v>4</v>
      </c>
      <c r="E105" s="8">
        <v>1</v>
      </c>
      <c r="F105" s="8" t="s">
        <v>6</v>
      </c>
      <c r="G105" s="8">
        <v>7.06</v>
      </c>
      <c r="H105" s="8">
        <v>2</v>
      </c>
      <c r="I105" s="8">
        <v>9.3439999999999994</v>
      </c>
      <c r="J105" s="8">
        <v>5.7649999999999997</v>
      </c>
      <c r="K105" s="8">
        <v>61.697345890410958</v>
      </c>
      <c r="L105" s="8">
        <v>18.342776203966004</v>
      </c>
      <c r="M105" s="7">
        <f t="shared" si="11"/>
        <v>0.89578707834407367</v>
      </c>
      <c r="N105" s="8">
        <v>49.01</v>
      </c>
      <c r="O105" s="8">
        <v>0.85599999999999998</v>
      </c>
      <c r="P105" s="8">
        <v>5.3529999999999998</v>
      </c>
      <c r="Q105" s="8">
        <v>3.0179999999999998</v>
      </c>
      <c r="R105" s="8">
        <v>2.1949999999999998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2">
        <v>0</v>
      </c>
      <c r="AG105" s="33">
        <v>0</v>
      </c>
      <c r="AH105" s="31">
        <v>0</v>
      </c>
      <c r="AI105" s="31">
        <v>0</v>
      </c>
      <c r="AJ105" s="32">
        <v>0</v>
      </c>
      <c r="AK105" s="34">
        <v>0</v>
      </c>
      <c r="AL105" s="35">
        <v>0</v>
      </c>
      <c r="AM105" s="35">
        <v>0</v>
      </c>
      <c r="AN105" s="36">
        <v>0</v>
      </c>
      <c r="AO105" s="35">
        <v>0</v>
      </c>
      <c r="AP105" s="32">
        <v>0</v>
      </c>
      <c r="AQ105" s="31">
        <v>0</v>
      </c>
      <c r="AR105" s="32">
        <v>0</v>
      </c>
      <c r="AS105" s="34">
        <v>0</v>
      </c>
      <c r="AT105" s="31">
        <v>0</v>
      </c>
      <c r="AU105" s="31">
        <v>0</v>
      </c>
      <c r="AV105" s="31">
        <v>0</v>
      </c>
      <c r="AW105" s="32">
        <v>0</v>
      </c>
      <c r="AX105" s="31">
        <v>0</v>
      </c>
      <c r="AY105" s="31">
        <v>0</v>
      </c>
      <c r="AZ105" s="32">
        <v>0</v>
      </c>
      <c r="BA105" s="31">
        <v>0</v>
      </c>
      <c r="BB105" s="31">
        <v>0</v>
      </c>
      <c r="BC105" s="32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1">
        <v>0</v>
      </c>
      <c r="BK105" s="32">
        <v>0</v>
      </c>
      <c r="BL105" s="32">
        <v>0</v>
      </c>
      <c r="BM105" s="32">
        <v>0</v>
      </c>
      <c r="BN105" s="32">
        <v>0</v>
      </c>
      <c r="BO105" s="32">
        <v>0</v>
      </c>
      <c r="BP105" s="31">
        <v>0</v>
      </c>
      <c r="BQ105" s="31">
        <v>0</v>
      </c>
      <c r="BR105" s="32">
        <v>0</v>
      </c>
      <c r="BS105" s="37">
        <v>0</v>
      </c>
      <c r="BT105" s="31">
        <v>0</v>
      </c>
      <c r="BU105" s="32">
        <v>0</v>
      </c>
      <c r="BV105" s="31">
        <v>0</v>
      </c>
      <c r="BW105" s="31">
        <v>0</v>
      </c>
      <c r="BX105" s="31">
        <v>0</v>
      </c>
      <c r="BY105" s="31">
        <v>0</v>
      </c>
      <c r="BZ105" s="31">
        <v>0</v>
      </c>
      <c r="CA105" s="31">
        <v>0</v>
      </c>
      <c r="CB105" s="31">
        <v>1</v>
      </c>
      <c r="CC105" s="31">
        <v>0</v>
      </c>
      <c r="CD105" s="31">
        <v>0</v>
      </c>
      <c r="CE105" s="31">
        <v>0</v>
      </c>
      <c r="CF105" s="38">
        <v>0</v>
      </c>
      <c r="CG105" s="67">
        <f t="shared" si="12"/>
        <v>1</v>
      </c>
      <c r="CH105" s="69">
        <f t="shared" si="13"/>
        <v>1</v>
      </c>
      <c r="CI105" s="30">
        <f t="shared" si="14"/>
        <v>0</v>
      </c>
      <c r="CJ105" s="30">
        <f t="shared" si="15"/>
        <v>0</v>
      </c>
      <c r="CK105" s="30">
        <f t="shared" si="16"/>
        <v>1</v>
      </c>
      <c r="CL105" s="67">
        <f t="shared" si="17"/>
        <v>1</v>
      </c>
      <c r="CM105" s="30">
        <v>0</v>
      </c>
      <c r="CN105" s="30">
        <v>0</v>
      </c>
      <c r="CO105" s="30">
        <v>0</v>
      </c>
      <c r="CP105" s="30">
        <v>1</v>
      </c>
      <c r="CQ105" s="67">
        <v>0</v>
      </c>
    </row>
    <row r="106" spans="1:95" x14ac:dyDescent="0.3">
      <c r="A106" s="13">
        <v>511</v>
      </c>
      <c r="B106" s="8" t="s">
        <v>3</v>
      </c>
      <c r="C106" s="8" t="s">
        <v>14</v>
      </c>
      <c r="D106" s="8" t="s">
        <v>4</v>
      </c>
      <c r="E106" s="8">
        <v>4</v>
      </c>
      <c r="F106" s="8" t="s">
        <v>6</v>
      </c>
      <c r="G106" s="8">
        <v>7.07</v>
      </c>
      <c r="H106" s="8">
        <v>2</v>
      </c>
      <c r="I106" s="8">
        <v>11.8621</v>
      </c>
      <c r="J106" s="8">
        <v>5.5041000000000002</v>
      </c>
      <c r="K106" s="8">
        <v>46.400721626019006</v>
      </c>
      <c r="L106" s="8">
        <v>22.14851485148515</v>
      </c>
      <c r="M106" s="7">
        <f t="shared" si="11"/>
        <v>0.94351439139778004</v>
      </c>
      <c r="N106" s="8">
        <v>48.39</v>
      </c>
      <c r="O106" s="8">
        <v>0.89800000000000002</v>
      </c>
      <c r="P106" s="8">
        <v>5.61</v>
      </c>
      <c r="Q106" s="8">
        <v>2.6339999999999999</v>
      </c>
      <c r="R106" s="8">
        <v>2.145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2">
        <v>0</v>
      </c>
      <c r="AG106" s="33">
        <v>15</v>
      </c>
      <c r="AH106" s="31">
        <v>0</v>
      </c>
      <c r="AI106" s="31">
        <v>0</v>
      </c>
      <c r="AJ106" s="32">
        <v>0</v>
      </c>
      <c r="AK106" s="34">
        <v>0</v>
      </c>
      <c r="AL106" s="35">
        <v>0</v>
      </c>
      <c r="AM106" s="35">
        <v>0</v>
      </c>
      <c r="AN106" s="36">
        <v>0</v>
      </c>
      <c r="AO106" s="35">
        <v>0</v>
      </c>
      <c r="AP106" s="32">
        <v>0</v>
      </c>
      <c r="AQ106" s="31">
        <v>0</v>
      </c>
      <c r="AR106" s="32">
        <v>0</v>
      </c>
      <c r="AS106" s="34">
        <v>0</v>
      </c>
      <c r="AT106" s="31">
        <v>0</v>
      </c>
      <c r="AU106" s="31">
        <v>0</v>
      </c>
      <c r="AV106" s="31">
        <v>0</v>
      </c>
      <c r="AW106" s="32">
        <v>0</v>
      </c>
      <c r="AX106" s="31">
        <v>0</v>
      </c>
      <c r="AY106" s="31">
        <v>0</v>
      </c>
      <c r="AZ106" s="32">
        <v>0</v>
      </c>
      <c r="BA106" s="31">
        <v>0</v>
      </c>
      <c r="BB106" s="31">
        <v>0</v>
      </c>
      <c r="BC106" s="32">
        <v>0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1">
        <v>0</v>
      </c>
      <c r="BK106" s="32">
        <v>0</v>
      </c>
      <c r="BL106" s="32">
        <v>0</v>
      </c>
      <c r="BM106" s="32">
        <v>0</v>
      </c>
      <c r="BN106" s="32">
        <v>0</v>
      </c>
      <c r="BO106" s="32">
        <v>0</v>
      </c>
      <c r="BP106" s="31">
        <v>0</v>
      </c>
      <c r="BQ106" s="31">
        <v>0</v>
      </c>
      <c r="BR106" s="32">
        <v>0</v>
      </c>
      <c r="BS106" s="37">
        <v>0</v>
      </c>
      <c r="BT106" s="31">
        <v>0</v>
      </c>
      <c r="BU106" s="32">
        <v>0</v>
      </c>
      <c r="BV106" s="31">
        <v>0</v>
      </c>
      <c r="BW106" s="31">
        <v>0</v>
      </c>
      <c r="BX106" s="31">
        <v>0</v>
      </c>
      <c r="BY106" s="31">
        <v>0</v>
      </c>
      <c r="BZ106" s="31">
        <v>0</v>
      </c>
      <c r="CA106" s="31">
        <v>0</v>
      </c>
      <c r="CB106" s="31">
        <v>0</v>
      </c>
      <c r="CC106" s="31">
        <v>0</v>
      </c>
      <c r="CD106" s="31">
        <v>0</v>
      </c>
      <c r="CE106" s="31">
        <v>0</v>
      </c>
      <c r="CF106" s="38">
        <v>0</v>
      </c>
      <c r="CG106" s="67">
        <f t="shared" si="12"/>
        <v>15</v>
      </c>
      <c r="CH106" s="69">
        <f t="shared" si="13"/>
        <v>1</v>
      </c>
      <c r="CI106" s="30">
        <f t="shared" si="14"/>
        <v>0</v>
      </c>
      <c r="CJ106" s="30">
        <f t="shared" si="15"/>
        <v>15</v>
      </c>
      <c r="CK106" s="30">
        <f t="shared" si="16"/>
        <v>0</v>
      </c>
      <c r="CL106" s="67">
        <f t="shared" si="17"/>
        <v>1</v>
      </c>
      <c r="CM106" s="30">
        <v>15</v>
      </c>
      <c r="CN106" s="30">
        <v>0</v>
      </c>
      <c r="CO106" s="30">
        <v>0</v>
      </c>
      <c r="CP106" s="30">
        <v>0</v>
      </c>
      <c r="CQ106" s="67">
        <v>1</v>
      </c>
    </row>
    <row r="107" spans="1:95" x14ac:dyDescent="0.3">
      <c r="A107" s="13">
        <v>516</v>
      </c>
      <c r="B107" s="8" t="s">
        <v>3</v>
      </c>
      <c r="C107" s="8" t="s">
        <v>1</v>
      </c>
      <c r="D107" s="8" t="s">
        <v>4</v>
      </c>
      <c r="E107" s="8">
        <v>3</v>
      </c>
      <c r="F107" s="8" t="s">
        <v>6</v>
      </c>
      <c r="G107" s="8">
        <v>6.95</v>
      </c>
      <c r="H107" s="8">
        <v>2</v>
      </c>
      <c r="I107" s="8">
        <v>12.857100000000001</v>
      </c>
      <c r="J107" s="8">
        <v>5.4420999999999999</v>
      </c>
      <c r="K107" s="8">
        <v>42.327585536396228</v>
      </c>
      <c r="L107" s="8">
        <v>21.696402877697846</v>
      </c>
      <c r="M107" s="7">
        <f t="shared" si="11"/>
        <v>0.9377238243472138</v>
      </c>
      <c r="N107" s="8">
        <v>47.73</v>
      </c>
      <c r="O107" s="8">
        <v>0.94499999999999995</v>
      </c>
      <c r="P107" s="8">
        <v>5.9059999999999997</v>
      </c>
      <c r="Q107" s="8">
        <v>2.286</v>
      </c>
      <c r="R107" s="8">
        <v>1.661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2">
        <v>0</v>
      </c>
      <c r="AG107" s="33">
        <v>0</v>
      </c>
      <c r="AH107" s="31">
        <v>0</v>
      </c>
      <c r="AI107" s="31">
        <v>0</v>
      </c>
      <c r="AJ107" s="32">
        <v>0</v>
      </c>
      <c r="AK107" s="34">
        <v>0</v>
      </c>
      <c r="AL107" s="35">
        <v>0</v>
      </c>
      <c r="AM107" s="35">
        <v>1</v>
      </c>
      <c r="AN107" s="36">
        <v>0</v>
      </c>
      <c r="AO107" s="35">
        <v>0</v>
      </c>
      <c r="AP107" s="32">
        <v>1</v>
      </c>
      <c r="AQ107" s="31">
        <v>0</v>
      </c>
      <c r="AR107" s="32">
        <v>0</v>
      </c>
      <c r="AS107" s="34">
        <v>0</v>
      </c>
      <c r="AT107" s="31">
        <v>0</v>
      </c>
      <c r="AU107" s="31">
        <v>0</v>
      </c>
      <c r="AV107" s="31">
        <v>0</v>
      </c>
      <c r="AW107" s="32">
        <v>0</v>
      </c>
      <c r="AX107" s="31">
        <v>0</v>
      </c>
      <c r="AY107" s="31">
        <v>0</v>
      </c>
      <c r="AZ107" s="32">
        <v>0</v>
      </c>
      <c r="BA107" s="31">
        <v>0</v>
      </c>
      <c r="BB107" s="31">
        <v>0</v>
      </c>
      <c r="BC107" s="32">
        <v>0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1">
        <v>0</v>
      </c>
      <c r="BK107" s="32">
        <v>0</v>
      </c>
      <c r="BL107" s="32">
        <v>0</v>
      </c>
      <c r="BM107" s="32">
        <v>0</v>
      </c>
      <c r="BN107" s="32">
        <v>0</v>
      </c>
      <c r="BO107" s="32">
        <v>0</v>
      </c>
      <c r="BP107" s="31">
        <v>0</v>
      </c>
      <c r="BQ107" s="31">
        <v>0</v>
      </c>
      <c r="BR107" s="32">
        <v>0</v>
      </c>
      <c r="BS107" s="37">
        <v>0</v>
      </c>
      <c r="BT107" s="31">
        <v>0</v>
      </c>
      <c r="BU107" s="32">
        <v>0</v>
      </c>
      <c r="BV107" s="31">
        <v>0</v>
      </c>
      <c r="BW107" s="31">
        <v>0</v>
      </c>
      <c r="BX107" s="31">
        <v>0</v>
      </c>
      <c r="BY107" s="31">
        <v>0</v>
      </c>
      <c r="BZ107" s="31">
        <v>0</v>
      </c>
      <c r="CA107" s="31">
        <v>0</v>
      </c>
      <c r="CB107" s="31">
        <v>0</v>
      </c>
      <c r="CC107" s="31">
        <v>0</v>
      </c>
      <c r="CD107" s="31">
        <v>0</v>
      </c>
      <c r="CE107" s="31">
        <v>0</v>
      </c>
      <c r="CF107" s="38">
        <v>0</v>
      </c>
      <c r="CG107" s="67">
        <f t="shared" si="12"/>
        <v>2</v>
      </c>
      <c r="CH107" s="69">
        <f t="shared" si="13"/>
        <v>2</v>
      </c>
      <c r="CI107" s="30">
        <f t="shared" si="14"/>
        <v>0</v>
      </c>
      <c r="CJ107" s="30">
        <f t="shared" si="15"/>
        <v>1</v>
      </c>
      <c r="CK107" s="30">
        <f t="shared" si="16"/>
        <v>0</v>
      </c>
      <c r="CL107" s="67">
        <f t="shared" si="17"/>
        <v>1</v>
      </c>
      <c r="CM107" s="30">
        <v>2</v>
      </c>
      <c r="CN107" s="30">
        <v>0</v>
      </c>
      <c r="CO107" s="30">
        <v>0</v>
      </c>
      <c r="CP107" s="30">
        <v>0</v>
      </c>
      <c r="CQ107" s="67">
        <v>1</v>
      </c>
    </row>
    <row r="108" spans="1:95" x14ac:dyDescent="0.3">
      <c r="A108" s="13">
        <v>522</v>
      </c>
      <c r="B108" s="8" t="s">
        <v>3</v>
      </c>
      <c r="C108" s="8" t="s">
        <v>14</v>
      </c>
      <c r="D108" s="8" t="s">
        <v>4</v>
      </c>
      <c r="E108" s="8">
        <v>3</v>
      </c>
      <c r="F108" s="8" t="s">
        <v>6</v>
      </c>
      <c r="G108" s="8">
        <v>7.07</v>
      </c>
      <c r="H108" s="8">
        <v>2</v>
      </c>
      <c r="I108" s="8">
        <v>8.6791</v>
      </c>
      <c r="J108" s="8">
        <v>5.8181000000000003</v>
      </c>
      <c r="K108" s="8">
        <v>67.03575255498842</v>
      </c>
      <c r="L108" s="8">
        <v>17.707213578500706</v>
      </c>
      <c r="M108" s="7">
        <f t="shared" si="11"/>
        <v>0.88803391250600316</v>
      </c>
      <c r="N108" s="8">
        <v>48.4</v>
      </c>
      <c r="O108" s="8">
        <v>0.98499999999999999</v>
      </c>
      <c r="P108" s="8">
        <v>6.1550000000000002</v>
      </c>
      <c r="Q108" s="8">
        <v>3.161</v>
      </c>
      <c r="R108" s="8">
        <v>1.7889999999999999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2">
        <v>0</v>
      </c>
      <c r="AG108" s="33">
        <v>1</v>
      </c>
      <c r="AH108" s="31">
        <v>0</v>
      </c>
      <c r="AI108" s="31">
        <v>0</v>
      </c>
      <c r="AJ108" s="32">
        <v>0</v>
      </c>
      <c r="AK108" s="34">
        <v>0</v>
      </c>
      <c r="AL108" s="35">
        <v>0</v>
      </c>
      <c r="AM108" s="35">
        <v>0</v>
      </c>
      <c r="AN108" s="36">
        <v>0</v>
      </c>
      <c r="AO108" s="35">
        <v>0</v>
      </c>
      <c r="AP108" s="32">
        <v>0</v>
      </c>
      <c r="AQ108" s="31">
        <v>0</v>
      </c>
      <c r="AR108" s="32">
        <v>0</v>
      </c>
      <c r="AS108" s="34">
        <v>0</v>
      </c>
      <c r="AT108" s="31">
        <v>0</v>
      </c>
      <c r="AU108" s="31">
        <v>0</v>
      </c>
      <c r="AV108" s="31">
        <v>0</v>
      </c>
      <c r="AW108" s="32">
        <v>0</v>
      </c>
      <c r="AX108" s="31">
        <v>0</v>
      </c>
      <c r="AY108" s="31">
        <v>0</v>
      </c>
      <c r="AZ108" s="32">
        <v>0</v>
      </c>
      <c r="BA108" s="31">
        <v>0</v>
      </c>
      <c r="BB108" s="31">
        <v>0</v>
      </c>
      <c r="BC108" s="32">
        <v>0</v>
      </c>
      <c r="BD108" s="31">
        <v>0</v>
      </c>
      <c r="BE108" s="31">
        <v>0</v>
      </c>
      <c r="BF108" s="31">
        <v>0</v>
      </c>
      <c r="BG108" s="31">
        <v>0</v>
      </c>
      <c r="BH108" s="31">
        <v>0</v>
      </c>
      <c r="BI108" s="31">
        <v>0</v>
      </c>
      <c r="BJ108" s="31">
        <v>0</v>
      </c>
      <c r="BK108" s="32">
        <v>0</v>
      </c>
      <c r="BL108" s="32">
        <v>0</v>
      </c>
      <c r="BM108" s="32">
        <v>0</v>
      </c>
      <c r="BN108" s="32">
        <v>0</v>
      </c>
      <c r="BO108" s="32">
        <v>0</v>
      </c>
      <c r="BP108" s="31">
        <v>0</v>
      </c>
      <c r="BQ108" s="31">
        <v>0</v>
      </c>
      <c r="BR108" s="32">
        <v>0</v>
      </c>
      <c r="BS108" s="37">
        <v>0</v>
      </c>
      <c r="BT108" s="31">
        <v>0</v>
      </c>
      <c r="BU108" s="32">
        <v>0</v>
      </c>
      <c r="BV108" s="31">
        <v>0</v>
      </c>
      <c r="BW108" s="31">
        <v>0</v>
      </c>
      <c r="BX108" s="31">
        <v>0</v>
      </c>
      <c r="BY108" s="31">
        <v>0</v>
      </c>
      <c r="BZ108" s="31">
        <v>0</v>
      </c>
      <c r="CA108" s="31">
        <v>0</v>
      </c>
      <c r="CB108" s="31">
        <v>0</v>
      </c>
      <c r="CC108" s="31">
        <v>0</v>
      </c>
      <c r="CD108" s="31">
        <v>0</v>
      </c>
      <c r="CE108" s="31">
        <v>0</v>
      </c>
      <c r="CF108" s="38">
        <v>0</v>
      </c>
      <c r="CG108" s="67">
        <f t="shared" si="12"/>
        <v>1</v>
      </c>
      <c r="CH108" s="69">
        <f t="shared" si="13"/>
        <v>1</v>
      </c>
      <c r="CI108" s="30">
        <f t="shared" si="14"/>
        <v>0</v>
      </c>
      <c r="CJ108" s="30">
        <f t="shared" si="15"/>
        <v>1</v>
      </c>
      <c r="CK108" s="30">
        <f t="shared" si="16"/>
        <v>0</v>
      </c>
      <c r="CL108" s="67">
        <f t="shared" si="17"/>
        <v>1</v>
      </c>
      <c r="CM108" s="30">
        <v>1</v>
      </c>
      <c r="CN108" s="30">
        <v>0</v>
      </c>
      <c r="CO108" s="30">
        <v>0</v>
      </c>
      <c r="CP108" s="30">
        <v>0</v>
      </c>
      <c r="CQ108" s="67">
        <v>1</v>
      </c>
    </row>
    <row r="109" spans="1:95" x14ac:dyDescent="0.3">
      <c r="A109" s="13">
        <v>534</v>
      </c>
      <c r="B109" s="8" t="s">
        <v>3</v>
      </c>
      <c r="C109" s="8" t="s">
        <v>14</v>
      </c>
      <c r="D109" s="8" t="s">
        <v>4</v>
      </c>
      <c r="E109" s="8">
        <v>5</v>
      </c>
      <c r="F109" s="8" t="s">
        <v>6</v>
      </c>
      <c r="G109" s="8">
        <v>7.04</v>
      </c>
      <c r="H109" s="8">
        <v>2</v>
      </c>
      <c r="I109" s="8">
        <v>13.4589</v>
      </c>
      <c r="J109" s="8">
        <v>5.6740000000000004</v>
      </c>
      <c r="K109" s="8">
        <v>42.15797724925514</v>
      </c>
      <c r="L109" s="8">
        <v>19.403409090909086</v>
      </c>
      <c r="M109" s="7">
        <f t="shared" si="11"/>
        <v>0.90886101434323663</v>
      </c>
      <c r="N109" s="8">
        <v>48.68</v>
      </c>
      <c r="O109" s="8">
        <v>1.0289999999999999</v>
      </c>
      <c r="P109" s="8">
        <v>6.4329999999999998</v>
      </c>
      <c r="Q109" s="8">
        <v>2.0110000000000001</v>
      </c>
      <c r="R109" s="8">
        <v>2.1680000000000001</v>
      </c>
      <c r="S109" s="31">
        <v>13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1</v>
      </c>
      <c r="AF109" s="32">
        <v>0</v>
      </c>
      <c r="AG109" s="33">
        <v>0</v>
      </c>
      <c r="AH109" s="31">
        <v>0</v>
      </c>
      <c r="AI109" s="31">
        <v>0</v>
      </c>
      <c r="AJ109" s="32">
        <v>0</v>
      </c>
      <c r="AK109" s="34">
        <v>1</v>
      </c>
      <c r="AL109" s="35">
        <v>0</v>
      </c>
      <c r="AM109" s="35">
        <v>0</v>
      </c>
      <c r="AN109" s="36">
        <v>0</v>
      </c>
      <c r="AO109" s="35">
        <v>0</v>
      </c>
      <c r="AP109" s="32">
        <v>15</v>
      </c>
      <c r="AQ109" s="31">
        <v>0</v>
      </c>
      <c r="AR109" s="32">
        <v>0</v>
      </c>
      <c r="AS109" s="34">
        <v>0</v>
      </c>
      <c r="AT109" s="31">
        <v>0</v>
      </c>
      <c r="AU109" s="31">
        <v>0</v>
      </c>
      <c r="AV109" s="31">
        <v>0</v>
      </c>
      <c r="AW109" s="32">
        <v>0</v>
      </c>
      <c r="AX109" s="31">
        <v>0</v>
      </c>
      <c r="AY109" s="31">
        <v>0</v>
      </c>
      <c r="AZ109" s="32">
        <v>0</v>
      </c>
      <c r="BA109" s="31">
        <v>0</v>
      </c>
      <c r="BB109" s="31">
        <v>0</v>
      </c>
      <c r="BC109" s="32">
        <v>0</v>
      </c>
      <c r="BD109" s="31">
        <v>0</v>
      </c>
      <c r="BE109" s="31">
        <v>0</v>
      </c>
      <c r="BF109" s="31">
        <v>0</v>
      </c>
      <c r="BG109" s="31">
        <v>0</v>
      </c>
      <c r="BH109" s="31">
        <v>0</v>
      </c>
      <c r="BI109" s="31">
        <v>0</v>
      </c>
      <c r="BJ109" s="31">
        <v>0</v>
      </c>
      <c r="BK109" s="32">
        <v>1</v>
      </c>
      <c r="BL109" s="32">
        <v>0</v>
      </c>
      <c r="BM109" s="32">
        <v>0</v>
      </c>
      <c r="BN109" s="32">
        <v>0</v>
      </c>
      <c r="BO109" s="32">
        <v>0</v>
      </c>
      <c r="BP109" s="31">
        <v>0</v>
      </c>
      <c r="BQ109" s="31">
        <v>0</v>
      </c>
      <c r="BR109" s="32">
        <v>0</v>
      </c>
      <c r="BS109" s="37">
        <v>0</v>
      </c>
      <c r="BT109" s="31">
        <v>0</v>
      </c>
      <c r="BU109" s="32">
        <v>0</v>
      </c>
      <c r="BV109" s="31">
        <v>0</v>
      </c>
      <c r="BW109" s="31">
        <v>0</v>
      </c>
      <c r="BX109" s="31">
        <v>0</v>
      </c>
      <c r="BY109" s="31">
        <v>0</v>
      </c>
      <c r="BZ109" s="31">
        <v>0</v>
      </c>
      <c r="CA109" s="31">
        <v>0</v>
      </c>
      <c r="CB109" s="31">
        <v>0</v>
      </c>
      <c r="CC109" s="31">
        <v>0</v>
      </c>
      <c r="CD109" s="31">
        <v>0</v>
      </c>
      <c r="CE109" s="31">
        <v>0</v>
      </c>
      <c r="CF109" s="38">
        <v>0</v>
      </c>
      <c r="CG109" s="67">
        <f t="shared" si="12"/>
        <v>31</v>
      </c>
      <c r="CH109" s="69">
        <f t="shared" si="13"/>
        <v>5</v>
      </c>
      <c r="CI109" s="30">
        <f t="shared" si="14"/>
        <v>0</v>
      </c>
      <c r="CJ109" s="30">
        <f t="shared" si="15"/>
        <v>14</v>
      </c>
      <c r="CK109" s="30">
        <f t="shared" si="16"/>
        <v>2</v>
      </c>
      <c r="CL109" s="67">
        <f t="shared" si="17"/>
        <v>2</v>
      </c>
      <c r="CM109" s="30">
        <v>30</v>
      </c>
      <c r="CN109" s="30">
        <v>0</v>
      </c>
      <c r="CO109" s="30">
        <v>1</v>
      </c>
      <c r="CP109" s="30">
        <v>0</v>
      </c>
      <c r="CQ109" s="67">
        <v>1</v>
      </c>
    </row>
    <row r="110" spans="1:95" x14ac:dyDescent="0.3">
      <c r="A110" s="13">
        <v>535</v>
      </c>
      <c r="B110" s="8" t="s">
        <v>3</v>
      </c>
      <c r="C110" s="8" t="s">
        <v>1</v>
      </c>
      <c r="D110" s="8" t="s">
        <v>4</v>
      </c>
      <c r="E110" s="8">
        <v>5</v>
      </c>
      <c r="F110" s="8" t="s">
        <v>6</v>
      </c>
      <c r="G110" s="8">
        <v>7.02</v>
      </c>
      <c r="H110" s="8">
        <v>2</v>
      </c>
      <c r="I110" s="8">
        <v>11.8911</v>
      </c>
      <c r="J110" s="8">
        <v>5.7130999999999998</v>
      </c>
      <c r="K110" s="8">
        <v>48.045176644717479</v>
      </c>
      <c r="L110" s="8">
        <v>18.616809116809112</v>
      </c>
      <c r="M110" s="7">
        <f t="shared" si="11"/>
        <v>0.89914861507014565</v>
      </c>
      <c r="N110" s="8">
        <v>47.78</v>
      </c>
      <c r="O110" s="8">
        <v>0.84799999999999998</v>
      </c>
      <c r="P110" s="8">
        <v>5.3</v>
      </c>
      <c r="Q110" s="8">
        <v>2.5419999999999998</v>
      </c>
      <c r="R110" s="8">
        <v>1.798</v>
      </c>
      <c r="S110" s="31">
        <v>8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2">
        <v>0</v>
      </c>
      <c r="AG110" s="33">
        <v>1</v>
      </c>
      <c r="AH110" s="31">
        <v>0</v>
      </c>
      <c r="AI110" s="31">
        <v>0</v>
      </c>
      <c r="AJ110" s="32">
        <v>0</v>
      </c>
      <c r="AK110" s="34">
        <v>0</v>
      </c>
      <c r="AL110" s="35">
        <v>0</v>
      </c>
      <c r="AM110" s="35">
        <v>0</v>
      </c>
      <c r="AN110" s="36">
        <v>0</v>
      </c>
      <c r="AO110" s="35">
        <v>0</v>
      </c>
      <c r="AP110" s="32">
        <v>0</v>
      </c>
      <c r="AQ110" s="31">
        <v>0</v>
      </c>
      <c r="AR110" s="32">
        <v>0</v>
      </c>
      <c r="AS110" s="34">
        <v>0</v>
      </c>
      <c r="AT110" s="31">
        <v>0</v>
      </c>
      <c r="AU110" s="31">
        <v>0</v>
      </c>
      <c r="AV110" s="31">
        <v>0</v>
      </c>
      <c r="AW110" s="32">
        <v>0</v>
      </c>
      <c r="AX110" s="31">
        <v>0</v>
      </c>
      <c r="AY110" s="31">
        <v>0</v>
      </c>
      <c r="AZ110" s="32">
        <v>0</v>
      </c>
      <c r="BA110" s="31">
        <v>0</v>
      </c>
      <c r="BB110" s="31">
        <v>0</v>
      </c>
      <c r="BC110" s="32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1">
        <v>0</v>
      </c>
      <c r="BK110" s="32">
        <v>0</v>
      </c>
      <c r="BL110" s="32">
        <v>0</v>
      </c>
      <c r="BM110" s="32">
        <v>0</v>
      </c>
      <c r="BN110" s="32">
        <v>0</v>
      </c>
      <c r="BO110" s="32">
        <v>0</v>
      </c>
      <c r="BP110" s="31">
        <v>0</v>
      </c>
      <c r="BQ110" s="31">
        <v>0</v>
      </c>
      <c r="BR110" s="32">
        <v>0</v>
      </c>
      <c r="BS110" s="37">
        <v>0</v>
      </c>
      <c r="BT110" s="31">
        <v>0</v>
      </c>
      <c r="BU110" s="32">
        <v>0</v>
      </c>
      <c r="BV110" s="31">
        <v>0</v>
      </c>
      <c r="BW110" s="31">
        <v>0</v>
      </c>
      <c r="BX110" s="31">
        <v>0</v>
      </c>
      <c r="BY110" s="31">
        <v>0</v>
      </c>
      <c r="BZ110" s="31">
        <v>0</v>
      </c>
      <c r="CA110" s="31">
        <v>0</v>
      </c>
      <c r="CB110" s="31">
        <v>0</v>
      </c>
      <c r="CC110" s="31">
        <v>1</v>
      </c>
      <c r="CD110" s="31">
        <v>0</v>
      </c>
      <c r="CE110" s="31">
        <v>0</v>
      </c>
      <c r="CF110" s="38">
        <v>0</v>
      </c>
      <c r="CG110" s="67">
        <f t="shared" si="12"/>
        <v>10</v>
      </c>
      <c r="CH110" s="69">
        <f t="shared" si="13"/>
        <v>3</v>
      </c>
      <c r="CI110" s="30">
        <f t="shared" si="14"/>
        <v>0</v>
      </c>
      <c r="CJ110" s="30">
        <f t="shared" si="15"/>
        <v>9</v>
      </c>
      <c r="CK110" s="30">
        <f t="shared" si="16"/>
        <v>1</v>
      </c>
      <c r="CL110" s="67">
        <f t="shared" si="17"/>
        <v>2</v>
      </c>
      <c r="CM110" s="30">
        <v>9</v>
      </c>
      <c r="CN110" s="30">
        <v>0</v>
      </c>
      <c r="CO110" s="30">
        <v>0</v>
      </c>
      <c r="CP110" s="30">
        <v>1</v>
      </c>
      <c r="CQ110" s="67">
        <v>1</v>
      </c>
    </row>
    <row r="111" spans="1:95" x14ac:dyDescent="0.3">
      <c r="A111" s="13">
        <v>605</v>
      </c>
      <c r="B111" s="8" t="s">
        <v>3</v>
      </c>
      <c r="C111" s="8" t="s">
        <v>1</v>
      </c>
      <c r="D111" s="8" t="s">
        <v>5</v>
      </c>
      <c r="E111" s="8">
        <v>1</v>
      </c>
      <c r="F111" s="8" t="s">
        <v>6</v>
      </c>
      <c r="G111" s="8">
        <v>7.01</v>
      </c>
      <c r="H111" s="8">
        <v>2</v>
      </c>
      <c r="I111" s="8">
        <v>9.8770000000000007</v>
      </c>
      <c r="J111" s="8">
        <v>4.8959999999999999</v>
      </c>
      <c r="K111" s="8">
        <v>49.569707401032694</v>
      </c>
      <c r="L111" s="8">
        <v>30.156918687589158</v>
      </c>
      <c r="M111" s="7">
        <f t="shared" si="11"/>
        <v>1.0520663363964191</v>
      </c>
      <c r="N111" s="8">
        <v>47.34</v>
      </c>
      <c r="O111" s="8">
        <v>2.2909999999999999</v>
      </c>
      <c r="P111" s="8">
        <v>14.321999999999999</v>
      </c>
      <c r="Q111" s="8">
        <v>0.77600000000000002</v>
      </c>
      <c r="R111" s="8">
        <v>0.91400000000000003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2">
        <v>0</v>
      </c>
      <c r="AG111" s="33">
        <v>0</v>
      </c>
      <c r="AH111" s="31">
        <v>0</v>
      </c>
      <c r="AI111" s="31">
        <v>0</v>
      </c>
      <c r="AJ111" s="32">
        <v>0</v>
      </c>
      <c r="AK111" s="34">
        <v>0</v>
      </c>
      <c r="AL111" s="35">
        <v>0</v>
      </c>
      <c r="AM111" s="35">
        <v>0</v>
      </c>
      <c r="AN111" s="36">
        <v>0</v>
      </c>
      <c r="AO111" s="35">
        <v>0</v>
      </c>
      <c r="AP111" s="32">
        <v>0</v>
      </c>
      <c r="AQ111" s="31">
        <v>0</v>
      </c>
      <c r="AR111" s="32">
        <v>0</v>
      </c>
      <c r="AS111" s="34">
        <v>0</v>
      </c>
      <c r="AT111" s="31">
        <v>0</v>
      </c>
      <c r="AU111" s="31">
        <v>0</v>
      </c>
      <c r="AV111" s="31">
        <v>0</v>
      </c>
      <c r="AW111" s="32">
        <v>0</v>
      </c>
      <c r="AX111" s="31">
        <v>0</v>
      </c>
      <c r="AY111" s="31">
        <v>0</v>
      </c>
      <c r="AZ111" s="32">
        <v>0</v>
      </c>
      <c r="BA111" s="31">
        <v>0</v>
      </c>
      <c r="BB111" s="31">
        <v>0</v>
      </c>
      <c r="BC111" s="32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0</v>
      </c>
      <c r="BJ111" s="31">
        <v>0</v>
      </c>
      <c r="BK111" s="32">
        <v>0</v>
      </c>
      <c r="BL111" s="32">
        <v>0</v>
      </c>
      <c r="BM111" s="32">
        <v>0</v>
      </c>
      <c r="BN111" s="32">
        <v>0</v>
      </c>
      <c r="BO111" s="32">
        <v>0</v>
      </c>
      <c r="BP111" s="31">
        <v>0</v>
      </c>
      <c r="BQ111" s="31">
        <v>0</v>
      </c>
      <c r="BR111" s="32">
        <v>0</v>
      </c>
      <c r="BS111" s="37">
        <v>0</v>
      </c>
      <c r="BT111" s="31">
        <v>0</v>
      </c>
      <c r="BU111" s="32">
        <v>0</v>
      </c>
      <c r="BV111" s="31">
        <v>0</v>
      </c>
      <c r="BW111" s="31">
        <v>0</v>
      </c>
      <c r="BX111" s="31">
        <v>0</v>
      </c>
      <c r="BY111" s="31">
        <v>0</v>
      </c>
      <c r="BZ111" s="31">
        <v>0</v>
      </c>
      <c r="CA111" s="31">
        <v>0</v>
      </c>
      <c r="CB111" s="31">
        <v>0</v>
      </c>
      <c r="CC111" s="31">
        <v>0</v>
      </c>
      <c r="CD111" s="31">
        <v>0</v>
      </c>
      <c r="CE111" s="31">
        <v>0</v>
      </c>
      <c r="CF111" s="38">
        <v>0</v>
      </c>
      <c r="CG111" s="67">
        <f t="shared" si="12"/>
        <v>0</v>
      </c>
      <c r="CH111" s="69">
        <f t="shared" si="13"/>
        <v>0</v>
      </c>
      <c r="CI111" s="30">
        <f t="shared" si="14"/>
        <v>0</v>
      </c>
      <c r="CJ111" s="30">
        <f t="shared" si="15"/>
        <v>0</v>
      </c>
      <c r="CK111" s="30">
        <f t="shared" si="16"/>
        <v>0</v>
      </c>
      <c r="CL111" s="67">
        <f t="shared" si="17"/>
        <v>0</v>
      </c>
      <c r="CM111" s="30">
        <v>0</v>
      </c>
      <c r="CN111" s="30">
        <v>0</v>
      </c>
      <c r="CO111" s="30">
        <v>0</v>
      </c>
      <c r="CP111" s="30">
        <v>0</v>
      </c>
      <c r="CQ111" s="67">
        <v>0</v>
      </c>
    </row>
    <row r="112" spans="1:95" x14ac:dyDescent="0.3">
      <c r="A112" s="13">
        <v>606</v>
      </c>
      <c r="B112" s="8" t="s">
        <v>3</v>
      </c>
      <c r="C112" s="8" t="s">
        <v>1</v>
      </c>
      <c r="D112" s="8" t="s">
        <v>5</v>
      </c>
      <c r="E112" s="8">
        <v>4</v>
      </c>
      <c r="F112" s="8" t="s">
        <v>6</v>
      </c>
      <c r="G112" s="8">
        <v>6.98</v>
      </c>
      <c r="H112" s="8">
        <v>2</v>
      </c>
      <c r="I112" s="8">
        <v>8.3082999999999991</v>
      </c>
      <c r="J112" s="8">
        <v>5.0007000000000001</v>
      </c>
      <c r="K112" s="8">
        <v>60.189208381979476</v>
      </c>
      <c r="L112" s="8">
        <v>28.356733524355306</v>
      </c>
      <c r="M112" s="7">
        <f t="shared" si="11"/>
        <v>1.0266181946992115</v>
      </c>
      <c r="N112" s="8">
        <v>49.3</v>
      </c>
      <c r="O112" s="8">
        <v>1.056</v>
      </c>
      <c r="P112" s="8">
        <v>5.8949999999999996</v>
      </c>
      <c r="Q112" s="8">
        <v>0.68700000000000006</v>
      </c>
      <c r="R112" s="8">
        <v>1.0149999999999999</v>
      </c>
      <c r="S112" s="31">
        <v>14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1">
        <v>0</v>
      </c>
      <c r="AE112" s="31">
        <v>0</v>
      </c>
      <c r="AF112" s="32">
        <v>0</v>
      </c>
      <c r="AG112" s="33">
        <v>0</v>
      </c>
      <c r="AH112" s="31">
        <v>3</v>
      </c>
      <c r="AI112" s="31">
        <v>0</v>
      </c>
      <c r="AJ112" s="32">
        <v>0</v>
      </c>
      <c r="AK112" s="34">
        <v>2</v>
      </c>
      <c r="AL112" s="35">
        <v>0</v>
      </c>
      <c r="AM112" s="35">
        <v>0</v>
      </c>
      <c r="AN112" s="36">
        <v>0</v>
      </c>
      <c r="AO112" s="35">
        <v>1</v>
      </c>
      <c r="AP112" s="32">
        <v>0</v>
      </c>
      <c r="AQ112" s="31">
        <v>0</v>
      </c>
      <c r="AR112" s="32">
        <v>0</v>
      </c>
      <c r="AS112" s="34">
        <v>0</v>
      </c>
      <c r="AT112" s="31">
        <v>0</v>
      </c>
      <c r="AU112" s="31">
        <v>0</v>
      </c>
      <c r="AV112" s="31">
        <v>0</v>
      </c>
      <c r="AW112" s="32">
        <v>0</v>
      </c>
      <c r="AX112" s="31">
        <v>0</v>
      </c>
      <c r="AY112" s="31">
        <v>0</v>
      </c>
      <c r="AZ112" s="32">
        <v>0</v>
      </c>
      <c r="BA112" s="31">
        <v>0</v>
      </c>
      <c r="BB112" s="31">
        <v>0</v>
      </c>
      <c r="BC112" s="32">
        <v>0</v>
      </c>
      <c r="BD112" s="31">
        <v>0</v>
      </c>
      <c r="BE112" s="31">
        <v>0</v>
      </c>
      <c r="BF112" s="31">
        <v>0</v>
      </c>
      <c r="BG112" s="31">
        <v>0</v>
      </c>
      <c r="BH112" s="31">
        <v>0</v>
      </c>
      <c r="BI112" s="31">
        <v>0</v>
      </c>
      <c r="BJ112" s="31">
        <v>0</v>
      </c>
      <c r="BK112" s="32">
        <v>0</v>
      </c>
      <c r="BL112" s="32">
        <v>0</v>
      </c>
      <c r="BM112" s="32">
        <v>0</v>
      </c>
      <c r="BN112" s="32">
        <v>0</v>
      </c>
      <c r="BO112" s="32">
        <v>0</v>
      </c>
      <c r="BP112" s="31">
        <v>0</v>
      </c>
      <c r="BQ112" s="31">
        <v>0</v>
      </c>
      <c r="BR112" s="32">
        <v>0</v>
      </c>
      <c r="BS112" s="37">
        <v>0</v>
      </c>
      <c r="BT112" s="31">
        <v>0</v>
      </c>
      <c r="BU112" s="32">
        <v>0</v>
      </c>
      <c r="BV112" s="31">
        <v>0</v>
      </c>
      <c r="BW112" s="31">
        <v>0</v>
      </c>
      <c r="BX112" s="31">
        <v>0</v>
      </c>
      <c r="BY112" s="31">
        <v>0</v>
      </c>
      <c r="BZ112" s="31">
        <v>0</v>
      </c>
      <c r="CA112" s="31">
        <v>0</v>
      </c>
      <c r="CB112" s="31">
        <v>0</v>
      </c>
      <c r="CC112" s="31">
        <v>0</v>
      </c>
      <c r="CD112" s="31">
        <v>0</v>
      </c>
      <c r="CE112" s="31">
        <v>0</v>
      </c>
      <c r="CF112" s="38">
        <v>0</v>
      </c>
      <c r="CG112" s="67">
        <f t="shared" si="12"/>
        <v>20</v>
      </c>
      <c r="CH112" s="69">
        <f t="shared" si="13"/>
        <v>4</v>
      </c>
      <c r="CI112" s="30">
        <f t="shared" si="14"/>
        <v>0</v>
      </c>
      <c r="CJ112" s="30">
        <f t="shared" si="15"/>
        <v>18</v>
      </c>
      <c r="CK112" s="30">
        <f t="shared" si="16"/>
        <v>2</v>
      </c>
      <c r="CL112" s="67">
        <f t="shared" si="17"/>
        <v>2</v>
      </c>
      <c r="CM112" s="30">
        <v>20</v>
      </c>
      <c r="CN112" s="30">
        <v>0</v>
      </c>
      <c r="CO112" s="30">
        <v>0</v>
      </c>
      <c r="CP112" s="30">
        <v>0</v>
      </c>
      <c r="CQ112" s="67">
        <v>1</v>
      </c>
    </row>
    <row r="113" spans="1:95" x14ac:dyDescent="0.3">
      <c r="A113" s="13">
        <v>616</v>
      </c>
      <c r="B113" s="8" t="s">
        <v>3</v>
      </c>
      <c r="C113" s="8" t="s">
        <v>1</v>
      </c>
      <c r="D113" s="8" t="s">
        <v>5</v>
      </c>
      <c r="E113" s="8">
        <v>3</v>
      </c>
      <c r="F113" s="8" t="s">
        <v>6</v>
      </c>
      <c r="G113" s="8">
        <v>6.98</v>
      </c>
      <c r="H113" s="8">
        <v>2</v>
      </c>
      <c r="I113" s="8">
        <v>13.4589</v>
      </c>
      <c r="J113" s="8">
        <v>5.5312999999999999</v>
      </c>
      <c r="K113" s="8">
        <v>41.097712294466859</v>
      </c>
      <c r="L113" s="8">
        <v>20.755014326647572</v>
      </c>
      <c r="M113" s="7">
        <f t="shared" si="11"/>
        <v>0.9257732280529577</v>
      </c>
      <c r="N113" s="8">
        <v>47.02</v>
      </c>
      <c r="O113" s="8">
        <v>1.022</v>
      </c>
      <c r="P113" s="8">
        <v>6.3849999999999998</v>
      </c>
      <c r="Q113" s="8">
        <v>0.98899999999999999</v>
      </c>
      <c r="R113" s="8">
        <v>1.1850000000000001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0</v>
      </c>
      <c r="AF113" s="32">
        <v>0</v>
      </c>
      <c r="AG113" s="33">
        <v>0</v>
      </c>
      <c r="AH113" s="31">
        <v>1</v>
      </c>
      <c r="AI113" s="31">
        <v>0</v>
      </c>
      <c r="AJ113" s="32">
        <v>0</v>
      </c>
      <c r="AK113" s="34">
        <v>0</v>
      </c>
      <c r="AL113" s="35">
        <v>0</v>
      </c>
      <c r="AM113" s="35">
        <v>0</v>
      </c>
      <c r="AN113" s="36">
        <v>0</v>
      </c>
      <c r="AO113" s="35">
        <v>0</v>
      </c>
      <c r="AP113" s="32">
        <v>1</v>
      </c>
      <c r="AQ113" s="31">
        <v>0</v>
      </c>
      <c r="AR113" s="32">
        <v>0</v>
      </c>
      <c r="AS113" s="34">
        <v>0</v>
      </c>
      <c r="AT113" s="31">
        <v>0</v>
      </c>
      <c r="AU113" s="31">
        <v>0</v>
      </c>
      <c r="AV113" s="31">
        <v>0</v>
      </c>
      <c r="AW113" s="32">
        <v>0</v>
      </c>
      <c r="AX113" s="31">
        <v>0</v>
      </c>
      <c r="AY113" s="31">
        <v>0</v>
      </c>
      <c r="AZ113" s="32">
        <v>0</v>
      </c>
      <c r="BA113" s="31">
        <v>0</v>
      </c>
      <c r="BB113" s="31">
        <v>0</v>
      </c>
      <c r="BC113" s="32">
        <v>0</v>
      </c>
      <c r="BD113" s="31">
        <v>0</v>
      </c>
      <c r="BE113" s="31">
        <v>0</v>
      </c>
      <c r="BF113" s="31">
        <v>0</v>
      </c>
      <c r="BG113" s="31">
        <v>0</v>
      </c>
      <c r="BH113" s="31">
        <v>0</v>
      </c>
      <c r="BI113" s="31">
        <v>0</v>
      </c>
      <c r="BJ113" s="31">
        <v>0</v>
      </c>
      <c r="BK113" s="32">
        <v>0</v>
      </c>
      <c r="BL113" s="32">
        <v>0</v>
      </c>
      <c r="BM113" s="32">
        <v>0</v>
      </c>
      <c r="BN113" s="32">
        <v>0</v>
      </c>
      <c r="BO113" s="32">
        <v>0</v>
      </c>
      <c r="BP113" s="31">
        <v>0</v>
      </c>
      <c r="BQ113" s="31">
        <v>0</v>
      </c>
      <c r="BR113" s="32">
        <v>0</v>
      </c>
      <c r="BS113" s="37">
        <v>0</v>
      </c>
      <c r="BT113" s="31">
        <v>0</v>
      </c>
      <c r="BU113" s="32">
        <v>0</v>
      </c>
      <c r="BV113" s="31">
        <v>0</v>
      </c>
      <c r="BW113" s="31">
        <v>0</v>
      </c>
      <c r="BX113" s="31">
        <v>0</v>
      </c>
      <c r="BY113" s="31">
        <v>0</v>
      </c>
      <c r="BZ113" s="31">
        <v>0</v>
      </c>
      <c r="CA113" s="31">
        <v>0</v>
      </c>
      <c r="CB113" s="31">
        <v>0</v>
      </c>
      <c r="CC113" s="31">
        <v>0</v>
      </c>
      <c r="CD113" s="31">
        <v>0</v>
      </c>
      <c r="CE113" s="31">
        <v>0</v>
      </c>
      <c r="CF113" s="38">
        <v>0</v>
      </c>
      <c r="CG113" s="67">
        <f t="shared" si="12"/>
        <v>2</v>
      </c>
      <c r="CH113" s="69">
        <f t="shared" si="13"/>
        <v>2</v>
      </c>
      <c r="CI113" s="30">
        <f t="shared" si="14"/>
        <v>0</v>
      </c>
      <c r="CJ113" s="30">
        <f t="shared" si="15"/>
        <v>1</v>
      </c>
      <c r="CK113" s="30">
        <f t="shared" si="16"/>
        <v>0</v>
      </c>
      <c r="CL113" s="67">
        <f t="shared" si="17"/>
        <v>1</v>
      </c>
      <c r="CM113" s="30">
        <v>2</v>
      </c>
      <c r="CN113" s="30">
        <v>0</v>
      </c>
      <c r="CO113" s="30">
        <v>0</v>
      </c>
      <c r="CP113" s="30">
        <v>0</v>
      </c>
      <c r="CQ113" s="67">
        <v>1</v>
      </c>
    </row>
    <row r="114" spans="1:95" x14ac:dyDescent="0.3">
      <c r="A114" s="13">
        <v>621</v>
      </c>
      <c r="B114" s="8" t="s">
        <v>3</v>
      </c>
      <c r="C114" s="8" t="s">
        <v>14</v>
      </c>
      <c r="D114" s="8" t="s">
        <v>5</v>
      </c>
      <c r="E114" s="8">
        <v>1</v>
      </c>
      <c r="F114" s="8" t="s">
        <v>6</v>
      </c>
      <c r="G114" s="8">
        <v>7.06</v>
      </c>
      <c r="H114" s="8">
        <v>2</v>
      </c>
      <c r="I114" s="8">
        <v>9.4079999999999995</v>
      </c>
      <c r="J114" s="8">
        <v>5.7359999999999998</v>
      </c>
      <c r="K114" s="8">
        <v>60.969387755102048</v>
      </c>
      <c r="L114" s="8">
        <v>18.753541076487252</v>
      </c>
      <c r="M114" s="7">
        <f t="shared" si="11"/>
        <v>0.90083012876777668</v>
      </c>
      <c r="N114" s="8">
        <v>48.43</v>
      </c>
      <c r="O114" s="8">
        <v>0.84899999999999998</v>
      </c>
      <c r="P114" s="8">
        <v>5.3040000000000003</v>
      </c>
      <c r="Q114" s="8">
        <v>1.2410000000000001</v>
      </c>
      <c r="R114" s="8">
        <v>1.8240000000000001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0</v>
      </c>
      <c r="AF114" s="32">
        <v>0</v>
      </c>
      <c r="AG114" s="33">
        <v>0</v>
      </c>
      <c r="AH114" s="31">
        <v>0</v>
      </c>
      <c r="AI114" s="31">
        <v>0</v>
      </c>
      <c r="AJ114" s="32">
        <v>0</v>
      </c>
      <c r="AK114" s="34">
        <v>1</v>
      </c>
      <c r="AL114" s="35">
        <v>0</v>
      </c>
      <c r="AM114" s="35">
        <v>0</v>
      </c>
      <c r="AN114" s="36">
        <v>0</v>
      </c>
      <c r="AO114" s="35">
        <v>0</v>
      </c>
      <c r="AP114" s="32">
        <v>0</v>
      </c>
      <c r="AQ114" s="31">
        <v>0</v>
      </c>
      <c r="AR114" s="32">
        <v>0</v>
      </c>
      <c r="AS114" s="34">
        <v>0</v>
      </c>
      <c r="AT114" s="31">
        <v>0</v>
      </c>
      <c r="AU114" s="31">
        <v>0</v>
      </c>
      <c r="AV114" s="31">
        <v>0</v>
      </c>
      <c r="AW114" s="32">
        <v>0</v>
      </c>
      <c r="AX114" s="31">
        <v>0</v>
      </c>
      <c r="AY114" s="31">
        <v>0</v>
      </c>
      <c r="AZ114" s="32">
        <v>0</v>
      </c>
      <c r="BA114" s="31">
        <v>0</v>
      </c>
      <c r="BB114" s="31">
        <v>0</v>
      </c>
      <c r="BC114" s="32">
        <v>0</v>
      </c>
      <c r="BD114" s="31">
        <v>0</v>
      </c>
      <c r="BE114" s="31">
        <v>0</v>
      </c>
      <c r="BF114" s="31">
        <v>0</v>
      </c>
      <c r="BG114" s="31">
        <v>0</v>
      </c>
      <c r="BH114" s="31">
        <v>0</v>
      </c>
      <c r="BI114" s="31">
        <v>0</v>
      </c>
      <c r="BJ114" s="31">
        <v>0</v>
      </c>
      <c r="BK114" s="32">
        <v>0</v>
      </c>
      <c r="BL114" s="32">
        <v>0</v>
      </c>
      <c r="BM114" s="32">
        <v>0</v>
      </c>
      <c r="BN114" s="32">
        <v>0</v>
      </c>
      <c r="BO114" s="32">
        <v>0</v>
      </c>
      <c r="BP114" s="31">
        <v>0</v>
      </c>
      <c r="BQ114" s="31">
        <v>0</v>
      </c>
      <c r="BR114" s="32">
        <v>0</v>
      </c>
      <c r="BS114" s="37">
        <v>0</v>
      </c>
      <c r="BT114" s="31">
        <v>0</v>
      </c>
      <c r="BU114" s="32">
        <v>0</v>
      </c>
      <c r="BV114" s="31">
        <v>0</v>
      </c>
      <c r="BW114" s="31">
        <v>0</v>
      </c>
      <c r="BX114" s="31">
        <v>0</v>
      </c>
      <c r="BY114" s="31">
        <v>0</v>
      </c>
      <c r="BZ114" s="31">
        <v>0</v>
      </c>
      <c r="CA114" s="31">
        <v>0</v>
      </c>
      <c r="CB114" s="31">
        <v>0</v>
      </c>
      <c r="CC114" s="31">
        <v>0</v>
      </c>
      <c r="CD114" s="31">
        <v>0</v>
      </c>
      <c r="CE114" s="31">
        <v>0</v>
      </c>
      <c r="CF114" s="38">
        <v>0</v>
      </c>
      <c r="CG114" s="67">
        <f t="shared" si="12"/>
        <v>1</v>
      </c>
      <c r="CH114" s="69">
        <f t="shared" si="13"/>
        <v>1</v>
      </c>
      <c r="CI114" s="30">
        <f t="shared" si="14"/>
        <v>0</v>
      </c>
      <c r="CJ114" s="30">
        <f t="shared" si="15"/>
        <v>0</v>
      </c>
      <c r="CK114" s="30">
        <f t="shared" si="16"/>
        <v>1</v>
      </c>
      <c r="CL114" s="67">
        <f t="shared" si="17"/>
        <v>1</v>
      </c>
      <c r="CM114" s="30">
        <v>1</v>
      </c>
      <c r="CN114" s="30">
        <v>0</v>
      </c>
      <c r="CO114" s="30">
        <v>0</v>
      </c>
      <c r="CP114" s="30">
        <v>0</v>
      </c>
      <c r="CQ114" s="67">
        <v>1</v>
      </c>
    </row>
    <row r="115" spans="1:95" x14ac:dyDescent="0.3">
      <c r="A115" s="13">
        <v>641</v>
      </c>
      <c r="B115" s="8" t="s">
        <v>3</v>
      </c>
      <c r="C115" s="8" t="s">
        <v>14</v>
      </c>
      <c r="D115" s="8" t="s">
        <v>5</v>
      </c>
      <c r="E115" s="8">
        <v>4</v>
      </c>
      <c r="F115" s="8" t="s">
        <v>6</v>
      </c>
      <c r="G115" s="8">
        <v>7.07</v>
      </c>
      <c r="H115" s="8">
        <v>2</v>
      </c>
      <c r="I115" s="8">
        <v>9.0215999999999994</v>
      </c>
      <c r="J115" s="8">
        <v>4.9465000000000003</v>
      </c>
      <c r="K115" s="8">
        <v>54.829520262481168</v>
      </c>
      <c r="L115" s="8">
        <v>30.035360678925034</v>
      </c>
      <c r="M115" s="7">
        <f t="shared" si="11"/>
        <v>1.0503274046872866</v>
      </c>
      <c r="N115" s="8">
        <v>48.4</v>
      </c>
      <c r="O115" s="8">
        <v>2.508</v>
      </c>
      <c r="P115" s="8">
        <v>15.675000000000001</v>
      </c>
      <c r="Q115" s="8">
        <v>0.73699999999999999</v>
      </c>
      <c r="R115" s="8">
        <v>1.351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2">
        <v>0</v>
      </c>
      <c r="AG115" s="33">
        <v>0</v>
      </c>
      <c r="AH115" s="31">
        <v>0</v>
      </c>
      <c r="AI115" s="31">
        <v>0</v>
      </c>
      <c r="AJ115" s="32">
        <v>0</v>
      </c>
      <c r="AK115" s="34">
        <v>0</v>
      </c>
      <c r="AL115" s="35">
        <v>0</v>
      </c>
      <c r="AM115" s="35">
        <v>0</v>
      </c>
      <c r="AN115" s="36">
        <v>0</v>
      </c>
      <c r="AO115" s="35">
        <v>0</v>
      </c>
      <c r="AP115" s="32">
        <v>0</v>
      </c>
      <c r="AQ115" s="31">
        <v>0</v>
      </c>
      <c r="AR115" s="32">
        <v>0</v>
      </c>
      <c r="AS115" s="34">
        <v>0</v>
      </c>
      <c r="AT115" s="31">
        <v>0</v>
      </c>
      <c r="AU115" s="31">
        <v>0</v>
      </c>
      <c r="AV115" s="31">
        <v>0</v>
      </c>
      <c r="AW115" s="32">
        <v>0</v>
      </c>
      <c r="AX115" s="31">
        <v>0</v>
      </c>
      <c r="AY115" s="31">
        <v>0</v>
      </c>
      <c r="AZ115" s="32">
        <v>0</v>
      </c>
      <c r="BA115" s="31">
        <v>0</v>
      </c>
      <c r="BB115" s="31">
        <v>0</v>
      </c>
      <c r="BC115" s="32">
        <v>0</v>
      </c>
      <c r="BD115" s="31">
        <v>0</v>
      </c>
      <c r="BE115" s="31">
        <v>0</v>
      </c>
      <c r="BF115" s="31">
        <v>0</v>
      </c>
      <c r="BG115" s="31">
        <v>0</v>
      </c>
      <c r="BH115" s="31">
        <v>0</v>
      </c>
      <c r="BI115" s="31">
        <v>0</v>
      </c>
      <c r="BJ115" s="31">
        <v>0</v>
      </c>
      <c r="BK115" s="32">
        <v>0</v>
      </c>
      <c r="BL115" s="32">
        <v>0</v>
      </c>
      <c r="BM115" s="32">
        <v>0</v>
      </c>
      <c r="BN115" s="32">
        <v>0</v>
      </c>
      <c r="BO115" s="32">
        <v>0</v>
      </c>
      <c r="BP115" s="31">
        <v>0</v>
      </c>
      <c r="BQ115" s="31">
        <v>0</v>
      </c>
      <c r="BR115" s="32">
        <v>0</v>
      </c>
      <c r="BS115" s="37">
        <v>0</v>
      </c>
      <c r="BT115" s="31">
        <v>0</v>
      </c>
      <c r="BU115" s="32">
        <v>0</v>
      </c>
      <c r="BV115" s="31">
        <v>0</v>
      </c>
      <c r="BW115" s="31">
        <v>0</v>
      </c>
      <c r="BX115" s="31">
        <v>0</v>
      </c>
      <c r="BY115" s="31">
        <v>0</v>
      </c>
      <c r="BZ115" s="31">
        <v>0</v>
      </c>
      <c r="CA115" s="31">
        <v>0</v>
      </c>
      <c r="CB115" s="31">
        <v>0</v>
      </c>
      <c r="CC115" s="31">
        <v>0</v>
      </c>
      <c r="CD115" s="31">
        <v>0</v>
      </c>
      <c r="CE115" s="31">
        <v>0</v>
      </c>
      <c r="CF115" s="38">
        <v>0</v>
      </c>
      <c r="CG115" s="67">
        <f t="shared" si="12"/>
        <v>0</v>
      </c>
      <c r="CH115" s="69">
        <f t="shared" si="13"/>
        <v>0</v>
      </c>
      <c r="CI115" s="30">
        <f t="shared" si="14"/>
        <v>0</v>
      </c>
      <c r="CJ115" s="30">
        <f t="shared" si="15"/>
        <v>0</v>
      </c>
      <c r="CK115" s="30">
        <f t="shared" si="16"/>
        <v>0</v>
      </c>
      <c r="CL115" s="67">
        <f t="shared" si="17"/>
        <v>0</v>
      </c>
      <c r="CM115" s="30">
        <v>0</v>
      </c>
      <c r="CN115" s="30">
        <v>0</v>
      </c>
      <c r="CO115" s="30">
        <v>0</v>
      </c>
      <c r="CP115" s="30">
        <v>0</v>
      </c>
      <c r="CQ115" s="67">
        <v>0</v>
      </c>
    </row>
    <row r="116" spans="1:95" x14ac:dyDescent="0.3">
      <c r="A116" s="13">
        <v>642</v>
      </c>
      <c r="B116" s="8" t="s">
        <v>3</v>
      </c>
      <c r="C116" s="8" t="s">
        <v>1</v>
      </c>
      <c r="D116" s="8" t="s">
        <v>4</v>
      </c>
      <c r="E116" s="8">
        <v>1</v>
      </c>
      <c r="F116" s="8" t="s">
        <v>6</v>
      </c>
      <c r="G116" s="8">
        <v>7.09</v>
      </c>
      <c r="H116" s="8">
        <v>2</v>
      </c>
      <c r="I116" s="8">
        <v>11.807</v>
      </c>
      <c r="J116" s="8">
        <v>5.2169999999999996</v>
      </c>
      <c r="K116" s="8">
        <v>44.185652578978569</v>
      </c>
      <c r="L116" s="8">
        <v>26.417489421720735</v>
      </c>
      <c r="M116" s="7">
        <f t="shared" si="11"/>
        <v>0.99990999706372585</v>
      </c>
      <c r="N116" s="8">
        <v>48.2</v>
      </c>
      <c r="O116" s="8">
        <v>2.214</v>
      </c>
      <c r="P116" s="8">
        <v>13.837</v>
      </c>
      <c r="Q116" s="8">
        <v>0.68799999999999994</v>
      </c>
      <c r="R116" s="8">
        <v>0.995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2">
        <v>0</v>
      </c>
      <c r="AG116" s="33">
        <v>0</v>
      </c>
      <c r="AH116" s="31">
        <v>0</v>
      </c>
      <c r="AI116" s="31">
        <v>0</v>
      </c>
      <c r="AJ116" s="32">
        <v>0</v>
      </c>
      <c r="AK116" s="34">
        <v>0</v>
      </c>
      <c r="AL116" s="35">
        <v>0</v>
      </c>
      <c r="AM116" s="35">
        <v>0</v>
      </c>
      <c r="AN116" s="36">
        <v>0</v>
      </c>
      <c r="AO116" s="35">
        <v>0</v>
      </c>
      <c r="AP116" s="32">
        <v>0</v>
      </c>
      <c r="AQ116" s="31">
        <v>0</v>
      </c>
      <c r="AR116" s="32">
        <v>0</v>
      </c>
      <c r="AS116" s="34">
        <v>0</v>
      </c>
      <c r="AT116" s="31">
        <v>0</v>
      </c>
      <c r="AU116" s="31">
        <v>0</v>
      </c>
      <c r="AV116" s="31">
        <v>0</v>
      </c>
      <c r="AW116" s="32">
        <v>0</v>
      </c>
      <c r="AX116" s="31">
        <v>0</v>
      </c>
      <c r="AY116" s="31">
        <v>0</v>
      </c>
      <c r="AZ116" s="32">
        <v>0</v>
      </c>
      <c r="BA116" s="31">
        <v>0</v>
      </c>
      <c r="BB116" s="31">
        <v>0</v>
      </c>
      <c r="BC116" s="32">
        <v>0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1">
        <v>0</v>
      </c>
      <c r="BK116" s="32">
        <v>0</v>
      </c>
      <c r="BL116" s="32">
        <v>0</v>
      </c>
      <c r="BM116" s="32">
        <v>0</v>
      </c>
      <c r="BN116" s="32">
        <v>0</v>
      </c>
      <c r="BO116" s="32">
        <v>0</v>
      </c>
      <c r="BP116" s="31">
        <v>0</v>
      </c>
      <c r="BQ116" s="31">
        <v>0</v>
      </c>
      <c r="BR116" s="32">
        <v>0</v>
      </c>
      <c r="BS116" s="37">
        <v>0</v>
      </c>
      <c r="BT116" s="31">
        <v>0</v>
      </c>
      <c r="BU116" s="32">
        <v>0</v>
      </c>
      <c r="BV116" s="31">
        <v>0</v>
      </c>
      <c r="BW116" s="31">
        <v>0</v>
      </c>
      <c r="BX116" s="31">
        <v>0</v>
      </c>
      <c r="BY116" s="31">
        <v>0</v>
      </c>
      <c r="BZ116" s="31">
        <v>0</v>
      </c>
      <c r="CA116" s="31">
        <v>0</v>
      </c>
      <c r="CB116" s="31">
        <v>0</v>
      </c>
      <c r="CC116" s="31">
        <v>0</v>
      </c>
      <c r="CD116" s="31">
        <v>0</v>
      </c>
      <c r="CE116" s="31">
        <v>0</v>
      </c>
      <c r="CF116" s="38">
        <v>0</v>
      </c>
      <c r="CG116" s="67">
        <f t="shared" si="12"/>
        <v>0</v>
      </c>
      <c r="CH116" s="69">
        <f t="shared" si="13"/>
        <v>0</v>
      </c>
      <c r="CI116" s="30">
        <f t="shared" si="14"/>
        <v>0</v>
      </c>
      <c r="CJ116" s="30">
        <f t="shared" si="15"/>
        <v>0</v>
      </c>
      <c r="CK116" s="30">
        <f t="shared" si="16"/>
        <v>0</v>
      </c>
      <c r="CL116" s="67">
        <f t="shared" si="17"/>
        <v>0</v>
      </c>
      <c r="CM116" s="30">
        <v>0</v>
      </c>
      <c r="CN116" s="30">
        <v>0</v>
      </c>
      <c r="CO116" s="30">
        <v>0</v>
      </c>
      <c r="CP116" s="30">
        <v>0</v>
      </c>
      <c r="CQ116" s="67">
        <v>0</v>
      </c>
    </row>
    <row r="117" spans="1:95" x14ac:dyDescent="0.3">
      <c r="A117" s="13">
        <v>646</v>
      </c>
      <c r="B117" s="8" t="s">
        <v>3</v>
      </c>
      <c r="C117" s="8" t="s">
        <v>14</v>
      </c>
      <c r="D117" s="8" t="s">
        <v>5</v>
      </c>
      <c r="E117" s="8">
        <v>5</v>
      </c>
      <c r="F117" s="8" t="s">
        <v>6</v>
      </c>
      <c r="G117" s="8">
        <v>6.94</v>
      </c>
      <c r="H117" s="8">
        <v>2</v>
      </c>
      <c r="I117" s="8">
        <v>7.8813000000000004</v>
      </c>
      <c r="J117" s="8">
        <v>4.9541000000000004</v>
      </c>
      <c r="K117" s="8">
        <v>62.858919213835286</v>
      </c>
      <c r="L117" s="8">
        <v>28.615273775216139</v>
      </c>
      <c r="M117" s="7">
        <f t="shared" si="11"/>
        <v>1.0302334385067009</v>
      </c>
      <c r="N117" s="8">
        <v>47.89</v>
      </c>
      <c r="O117" s="8">
        <v>1.3080000000000001</v>
      </c>
      <c r="P117" s="8">
        <v>8.1769999999999996</v>
      </c>
      <c r="Q117" s="8">
        <v>0.91700000000000004</v>
      </c>
      <c r="R117" s="8">
        <v>1.6659999999999999</v>
      </c>
      <c r="S117" s="31">
        <v>0</v>
      </c>
      <c r="T117" s="31">
        <v>1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2">
        <v>0</v>
      </c>
      <c r="AG117" s="33">
        <v>1</v>
      </c>
      <c r="AH117" s="31">
        <v>0</v>
      </c>
      <c r="AI117" s="31">
        <v>0</v>
      </c>
      <c r="AJ117" s="32">
        <v>0</v>
      </c>
      <c r="AK117" s="34">
        <v>0</v>
      </c>
      <c r="AL117" s="35">
        <v>0</v>
      </c>
      <c r="AM117" s="35">
        <v>0</v>
      </c>
      <c r="AN117" s="36">
        <v>0</v>
      </c>
      <c r="AO117" s="35">
        <v>0</v>
      </c>
      <c r="AP117" s="32">
        <v>0</v>
      </c>
      <c r="AQ117" s="31">
        <v>0</v>
      </c>
      <c r="AR117" s="32">
        <v>0</v>
      </c>
      <c r="AS117" s="34">
        <v>0</v>
      </c>
      <c r="AT117" s="31">
        <v>0</v>
      </c>
      <c r="AU117" s="31">
        <v>0</v>
      </c>
      <c r="AV117" s="31">
        <v>0</v>
      </c>
      <c r="AW117" s="32">
        <v>0</v>
      </c>
      <c r="AX117" s="31">
        <v>0</v>
      </c>
      <c r="AY117" s="31">
        <v>0</v>
      </c>
      <c r="AZ117" s="32">
        <v>0</v>
      </c>
      <c r="BA117" s="31">
        <v>0</v>
      </c>
      <c r="BB117" s="31">
        <v>0</v>
      </c>
      <c r="BC117" s="32">
        <v>0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1">
        <v>0</v>
      </c>
      <c r="BK117" s="32">
        <v>0</v>
      </c>
      <c r="BL117" s="32">
        <v>0</v>
      </c>
      <c r="BM117" s="32">
        <v>0</v>
      </c>
      <c r="BN117" s="32">
        <v>0</v>
      </c>
      <c r="BO117" s="32">
        <v>0</v>
      </c>
      <c r="BP117" s="31">
        <v>0</v>
      </c>
      <c r="BQ117" s="31">
        <v>0</v>
      </c>
      <c r="BR117" s="32">
        <v>0</v>
      </c>
      <c r="BS117" s="37">
        <v>0</v>
      </c>
      <c r="BT117" s="31">
        <v>0</v>
      </c>
      <c r="BU117" s="32">
        <v>0</v>
      </c>
      <c r="BV117" s="31">
        <v>0</v>
      </c>
      <c r="BW117" s="31">
        <v>0</v>
      </c>
      <c r="BX117" s="31">
        <v>0</v>
      </c>
      <c r="BY117" s="31">
        <v>0</v>
      </c>
      <c r="BZ117" s="31">
        <v>0</v>
      </c>
      <c r="CA117" s="31">
        <v>0</v>
      </c>
      <c r="CB117" s="31">
        <v>0</v>
      </c>
      <c r="CC117" s="31">
        <v>0</v>
      </c>
      <c r="CD117" s="31">
        <v>0</v>
      </c>
      <c r="CE117" s="31">
        <v>0</v>
      </c>
      <c r="CF117" s="38">
        <v>0</v>
      </c>
      <c r="CG117" s="67">
        <f t="shared" si="12"/>
        <v>2</v>
      </c>
      <c r="CH117" s="69">
        <f t="shared" si="13"/>
        <v>2</v>
      </c>
      <c r="CI117" s="30">
        <f t="shared" si="14"/>
        <v>0</v>
      </c>
      <c r="CJ117" s="30">
        <f t="shared" si="15"/>
        <v>2</v>
      </c>
      <c r="CK117" s="30">
        <f t="shared" si="16"/>
        <v>0</v>
      </c>
      <c r="CL117" s="67">
        <f t="shared" si="17"/>
        <v>1</v>
      </c>
      <c r="CM117" s="30">
        <v>2</v>
      </c>
      <c r="CN117" s="30">
        <v>0</v>
      </c>
      <c r="CO117" s="30">
        <v>0</v>
      </c>
      <c r="CP117" s="30">
        <v>0</v>
      </c>
      <c r="CQ117" s="67">
        <v>1</v>
      </c>
    </row>
    <row r="118" spans="1:95" x14ac:dyDescent="0.3">
      <c r="A118" s="13">
        <v>648</v>
      </c>
      <c r="B118" s="8" t="s">
        <v>3</v>
      </c>
      <c r="C118" s="8" t="s">
        <v>14</v>
      </c>
      <c r="D118" s="8" t="s">
        <v>5</v>
      </c>
      <c r="E118" s="8">
        <v>3</v>
      </c>
      <c r="F118" s="8" t="s">
        <v>6</v>
      </c>
      <c r="G118" s="8">
        <v>7.03</v>
      </c>
      <c r="H118" s="8">
        <v>2</v>
      </c>
      <c r="I118" s="8">
        <v>8.2789000000000001</v>
      </c>
      <c r="J118" s="8">
        <v>5.5218999999999996</v>
      </c>
      <c r="K118" s="8">
        <v>66.698474435009487</v>
      </c>
      <c r="L118" s="8">
        <v>21.452347083926039</v>
      </c>
      <c r="M118" s="7">
        <f t="shared" si="11"/>
        <v>0.93461188241919224</v>
      </c>
      <c r="N118" s="8">
        <v>47.91</v>
      </c>
      <c r="O118" s="8">
        <v>2.1850000000000001</v>
      </c>
      <c r="P118" s="8">
        <v>13.657999999999999</v>
      </c>
      <c r="Q118" s="8">
        <v>0.80600000000000005</v>
      </c>
      <c r="R118" s="8">
        <v>1.179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2">
        <v>0</v>
      </c>
      <c r="AG118" s="33">
        <v>0</v>
      </c>
      <c r="AH118" s="31">
        <v>0</v>
      </c>
      <c r="AI118" s="31">
        <v>0</v>
      </c>
      <c r="AJ118" s="32">
        <v>0</v>
      </c>
      <c r="AK118" s="34">
        <v>2</v>
      </c>
      <c r="AL118" s="35">
        <v>0</v>
      </c>
      <c r="AM118" s="35">
        <v>0</v>
      </c>
      <c r="AN118" s="36">
        <v>0</v>
      </c>
      <c r="AO118" s="35">
        <v>0</v>
      </c>
      <c r="AP118" s="32">
        <v>0</v>
      </c>
      <c r="AQ118" s="31">
        <v>0</v>
      </c>
      <c r="AR118" s="32">
        <v>0</v>
      </c>
      <c r="AS118" s="34">
        <v>0</v>
      </c>
      <c r="AT118" s="31">
        <v>0</v>
      </c>
      <c r="AU118" s="31">
        <v>0</v>
      </c>
      <c r="AV118" s="31">
        <v>0</v>
      </c>
      <c r="AW118" s="32">
        <v>0</v>
      </c>
      <c r="AX118" s="31">
        <v>0</v>
      </c>
      <c r="AY118" s="31">
        <v>0</v>
      </c>
      <c r="AZ118" s="32">
        <v>0</v>
      </c>
      <c r="BA118" s="31">
        <v>0</v>
      </c>
      <c r="BB118" s="31">
        <v>0</v>
      </c>
      <c r="BC118" s="32">
        <v>0</v>
      </c>
      <c r="BD118" s="31">
        <v>0</v>
      </c>
      <c r="BE118" s="31">
        <v>0</v>
      </c>
      <c r="BF118" s="31">
        <v>0</v>
      </c>
      <c r="BG118" s="31">
        <v>0</v>
      </c>
      <c r="BH118" s="31">
        <v>0</v>
      </c>
      <c r="BI118" s="31">
        <v>0</v>
      </c>
      <c r="BJ118" s="31">
        <v>0</v>
      </c>
      <c r="BK118" s="32">
        <v>0</v>
      </c>
      <c r="BL118" s="32">
        <v>0</v>
      </c>
      <c r="BM118" s="32">
        <v>0</v>
      </c>
      <c r="BN118" s="32">
        <v>0</v>
      </c>
      <c r="BO118" s="32">
        <v>0</v>
      </c>
      <c r="BP118" s="31">
        <v>0</v>
      </c>
      <c r="BQ118" s="31">
        <v>0</v>
      </c>
      <c r="BR118" s="32">
        <v>0</v>
      </c>
      <c r="BS118" s="37">
        <v>0</v>
      </c>
      <c r="BT118" s="31">
        <v>0</v>
      </c>
      <c r="BU118" s="32">
        <v>0</v>
      </c>
      <c r="BV118" s="31">
        <v>0</v>
      </c>
      <c r="BW118" s="31">
        <v>0</v>
      </c>
      <c r="BX118" s="31">
        <v>0</v>
      </c>
      <c r="BY118" s="31">
        <v>0</v>
      </c>
      <c r="BZ118" s="31">
        <v>0</v>
      </c>
      <c r="CA118" s="31">
        <v>0</v>
      </c>
      <c r="CB118" s="31">
        <v>0</v>
      </c>
      <c r="CC118" s="31">
        <v>0</v>
      </c>
      <c r="CD118" s="31">
        <v>0</v>
      </c>
      <c r="CE118" s="31">
        <v>0</v>
      </c>
      <c r="CF118" s="38">
        <v>0</v>
      </c>
      <c r="CG118" s="67">
        <f t="shared" si="12"/>
        <v>2</v>
      </c>
      <c r="CH118" s="69">
        <f t="shared" si="13"/>
        <v>1</v>
      </c>
      <c r="CI118" s="30">
        <f t="shared" si="14"/>
        <v>0</v>
      </c>
      <c r="CJ118" s="30">
        <f t="shared" si="15"/>
        <v>0</v>
      </c>
      <c r="CK118" s="30">
        <f t="shared" si="16"/>
        <v>2</v>
      </c>
      <c r="CL118" s="67">
        <f t="shared" si="17"/>
        <v>1</v>
      </c>
      <c r="CM118" s="30">
        <v>2</v>
      </c>
      <c r="CN118" s="30">
        <v>0</v>
      </c>
      <c r="CO118" s="30">
        <v>0</v>
      </c>
      <c r="CP118" s="30">
        <v>0</v>
      </c>
      <c r="CQ118" s="67">
        <v>1</v>
      </c>
    </row>
    <row r="119" spans="1:95" x14ac:dyDescent="0.3">
      <c r="A119" s="13">
        <v>652</v>
      </c>
      <c r="B119" s="8" t="s">
        <v>3</v>
      </c>
      <c r="C119" s="8" t="s">
        <v>1</v>
      </c>
      <c r="D119" s="8" t="s">
        <v>5</v>
      </c>
      <c r="E119" s="8">
        <v>5</v>
      </c>
      <c r="F119" s="8" t="s">
        <v>6</v>
      </c>
      <c r="G119" s="8">
        <v>7.01</v>
      </c>
      <c r="H119" s="8">
        <v>2</v>
      </c>
      <c r="I119" s="8">
        <v>10.2684</v>
      </c>
      <c r="J119" s="8">
        <v>5.8518999999999997</v>
      </c>
      <c r="K119" s="8">
        <v>56.989404386272447</v>
      </c>
      <c r="L119" s="8">
        <v>16.520684736091301</v>
      </c>
      <c r="M119" s="7">
        <f t="shared" si="11"/>
        <v>0.87371848676955355</v>
      </c>
      <c r="N119" s="8">
        <v>47.72</v>
      </c>
      <c r="O119" s="8">
        <v>0.92800000000000005</v>
      </c>
      <c r="P119" s="8">
        <v>5.8</v>
      </c>
      <c r="Q119" s="8">
        <v>0.94499999999999995</v>
      </c>
      <c r="R119" s="8">
        <v>1.071</v>
      </c>
      <c r="S119" s="31">
        <v>2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2">
        <v>0</v>
      </c>
      <c r="AG119" s="33">
        <v>0</v>
      </c>
      <c r="AH119" s="31">
        <v>0</v>
      </c>
      <c r="AI119" s="31">
        <v>0</v>
      </c>
      <c r="AJ119" s="32">
        <v>0</v>
      </c>
      <c r="AK119" s="34">
        <v>0</v>
      </c>
      <c r="AL119" s="35">
        <v>0</v>
      </c>
      <c r="AM119" s="35">
        <v>0</v>
      </c>
      <c r="AN119" s="36">
        <v>0</v>
      </c>
      <c r="AO119" s="35">
        <v>0</v>
      </c>
      <c r="AP119" s="32">
        <v>0</v>
      </c>
      <c r="AQ119" s="31">
        <v>0</v>
      </c>
      <c r="AR119" s="32">
        <v>0</v>
      </c>
      <c r="AS119" s="34">
        <v>0</v>
      </c>
      <c r="AT119" s="31">
        <v>0</v>
      </c>
      <c r="AU119" s="31">
        <v>0</v>
      </c>
      <c r="AV119" s="31">
        <v>0</v>
      </c>
      <c r="AW119" s="32">
        <v>0</v>
      </c>
      <c r="AX119" s="31">
        <v>0</v>
      </c>
      <c r="AY119" s="31">
        <v>0</v>
      </c>
      <c r="AZ119" s="32">
        <v>0</v>
      </c>
      <c r="BA119" s="31">
        <v>0</v>
      </c>
      <c r="BB119" s="31">
        <v>0</v>
      </c>
      <c r="BC119" s="32">
        <v>0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1">
        <v>0</v>
      </c>
      <c r="BK119" s="32">
        <v>0</v>
      </c>
      <c r="BL119" s="32">
        <v>0</v>
      </c>
      <c r="BM119" s="32">
        <v>0</v>
      </c>
      <c r="BN119" s="32">
        <v>0</v>
      </c>
      <c r="BO119" s="32">
        <v>0</v>
      </c>
      <c r="BP119" s="31">
        <v>0</v>
      </c>
      <c r="BQ119" s="31">
        <v>0</v>
      </c>
      <c r="BR119" s="32">
        <v>0</v>
      </c>
      <c r="BS119" s="37">
        <v>0</v>
      </c>
      <c r="BT119" s="31">
        <v>0</v>
      </c>
      <c r="BU119" s="32">
        <v>0</v>
      </c>
      <c r="BV119" s="31">
        <v>0</v>
      </c>
      <c r="BW119" s="31">
        <v>0</v>
      </c>
      <c r="BX119" s="31">
        <v>0</v>
      </c>
      <c r="BY119" s="31">
        <v>0</v>
      </c>
      <c r="BZ119" s="31">
        <v>0</v>
      </c>
      <c r="CA119" s="31">
        <v>0</v>
      </c>
      <c r="CB119" s="31">
        <v>0</v>
      </c>
      <c r="CC119" s="31">
        <v>0</v>
      </c>
      <c r="CD119" s="31">
        <v>0</v>
      </c>
      <c r="CE119" s="31">
        <v>0</v>
      </c>
      <c r="CF119" s="38">
        <v>0</v>
      </c>
      <c r="CG119" s="67">
        <f t="shared" si="12"/>
        <v>2</v>
      </c>
      <c r="CH119" s="69">
        <f t="shared" si="13"/>
        <v>1</v>
      </c>
      <c r="CI119" s="30">
        <f t="shared" si="14"/>
        <v>0</v>
      </c>
      <c r="CJ119" s="30">
        <f t="shared" si="15"/>
        <v>2</v>
      </c>
      <c r="CK119" s="30">
        <f t="shared" si="16"/>
        <v>0</v>
      </c>
      <c r="CL119" s="67">
        <f t="shared" si="17"/>
        <v>1</v>
      </c>
      <c r="CM119" s="30">
        <v>2</v>
      </c>
      <c r="CN119" s="30">
        <v>0</v>
      </c>
      <c r="CO119" s="30">
        <v>0</v>
      </c>
      <c r="CP119" s="30">
        <v>0</v>
      </c>
      <c r="CQ119" s="67">
        <v>1</v>
      </c>
    </row>
    <row r="120" spans="1:95" x14ac:dyDescent="0.3">
      <c r="A120" s="13">
        <v>657</v>
      </c>
      <c r="B120" s="8" t="s">
        <v>3</v>
      </c>
      <c r="C120" s="8" t="s">
        <v>14</v>
      </c>
      <c r="D120" s="8" t="s">
        <v>5</v>
      </c>
      <c r="E120" s="8">
        <v>2</v>
      </c>
      <c r="F120" s="8" t="s">
        <v>6</v>
      </c>
      <c r="G120" s="8">
        <v>6.95</v>
      </c>
      <c r="H120" s="8">
        <v>2</v>
      </c>
      <c r="I120" s="8">
        <v>11.879799999999999</v>
      </c>
      <c r="J120" s="8">
        <v>5.9615999999999998</v>
      </c>
      <c r="K120" s="8">
        <v>50.182663007794744</v>
      </c>
      <c r="L120" s="8">
        <v>14.221582733812955</v>
      </c>
      <c r="M120" s="7">
        <f t="shared" si="11"/>
        <v>0.84654993871151385</v>
      </c>
      <c r="N120" s="8">
        <v>47.83</v>
      </c>
      <c r="O120" s="8">
        <v>0.85499999999999998</v>
      </c>
      <c r="P120" s="8">
        <v>5.3440000000000003</v>
      </c>
      <c r="Q120" s="8">
        <v>1.099</v>
      </c>
      <c r="R120" s="8">
        <v>0.81200000000000006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3</v>
      </c>
      <c r="AE120" s="31">
        <v>0</v>
      </c>
      <c r="AF120" s="32">
        <v>0</v>
      </c>
      <c r="AG120" s="33">
        <v>3</v>
      </c>
      <c r="AH120" s="31">
        <v>1</v>
      </c>
      <c r="AI120" s="31">
        <v>0</v>
      </c>
      <c r="AJ120" s="32">
        <v>0</v>
      </c>
      <c r="AK120" s="34">
        <v>3</v>
      </c>
      <c r="AL120" s="35">
        <v>0</v>
      </c>
      <c r="AM120" s="35">
        <v>0</v>
      </c>
      <c r="AN120" s="36">
        <v>0</v>
      </c>
      <c r="AO120" s="35">
        <v>0</v>
      </c>
      <c r="AP120" s="32">
        <v>0</v>
      </c>
      <c r="AQ120" s="31">
        <v>0</v>
      </c>
      <c r="AR120" s="32">
        <v>0</v>
      </c>
      <c r="AS120" s="34">
        <v>0</v>
      </c>
      <c r="AT120" s="31">
        <v>0</v>
      </c>
      <c r="AU120" s="31">
        <v>0</v>
      </c>
      <c r="AV120" s="31">
        <v>0</v>
      </c>
      <c r="AW120" s="32">
        <v>0</v>
      </c>
      <c r="AX120" s="31">
        <v>0</v>
      </c>
      <c r="AY120" s="31">
        <v>0</v>
      </c>
      <c r="AZ120" s="32">
        <v>0</v>
      </c>
      <c r="BA120" s="31">
        <v>0</v>
      </c>
      <c r="BB120" s="31">
        <v>0</v>
      </c>
      <c r="BC120" s="32">
        <v>0</v>
      </c>
      <c r="BD120" s="31">
        <v>0</v>
      </c>
      <c r="BE120" s="31">
        <v>0</v>
      </c>
      <c r="BF120" s="31">
        <v>0</v>
      </c>
      <c r="BG120" s="31">
        <v>0</v>
      </c>
      <c r="BH120" s="31">
        <v>0</v>
      </c>
      <c r="BI120" s="31">
        <v>0</v>
      </c>
      <c r="BJ120" s="31">
        <v>0</v>
      </c>
      <c r="BK120" s="32">
        <v>0</v>
      </c>
      <c r="BL120" s="32">
        <v>1</v>
      </c>
      <c r="BM120" s="32">
        <v>0</v>
      </c>
      <c r="BN120" s="32">
        <v>0</v>
      </c>
      <c r="BO120" s="32">
        <v>0</v>
      </c>
      <c r="BP120" s="31">
        <v>0</v>
      </c>
      <c r="BQ120" s="31">
        <v>0</v>
      </c>
      <c r="BR120" s="32">
        <v>0</v>
      </c>
      <c r="BS120" s="37">
        <v>0</v>
      </c>
      <c r="BT120" s="31">
        <v>0</v>
      </c>
      <c r="BU120" s="32">
        <v>0</v>
      </c>
      <c r="BV120" s="31">
        <v>0</v>
      </c>
      <c r="BW120" s="31">
        <v>0</v>
      </c>
      <c r="BX120" s="31">
        <v>0</v>
      </c>
      <c r="BY120" s="31">
        <v>0</v>
      </c>
      <c r="BZ120" s="31">
        <v>0</v>
      </c>
      <c r="CA120" s="31">
        <v>0</v>
      </c>
      <c r="CB120" s="31">
        <v>0</v>
      </c>
      <c r="CC120" s="31">
        <v>0</v>
      </c>
      <c r="CD120" s="31">
        <v>0</v>
      </c>
      <c r="CE120" s="31">
        <v>0</v>
      </c>
      <c r="CF120" s="38">
        <v>0</v>
      </c>
      <c r="CG120" s="67">
        <f t="shared" si="12"/>
        <v>11</v>
      </c>
      <c r="CH120" s="69">
        <f t="shared" si="13"/>
        <v>5</v>
      </c>
      <c r="CI120" s="30">
        <f t="shared" si="14"/>
        <v>0</v>
      </c>
      <c r="CJ120" s="30">
        <f t="shared" si="15"/>
        <v>8</v>
      </c>
      <c r="CK120" s="30">
        <f t="shared" si="16"/>
        <v>3</v>
      </c>
      <c r="CL120" s="67">
        <f t="shared" si="17"/>
        <v>2</v>
      </c>
      <c r="CM120" s="30">
        <v>8</v>
      </c>
      <c r="CN120" s="30">
        <v>0</v>
      </c>
      <c r="CO120" s="30">
        <v>0</v>
      </c>
      <c r="CP120" s="30">
        <v>3</v>
      </c>
      <c r="CQ120" s="67">
        <v>1</v>
      </c>
    </row>
    <row r="121" spans="1:95" x14ac:dyDescent="0.3">
      <c r="A121" s="13">
        <v>660</v>
      </c>
      <c r="B121" s="8" t="s">
        <v>3</v>
      </c>
      <c r="C121" s="8" t="s">
        <v>14</v>
      </c>
      <c r="D121" s="8" t="s">
        <v>5</v>
      </c>
      <c r="E121" s="8">
        <v>2</v>
      </c>
      <c r="F121" s="8" t="s">
        <v>6</v>
      </c>
      <c r="G121" s="8">
        <v>7.09</v>
      </c>
      <c r="H121" s="8">
        <v>2</v>
      </c>
      <c r="I121" s="8">
        <v>11.943199999999999</v>
      </c>
      <c r="J121" s="8">
        <v>5.7904</v>
      </c>
      <c r="K121" s="8">
        <v>48.482818675061964</v>
      </c>
      <c r="L121" s="8">
        <v>18.330042313117065</v>
      </c>
      <c r="M121" s="7">
        <f t="shared" si="11"/>
        <v>0.8956311472766405</v>
      </c>
      <c r="N121" s="8">
        <v>47.92</v>
      </c>
      <c r="O121" s="8">
        <v>0.75700000000000001</v>
      </c>
      <c r="P121" s="8">
        <v>4.734</v>
      </c>
      <c r="Q121" s="8">
        <v>0.95699999999999996</v>
      </c>
      <c r="R121" s="8">
        <v>0.91600000000000004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2">
        <v>0</v>
      </c>
      <c r="AG121" s="33">
        <v>0</v>
      </c>
      <c r="AH121" s="31">
        <v>0</v>
      </c>
      <c r="AI121" s="31">
        <v>0</v>
      </c>
      <c r="AJ121" s="32">
        <v>0</v>
      </c>
      <c r="AK121" s="34">
        <v>1</v>
      </c>
      <c r="AL121" s="35">
        <v>0</v>
      </c>
      <c r="AM121" s="35">
        <v>0</v>
      </c>
      <c r="AN121" s="36">
        <v>0</v>
      </c>
      <c r="AO121" s="35">
        <v>0</v>
      </c>
      <c r="AP121" s="32">
        <v>1</v>
      </c>
      <c r="AQ121" s="31">
        <v>0</v>
      </c>
      <c r="AR121" s="32">
        <v>0</v>
      </c>
      <c r="AS121" s="34">
        <v>0</v>
      </c>
      <c r="AT121" s="31">
        <v>0</v>
      </c>
      <c r="AU121" s="31">
        <v>0</v>
      </c>
      <c r="AV121" s="31">
        <v>0</v>
      </c>
      <c r="AW121" s="32">
        <v>0</v>
      </c>
      <c r="AX121" s="31">
        <v>0</v>
      </c>
      <c r="AY121" s="31">
        <v>0</v>
      </c>
      <c r="AZ121" s="32">
        <v>0</v>
      </c>
      <c r="BA121" s="31">
        <v>0</v>
      </c>
      <c r="BB121" s="31">
        <v>0</v>
      </c>
      <c r="BC121" s="32">
        <v>0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  <c r="BJ121" s="31">
        <v>0</v>
      </c>
      <c r="BK121" s="32">
        <v>0</v>
      </c>
      <c r="BL121" s="32">
        <v>0</v>
      </c>
      <c r="BM121" s="32">
        <v>0</v>
      </c>
      <c r="BN121" s="32">
        <v>0</v>
      </c>
      <c r="BO121" s="32">
        <v>0</v>
      </c>
      <c r="BP121" s="31">
        <v>0</v>
      </c>
      <c r="BQ121" s="31">
        <v>0</v>
      </c>
      <c r="BR121" s="32">
        <v>0</v>
      </c>
      <c r="BS121" s="37">
        <v>0</v>
      </c>
      <c r="BT121" s="31">
        <v>0</v>
      </c>
      <c r="BU121" s="32">
        <v>0</v>
      </c>
      <c r="BV121" s="31">
        <v>0</v>
      </c>
      <c r="BW121" s="31">
        <v>0</v>
      </c>
      <c r="BX121" s="31">
        <v>0</v>
      </c>
      <c r="BY121" s="31">
        <v>0</v>
      </c>
      <c r="BZ121" s="31">
        <v>0</v>
      </c>
      <c r="CA121" s="31">
        <v>0</v>
      </c>
      <c r="CB121" s="31">
        <v>0</v>
      </c>
      <c r="CC121" s="31">
        <v>0</v>
      </c>
      <c r="CD121" s="31">
        <v>0</v>
      </c>
      <c r="CE121" s="31">
        <v>0</v>
      </c>
      <c r="CF121" s="38">
        <v>0</v>
      </c>
      <c r="CG121" s="67">
        <f t="shared" si="12"/>
        <v>2</v>
      </c>
      <c r="CH121" s="69">
        <f t="shared" si="13"/>
        <v>2</v>
      </c>
      <c r="CI121" s="30">
        <f t="shared" si="14"/>
        <v>0</v>
      </c>
      <c r="CJ121" s="30">
        <f t="shared" si="15"/>
        <v>0</v>
      </c>
      <c r="CK121" s="30">
        <f t="shared" si="16"/>
        <v>1</v>
      </c>
      <c r="CL121" s="67">
        <f t="shared" si="17"/>
        <v>1</v>
      </c>
      <c r="CM121" s="30">
        <v>2</v>
      </c>
      <c r="CN121" s="30">
        <v>0</v>
      </c>
      <c r="CO121" s="30">
        <v>0</v>
      </c>
      <c r="CP121" s="30">
        <v>0</v>
      </c>
      <c r="CQ121" s="67">
        <v>1</v>
      </c>
    </row>
    <row r="122" spans="1:95" x14ac:dyDescent="0.3">
      <c r="A122" s="9">
        <v>9</v>
      </c>
      <c r="B122" s="9" t="s">
        <v>0</v>
      </c>
      <c r="C122" s="9" t="s">
        <v>14</v>
      </c>
      <c r="D122" s="9" t="s">
        <v>4</v>
      </c>
      <c r="E122" s="9">
        <v>3</v>
      </c>
      <c r="F122" s="9" t="s">
        <v>6</v>
      </c>
      <c r="G122" s="9">
        <v>6.93</v>
      </c>
      <c r="H122" s="9">
        <v>6</v>
      </c>
      <c r="I122" s="9">
        <v>6.3006000000000002</v>
      </c>
      <c r="J122" s="9">
        <v>5.4789000000000003</v>
      </c>
      <c r="K122" s="9">
        <v>13.041615084277685</v>
      </c>
      <c r="L122" s="9">
        <v>20.939393939393934</v>
      </c>
      <c r="M122" s="7">
        <f t="shared" si="11"/>
        <v>2.0267149315458979</v>
      </c>
      <c r="N122" s="9">
        <v>48</v>
      </c>
      <c r="O122" s="9">
        <v>1.175</v>
      </c>
      <c r="P122" s="9">
        <v>7.3460000000000001</v>
      </c>
      <c r="Q122" s="9">
        <v>1.6950000000000001</v>
      </c>
      <c r="R122" s="9">
        <v>1.8740000000000001</v>
      </c>
      <c r="S122" s="2">
        <v>6</v>
      </c>
      <c r="T122" s="2">
        <v>1</v>
      </c>
      <c r="U122" s="2">
        <v>0</v>
      </c>
      <c r="V122" s="2">
        <v>0</v>
      </c>
      <c r="W122" s="2">
        <v>0</v>
      </c>
      <c r="X122" s="2">
        <v>1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39">
        <v>0</v>
      </c>
      <c r="AG122" s="40">
        <v>13</v>
      </c>
      <c r="AH122" s="2">
        <v>0</v>
      </c>
      <c r="AI122" s="2">
        <v>0</v>
      </c>
      <c r="AJ122" s="39">
        <v>0</v>
      </c>
      <c r="AK122" s="41">
        <v>0</v>
      </c>
      <c r="AL122" s="42">
        <v>0</v>
      </c>
      <c r="AM122" s="42">
        <v>0</v>
      </c>
      <c r="AN122" s="43">
        <v>0</v>
      </c>
      <c r="AO122" s="42">
        <v>0</v>
      </c>
      <c r="AP122" s="39">
        <v>0</v>
      </c>
      <c r="AQ122" s="2">
        <v>0</v>
      </c>
      <c r="AR122" s="39">
        <v>0</v>
      </c>
      <c r="AS122" s="41">
        <v>0</v>
      </c>
      <c r="AT122" s="2">
        <v>0</v>
      </c>
      <c r="AU122" s="2">
        <v>0</v>
      </c>
      <c r="AV122" s="2">
        <v>0</v>
      </c>
      <c r="AW122" s="39">
        <v>0</v>
      </c>
      <c r="AX122" s="2">
        <v>0</v>
      </c>
      <c r="AY122" s="2">
        <v>0</v>
      </c>
      <c r="AZ122" s="39">
        <v>0</v>
      </c>
      <c r="BA122" s="2">
        <v>0</v>
      </c>
      <c r="BB122" s="2">
        <v>0</v>
      </c>
      <c r="BC122" s="39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1</v>
      </c>
      <c r="BI122" s="2">
        <v>0</v>
      </c>
      <c r="BJ122" s="2">
        <v>0</v>
      </c>
      <c r="BK122" s="39">
        <v>0</v>
      </c>
      <c r="BL122" s="39">
        <v>0</v>
      </c>
      <c r="BM122" s="39">
        <v>0</v>
      </c>
      <c r="BN122" s="39">
        <v>0</v>
      </c>
      <c r="BO122" s="39">
        <v>0</v>
      </c>
      <c r="BP122" s="2">
        <v>0</v>
      </c>
      <c r="BQ122" s="2">
        <v>0</v>
      </c>
      <c r="BR122" s="39">
        <v>0</v>
      </c>
      <c r="BS122" s="44">
        <v>0</v>
      </c>
      <c r="BT122" s="2">
        <v>0</v>
      </c>
      <c r="BU122" s="39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2</v>
      </c>
      <c r="CF122" s="45">
        <v>0</v>
      </c>
      <c r="CG122" s="67">
        <f t="shared" si="12"/>
        <v>24</v>
      </c>
      <c r="CH122" s="69">
        <f t="shared" si="13"/>
        <v>6</v>
      </c>
      <c r="CI122" s="30">
        <f t="shared" si="14"/>
        <v>0</v>
      </c>
      <c r="CJ122" s="30">
        <f t="shared" si="15"/>
        <v>21</v>
      </c>
      <c r="CK122" s="30">
        <f t="shared" si="16"/>
        <v>3</v>
      </c>
      <c r="CL122" s="67">
        <f t="shared" si="17"/>
        <v>2</v>
      </c>
      <c r="CM122" s="30">
        <v>22</v>
      </c>
      <c r="CN122" s="30">
        <v>0</v>
      </c>
      <c r="CO122" s="30">
        <v>0</v>
      </c>
      <c r="CP122" s="30">
        <v>2</v>
      </c>
      <c r="CQ122" s="67">
        <v>1</v>
      </c>
    </row>
    <row r="123" spans="1:95" x14ac:dyDescent="0.3">
      <c r="A123" s="9">
        <v>12</v>
      </c>
      <c r="B123" s="9" t="s">
        <v>0</v>
      </c>
      <c r="C123" s="9" t="s">
        <v>1</v>
      </c>
      <c r="D123" s="9" t="s">
        <v>4</v>
      </c>
      <c r="E123" s="9">
        <v>2</v>
      </c>
      <c r="F123" s="9" t="s">
        <v>6</v>
      </c>
      <c r="G123" s="9">
        <v>6.99</v>
      </c>
      <c r="H123" s="9">
        <v>6</v>
      </c>
      <c r="I123" s="9">
        <v>6.5397999999999996</v>
      </c>
      <c r="J123" s="9">
        <v>5.3394000000000004</v>
      </c>
      <c r="K123" s="9">
        <v>18.355301385363457</v>
      </c>
      <c r="L123" s="9">
        <v>23.613733905579394</v>
      </c>
      <c r="M123" s="7">
        <f t="shared" si="11"/>
        <v>2.0611267383650396</v>
      </c>
      <c r="N123" s="9">
        <v>47.49</v>
      </c>
      <c r="O123" s="9">
        <v>0.91</v>
      </c>
      <c r="P123" s="9">
        <v>5.6870000000000003</v>
      </c>
      <c r="Q123" s="9">
        <v>2.6709999999999998</v>
      </c>
      <c r="R123" s="9">
        <v>1.7959999999999998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39">
        <v>0</v>
      </c>
      <c r="AG123" s="40">
        <v>1</v>
      </c>
      <c r="AH123" s="2">
        <v>0</v>
      </c>
      <c r="AI123" s="2">
        <v>0</v>
      </c>
      <c r="AJ123" s="39">
        <v>0</v>
      </c>
      <c r="AK123" s="41">
        <v>0</v>
      </c>
      <c r="AL123" s="42">
        <v>0</v>
      </c>
      <c r="AM123" s="42">
        <v>0</v>
      </c>
      <c r="AN123" s="43">
        <v>0</v>
      </c>
      <c r="AO123" s="42">
        <v>0</v>
      </c>
      <c r="AP123" s="39">
        <v>0</v>
      </c>
      <c r="AQ123" s="2">
        <v>0</v>
      </c>
      <c r="AR123" s="39">
        <v>0</v>
      </c>
      <c r="AS123" s="41">
        <v>0</v>
      </c>
      <c r="AT123" s="2">
        <v>0</v>
      </c>
      <c r="AU123" s="2">
        <v>0</v>
      </c>
      <c r="AV123" s="2">
        <v>0</v>
      </c>
      <c r="AW123" s="39">
        <v>0</v>
      </c>
      <c r="AX123" s="2">
        <v>0</v>
      </c>
      <c r="AY123" s="2">
        <v>0</v>
      </c>
      <c r="AZ123" s="39">
        <v>0</v>
      </c>
      <c r="BA123" s="2">
        <v>0</v>
      </c>
      <c r="BB123" s="2">
        <v>0</v>
      </c>
      <c r="BC123" s="39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39">
        <v>0</v>
      </c>
      <c r="BL123" s="39">
        <v>0</v>
      </c>
      <c r="BM123" s="39">
        <v>0</v>
      </c>
      <c r="BN123" s="39">
        <v>0</v>
      </c>
      <c r="BO123" s="39">
        <v>0</v>
      </c>
      <c r="BP123" s="2">
        <v>0</v>
      </c>
      <c r="BQ123" s="2">
        <v>0</v>
      </c>
      <c r="BR123" s="39">
        <v>0</v>
      </c>
      <c r="BS123" s="44">
        <v>0</v>
      </c>
      <c r="BT123" s="2">
        <v>0</v>
      </c>
      <c r="BU123" s="39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45">
        <v>0</v>
      </c>
      <c r="CG123" s="67">
        <f t="shared" si="12"/>
        <v>1</v>
      </c>
      <c r="CH123" s="69">
        <f t="shared" si="13"/>
        <v>1</v>
      </c>
      <c r="CI123" s="30">
        <f t="shared" si="14"/>
        <v>0</v>
      </c>
      <c r="CJ123" s="30">
        <f t="shared" si="15"/>
        <v>1</v>
      </c>
      <c r="CK123" s="30">
        <f t="shared" si="16"/>
        <v>0</v>
      </c>
      <c r="CL123" s="67">
        <f t="shared" si="17"/>
        <v>1</v>
      </c>
      <c r="CM123" s="30">
        <v>1</v>
      </c>
      <c r="CN123" s="30">
        <v>0</v>
      </c>
      <c r="CO123" s="30">
        <v>0</v>
      </c>
      <c r="CP123" s="30">
        <v>0</v>
      </c>
      <c r="CQ123" s="67">
        <v>1</v>
      </c>
    </row>
    <row r="124" spans="1:95" x14ac:dyDescent="0.3">
      <c r="A124" s="9">
        <v>21</v>
      </c>
      <c r="B124" s="9" t="s">
        <v>0</v>
      </c>
      <c r="C124" s="9" t="s">
        <v>14</v>
      </c>
      <c r="D124" s="9" t="s">
        <v>4</v>
      </c>
      <c r="E124" s="9">
        <v>2</v>
      </c>
      <c r="F124" s="9" t="s">
        <v>6</v>
      </c>
      <c r="G124" s="9">
        <v>6.9499999999999993</v>
      </c>
      <c r="H124" s="9">
        <v>6</v>
      </c>
      <c r="I124" s="9">
        <v>5.8028000000000004</v>
      </c>
      <c r="J124" s="9">
        <v>5.0663999999999998</v>
      </c>
      <c r="K124" s="9">
        <v>12.690425311918393</v>
      </c>
      <c r="L124" s="9">
        <v>27.102158273381288</v>
      </c>
      <c r="M124" s="7">
        <f t="shared" si="11"/>
        <v>2.1078706225846724</v>
      </c>
      <c r="N124" s="9">
        <v>47.51</v>
      </c>
      <c r="O124" s="9">
        <v>1.246</v>
      </c>
      <c r="P124" s="9">
        <v>7.7850000000000001</v>
      </c>
      <c r="Q124" s="9">
        <v>1.4330000000000001</v>
      </c>
      <c r="R124" s="9">
        <v>1.1000000000000001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39">
        <v>0</v>
      </c>
      <c r="AG124" s="40">
        <v>0</v>
      </c>
      <c r="AH124" s="2">
        <v>0</v>
      </c>
      <c r="AI124" s="2">
        <v>0</v>
      </c>
      <c r="AJ124" s="39">
        <v>0</v>
      </c>
      <c r="AK124" s="41">
        <v>0</v>
      </c>
      <c r="AL124" s="42">
        <v>0</v>
      </c>
      <c r="AM124" s="42">
        <v>0</v>
      </c>
      <c r="AN124" s="43">
        <v>0</v>
      </c>
      <c r="AO124" s="42">
        <v>0</v>
      </c>
      <c r="AP124" s="39">
        <v>0</v>
      </c>
      <c r="AQ124" s="2">
        <v>0</v>
      </c>
      <c r="AR124" s="39">
        <v>0</v>
      </c>
      <c r="AS124" s="41">
        <v>0</v>
      </c>
      <c r="AT124" s="2">
        <v>0</v>
      </c>
      <c r="AU124" s="2">
        <v>0</v>
      </c>
      <c r="AV124" s="2">
        <v>0</v>
      </c>
      <c r="AW124" s="39">
        <v>0</v>
      </c>
      <c r="AX124" s="2">
        <v>0</v>
      </c>
      <c r="AY124" s="2">
        <v>0</v>
      </c>
      <c r="AZ124" s="39">
        <v>0</v>
      </c>
      <c r="BA124" s="2">
        <v>0</v>
      </c>
      <c r="BB124" s="2">
        <v>0</v>
      </c>
      <c r="BC124" s="39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39">
        <v>0</v>
      </c>
      <c r="BL124" s="39">
        <v>0</v>
      </c>
      <c r="BM124" s="39">
        <v>0</v>
      </c>
      <c r="BN124" s="39">
        <v>0</v>
      </c>
      <c r="BO124" s="39">
        <v>0</v>
      </c>
      <c r="BP124" s="2">
        <v>0</v>
      </c>
      <c r="BQ124" s="2">
        <v>0</v>
      </c>
      <c r="BR124" s="39">
        <v>0</v>
      </c>
      <c r="BS124" s="44">
        <v>0</v>
      </c>
      <c r="BT124" s="2">
        <v>0</v>
      </c>
      <c r="BU124" s="39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45">
        <v>0</v>
      </c>
      <c r="CG124" s="67">
        <f t="shared" si="12"/>
        <v>0</v>
      </c>
      <c r="CH124" s="69">
        <f t="shared" si="13"/>
        <v>0</v>
      </c>
      <c r="CI124" s="30">
        <f t="shared" si="14"/>
        <v>0</v>
      </c>
      <c r="CJ124" s="30">
        <f t="shared" si="15"/>
        <v>0</v>
      </c>
      <c r="CK124" s="30">
        <f t="shared" si="16"/>
        <v>0</v>
      </c>
      <c r="CL124" s="67">
        <f t="shared" si="17"/>
        <v>0</v>
      </c>
      <c r="CM124" s="30">
        <v>0</v>
      </c>
      <c r="CN124" s="30">
        <v>0</v>
      </c>
      <c r="CO124" s="30">
        <v>0</v>
      </c>
      <c r="CP124" s="30">
        <v>0</v>
      </c>
      <c r="CQ124" s="67">
        <v>0</v>
      </c>
    </row>
    <row r="125" spans="1:95" x14ac:dyDescent="0.3">
      <c r="A125" s="9">
        <v>27</v>
      </c>
      <c r="B125" s="9" t="s">
        <v>0</v>
      </c>
      <c r="C125" s="9" t="s">
        <v>1</v>
      </c>
      <c r="D125" s="9" t="s">
        <v>4</v>
      </c>
      <c r="E125" s="9">
        <v>1</v>
      </c>
      <c r="F125" s="9" t="s">
        <v>6</v>
      </c>
      <c r="G125" s="9">
        <v>7.05</v>
      </c>
      <c r="H125" s="9">
        <v>6</v>
      </c>
      <c r="I125" s="9">
        <v>5.8532000000000002</v>
      </c>
      <c r="J125" s="9">
        <v>5.1673999999999998</v>
      </c>
      <c r="K125" s="9">
        <v>11.716667805644782</v>
      </c>
      <c r="L125" s="9">
        <v>26.703546099290783</v>
      </c>
      <c r="M125" s="7">
        <f t="shared" si="11"/>
        <v>2.102417425383158</v>
      </c>
      <c r="N125" s="9">
        <v>48.11</v>
      </c>
      <c r="O125" s="9">
        <v>1.3069999999999999</v>
      </c>
      <c r="P125" s="9">
        <v>8.1660000000000004</v>
      </c>
      <c r="Q125" s="9">
        <v>1.3380000000000001</v>
      </c>
      <c r="R125" s="9">
        <v>1.2269999999999999</v>
      </c>
      <c r="S125" s="2">
        <v>3</v>
      </c>
      <c r="T125" s="2">
        <v>2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39">
        <v>0</v>
      </c>
      <c r="AG125" s="40">
        <v>0</v>
      </c>
      <c r="AH125" s="2">
        <v>0</v>
      </c>
      <c r="AI125" s="2">
        <v>0</v>
      </c>
      <c r="AJ125" s="39">
        <v>0</v>
      </c>
      <c r="AK125" s="41">
        <v>0</v>
      </c>
      <c r="AL125" s="42">
        <v>0</v>
      </c>
      <c r="AM125" s="42">
        <v>0</v>
      </c>
      <c r="AN125" s="43">
        <v>0</v>
      </c>
      <c r="AO125" s="42">
        <v>0</v>
      </c>
      <c r="AP125" s="39">
        <v>0</v>
      </c>
      <c r="AQ125" s="2">
        <v>0</v>
      </c>
      <c r="AR125" s="39">
        <v>0</v>
      </c>
      <c r="AS125" s="41">
        <v>0</v>
      </c>
      <c r="AT125" s="2">
        <v>0</v>
      </c>
      <c r="AU125" s="2">
        <v>0</v>
      </c>
      <c r="AV125" s="2">
        <v>0</v>
      </c>
      <c r="AW125" s="39">
        <v>0</v>
      </c>
      <c r="AX125" s="2">
        <v>0</v>
      </c>
      <c r="AY125" s="2">
        <v>0</v>
      </c>
      <c r="AZ125" s="39">
        <v>0</v>
      </c>
      <c r="BA125" s="2">
        <v>0</v>
      </c>
      <c r="BB125" s="2">
        <v>0</v>
      </c>
      <c r="BC125" s="39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39">
        <v>0</v>
      </c>
      <c r="BL125" s="39">
        <v>0</v>
      </c>
      <c r="BM125" s="39">
        <v>0</v>
      </c>
      <c r="BN125" s="39">
        <v>0</v>
      </c>
      <c r="BO125" s="39">
        <v>0</v>
      </c>
      <c r="BP125" s="2">
        <v>0</v>
      </c>
      <c r="BQ125" s="2">
        <v>0</v>
      </c>
      <c r="BR125" s="39">
        <v>0</v>
      </c>
      <c r="BS125" s="44">
        <v>0</v>
      </c>
      <c r="BT125" s="2">
        <v>0</v>
      </c>
      <c r="BU125" s="39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45">
        <v>0</v>
      </c>
      <c r="CG125" s="67">
        <f t="shared" si="12"/>
        <v>5</v>
      </c>
      <c r="CH125" s="69">
        <f t="shared" si="13"/>
        <v>2</v>
      </c>
      <c r="CI125" s="30">
        <f t="shared" si="14"/>
        <v>0</v>
      </c>
      <c r="CJ125" s="30">
        <f t="shared" si="15"/>
        <v>5</v>
      </c>
      <c r="CK125" s="30">
        <f t="shared" si="16"/>
        <v>0</v>
      </c>
      <c r="CL125" s="67">
        <f t="shared" si="17"/>
        <v>1</v>
      </c>
      <c r="CM125" s="30">
        <v>5</v>
      </c>
      <c r="CN125" s="30">
        <v>0</v>
      </c>
      <c r="CO125" s="30">
        <v>0</v>
      </c>
      <c r="CP125" s="30">
        <v>0</v>
      </c>
      <c r="CQ125" s="67">
        <v>1</v>
      </c>
    </row>
    <row r="126" spans="1:95" x14ac:dyDescent="0.3">
      <c r="A126" s="9">
        <v>44</v>
      </c>
      <c r="B126" s="9" t="s">
        <v>0</v>
      </c>
      <c r="C126" s="9" t="s">
        <v>1</v>
      </c>
      <c r="D126" s="9" t="s">
        <v>4</v>
      </c>
      <c r="E126" s="9">
        <v>5</v>
      </c>
      <c r="F126" s="9" t="s">
        <v>6</v>
      </c>
      <c r="G126" s="9">
        <v>7.06</v>
      </c>
      <c r="H126" s="9">
        <v>6</v>
      </c>
      <c r="I126" s="9">
        <v>6.0739999999999998</v>
      </c>
      <c r="J126" s="9">
        <v>4.9717000000000002</v>
      </c>
      <c r="K126" s="9">
        <v>18.14784326638129</v>
      </c>
      <c r="L126" s="9">
        <v>29.579320113314438</v>
      </c>
      <c r="M126" s="7">
        <f t="shared" si="11"/>
        <v>2.1424426867973412</v>
      </c>
      <c r="N126" s="9">
        <v>47.8</v>
      </c>
      <c r="O126" s="9">
        <v>1.121</v>
      </c>
      <c r="P126" s="9">
        <v>7.0039999999999996</v>
      </c>
      <c r="Q126" s="9">
        <v>1.262</v>
      </c>
      <c r="R126" s="9">
        <v>1.157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39">
        <v>0</v>
      </c>
      <c r="AG126" s="40">
        <v>7</v>
      </c>
      <c r="AH126" s="2">
        <v>0</v>
      </c>
      <c r="AI126" s="2">
        <v>0</v>
      </c>
      <c r="AJ126" s="39">
        <v>0</v>
      </c>
      <c r="AK126" s="41">
        <v>0</v>
      </c>
      <c r="AL126" s="42">
        <v>0</v>
      </c>
      <c r="AM126" s="42">
        <v>0</v>
      </c>
      <c r="AN126" s="43">
        <v>0</v>
      </c>
      <c r="AO126" s="42">
        <v>0</v>
      </c>
      <c r="AP126" s="39">
        <v>0</v>
      </c>
      <c r="AQ126" s="2">
        <v>1</v>
      </c>
      <c r="AR126" s="39">
        <v>0</v>
      </c>
      <c r="AS126" s="41">
        <v>0</v>
      </c>
      <c r="AT126" s="2">
        <v>0</v>
      </c>
      <c r="AU126" s="2">
        <v>0</v>
      </c>
      <c r="AV126" s="2">
        <v>0</v>
      </c>
      <c r="AW126" s="39">
        <v>0</v>
      </c>
      <c r="AX126" s="2">
        <v>0</v>
      </c>
      <c r="AY126" s="2">
        <v>0</v>
      </c>
      <c r="AZ126" s="39">
        <v>0</v>
      </c>
      <c r="BA126" s="2">
        <v>0</v>
      </c>
      <c r="BB126" s="2">
        <v>0</v>
      </c>
      <c r="BC126" s="39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39">
        <v>0</v>
      </c>
      <c r="BL126" s="39">
        <v>0</v>
      </c>
      <c r="BM126" s="39">
        <v>0</v>
      </c>
      <c r="BN126" s="39">
        <v>0</v>
      </c>
      <c r="BO126" s="39">
        <v>0</v>
      </c>
      <c r="BP126" s="2">
        <v>0</v>
      </c>
      <c r="BQ126" s="2">
        <v>0</v>
      </c>
      <c r="BR126" s="39">
        <v>0</v>
      </c>
      <c r="BS126" s="44">
        <v>0</v>
      </c>
      <c r="BT126" s="2">
        <v>0</v>
      </c>
      <c r="BU126" s="39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45">
        <v>0</v>
      </c>
      <c r="CG126" s="67">
        <f t="shared" si="12"/>
        <v>9</v>
      </c>
      <c r="CH126" s="69">
        <f t="shared" si="13"/>
        <v>3</v>
      </c>
      <c r="CI126" s="30">
        <f t="shared" si="14"/>
        <v>0</v>
      </c>
      <c r="CJ126" s="30">
        <f t="shared" si="15"/>
        <v>9</v>
      </c>
      <c r="CK126" s="30">
        <f t="shared" si="16"/>
        <v>0</v>
      </c>
      <c r="CL126" s="67">
        <f t="shared" si="17"/>
        <v>1</v>
      </c>
      <c r="CM126" s="30">
        <v>9</v>
      </c>
      <c r="CN126" s="30">
        <v>0</v>
      </c>
      <c r="CO126" s="30">
        <v>0</v>
      </c>
      <c r="CP126" s="30">
        <v>0</v>
      </c>
      <c r="CQ126" s="67">
        <v>1</v>
      </c>
    </row>
    <row r="127" spans="1:95" x14ac:dyDescent="0.3">
      <c r="A127" s="9">
        <v>46</v>
      </c>
      <c r="B127" s="9" t="s">
        <v>0</v>
      </c>
      <c r="C127" s="9" t="s">
        <v>1</v>
      </c>
      <c r="D127" s="9" t="s">
        <v>4</v>
      </c>
      <c r="E127" s="9">
        <v>4</v>
      </c>
      <c r="F127" s="9" t="s">
        <v>6</v>
      </c>
      <c r="G127" s="9">
        <v>6.98</v>
      </c>
      <c r="H127" s="9">
        <v>6</v>
      </c>
      <c r="I127" s="9">
        <v>8.0637000000000008</v>
      </c>
      <c r="J127" s="9">
        <v>5.2488000000000001</v>
      </c>
      <c r="K127" s="9">
        <v>34.908292719223191</v>
      </c>
      <c r="L127" s="9">
        <v>24.802292263610319</v>
      </c>
      <c r="M127" s="7">
        <f t="shared" si="11"/>
        <v>2.0768089069538056</v>
      </c>
      <c r="N127" s="9">
        <v>44.99</v>
      </c>
      <c r="O127" s="9">
        <v>1.1200000000000001</v>
      </c>
      <c r="P127" s="9">
        <v>7</v>
      </c>
      <c r="Q127" s="9">
        <v>0.69899999999999995</v>
      </c>
      <c r="R127" s="9">
        <v>0.6</v>
      </c>
      <c r="S127" s="2">
        <v>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39">
        <v>0</v>
      </c>
      <c r="AG127" s="40">
        <v>0</v>
      </c>
      <c r="AH127" s="2">
        <v>0</v>
      </c>
      <c r="AI127" s="2">
        <v>0</v>
      </c>
      <c r="AJ127" s="39">
        <v>0</v>
      </c>
      <c r="AK127" s="41">
        <v>0</v>
      </c>
      <c r="AL127" s="42">
        <v>0</v>
      </c>
      <c r="AM127" s="42">
        <v>0</v>
      </c>
      <c r="AN127" s="43">
        <v>0</v>
      </c>
      <c r="AO127" s="42">
        <v>0</v>
      </c>
      <c r="AP127" s="39">
        <v>0</v>
      </c>
      <c r="AQ127" s="2">
        <v>0</v>
      </c>
      <c r="AR127" s="39">
        <v>0</v>
      </c>
      <c r="AS127" s="41">
        <v>0</v>
      </c>
      <c r="AT127" s="2">
        <v>0</v>
      </c>
      <c r="AU127" s="2">
        <v>0</v>
      </c>
      <c r="AV127" s="2">
        <v>0</v>
      </c>
      <c r="AW127" s="39">
        <v>0</v>
      </c>
      <c r="AX127" s="2">
        <v>0</v>
      </c>
      <c r="AY127" s="2">
        <v>0</v>
      </c>
      <c r="AZ127" s="39">
        <v>0</v>
      </c>
      <c r="BA127" s="2">
        <v>0</v>
      </c>
      <c r="BB127" s="2">
        <v>0</v>
      </c>
      <c r="BC127" s="39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39">
        <v>0</v>
      </c>
      <c r="BL127" s="39">
        <v>0</v>
      </c>
      <c r="BM127" s="39">
        <v>0</v>
      </c>
      <c r="BN127" s="39">
        <v>0</v>
      </c>
      <c r="BO127" s="39">
        <v>0</v>
      </c>
      <c r="BP127" s="2">
        <v>0</v>
      </c>
      <c r="BQ127" s="2">
        <v>0</v>
      </c>
      <c r="BR127" s="39">
        <v>0</v>
      </c>
      <c r="BS127" s="44">
        <v>0</v>
      </c>
      <c r="BT127" s="2">
        <v>0</v>
      </c>
      <c r="BU127" s="39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45">
        <v>0</v>
      </c>
      <c r="CG127" s="67">
        <f t="shared" si="12"/>
        <v>3</v>
      </c>
      <c r="CH127" s="69">
        <f t="shared" si="13"/>
        <v>1</v>
      </c>
      <c r="CI127" s="30">
        <f t="shared" si="14"/>
        <v>0</v>
      </c>
      <c r="CJ127" s="30">
        <f t="shared" si="15"/>
        <v>3</v>
      </c>
      <c r="CK127" s="30">
        <f t="shared" si="16"/>
        <v>0</v>
      </c>
      <c r="CL127" s="67">
        <f t="shared" si="17"/>
        <v>1</v>
      </c>
      <c r="CM127" s="30">
        <v>3</v>
      </c>
      <c r="CN127" s="30">
        <v>0</v>
      </c>
      <c r="CO127" s="30">
        <v>0</v>
      </c>
      <c r="CP127" s="30">
        <v>0</v>
      </c>
      <c r="CQ127" s="67">
        <v>1</v>
      </c>
    </row>
    <row r="128" spans="1:95" x14ac:dyDescent="0.3">
      <c r="A128" s="9">
        <v>49</v>
      </c>
      <c r="B128" s="9" t="s">
        <v>0</v>
      </c>
      <c r="C128" s="9" t="s">
        <v>14</v>
      </c>
      <c r="D128" s="9" t="s">
        <v>4</v>
      </c>
      <c r="E128" s="9">
        <v>1</v>
      </c>
      <c r="F128" s="9" t="s">
        <v>6</v>
      </c>
      <c r="G128" s="9">
        <v>6.9300000000000006</v>
      </c>
      <c r="H128" s="9">
        <v>6</v>
      </c>
      <c r="I128" s="9">
        <v>6.0578000000000003</v>
      </c>
      <c r="J128" s="9">
        <v>5.2534999999999998</v>
      </c>
      <c r="K128" s="9">
        <v>13.277097296048076</v>
      </c>
      <c r="L128" s="9">
        <v>24.191919191919201</v>
      </c>
      <c r="M128" s="7">
        <f t="shared" si="11"/>
        <v>2.0687247612831738</v>
      </c>
      <c r="N128" s="9">
        <v>48.21</v>
      </c>
      <c r="O128" s="9">
        <v>1.0609999999999999</v>
      </c>
      <c r="P128" s="9">
        <v>6.63</v>
      </c>
      <c r="Q128" s="9">
        <v>1.8420000000000001</v>
      </c>
      <c r="R128" s="9">
        <v>1.18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39">
        <v>0</v>
      </c>
      <c r="AG128" s="40">
        <v>0</v>
      </c>
      <c r="AH128" s="2">
        <v>0</v>
      </c>
      <c r="AI128" s="2">
        <v>0</v>
      </c>
      <c r="AJ128" s="39">
        <v>0</v>
      </c>
      <c r="AK128" s="41">
        <v>0</v>
      </c>
      <c r="AL128" s="42">
        <v>0</v>
      </c>
      <c r="AM128" s="42">
        <v>0</v>
      </c>
      <c r="AN128" s="43">
        <v>0</v>
      </c>
      <c r="AO128" s="42">
        <v>0</v>
      </c>
      <c r="AP128" s="39">
        <v>0</v>
      </c>
      <c r="AQ128" s="2">
        <v>0</v>
      </c>
      <c r="AR128" s="39">
        <v>0</v>
      </c>
      <c r="AS128" s="41">
        <v>0</v>
      </c>
      <c r="AT128" s="2">
        <v>0</v>
      </c>
      <c r="AU128" s="2">
        <v>0</v>
      </c>
      <c r="AV128" s="2">
        <v>0</v>
      </c>
      <c r="AW128" s="39">
        <v>0</v>
      </c>
      <c r="AX128" s="2">
        <v>0</v>
      </c>
      <c r="AY128" s="2">
        <v>0</v>
      </c>
      <c r="AZ128" s="39">
        <v>0</v>
      </c>
      <c r="BA128" s="2">
        <v>0</v>
      </c>
      <c r="BB128" s="2">
        <v>0</v>
      </c>
      <c r="BC128" s="39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39">
        <v>0</v>
      </c>
      <c r="BL128" s="39">
        <v>0</v>
      </c>
      <c r="BM128" s="39">
        <v>0</v>
      </c>
      <c r="BN128" s="39">
        <v>0</v>
      </c>
      <c r="BO128" s="39">
        <v>0</v>
      </c>
      <c r="BP128" s="2">
        <v>0</v>
      </c>
      <c r="BQ128" s="2">
        <v>0</v>
      </c>
      <c r="BR128" s="39">
        <v>0</v>
      </c>
      <c r="BS128" s="44">
        <v>0</v>
      </c>
      <c r="BT128" s="2">
        <v>0</v>
      </c>
      <c r="BU128" s="39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45">
        <v>0</v>
      </c>
      <c r="CG128" s="67">
        <f t="shared" si="12"/>
        <v>0</v>
      </c>
      <c r="CH128" s="69">
        <f t="shared" si="13"/>
        <v>0</v>
      </c>
      <c r="CI128" s="30">
        <f t="shared" si="14"/>
        <v>0</v>
      </c>
      <c r="CJ128" s="30">
        <f t="shared" si="15"/>
        <v>0</v>
      </c>
      <c r="CK128" s="30">
        <f t="shared" si="16"/>
        <v>0</v>
      </c>
      <c r="CL128" s="67">
        <f t="shared" si="17"/>
        <v>0</v>
      </c>
      <c r="CM128" s="30">
        <v>0</v>
      </c>
      <c r="CN128" s="30">
        <v>0</v>
      </c>
      <c r="CO128" s="30">
        <v>0</v>
      </c>
      <c r="CP128" s="30">
        <v>0</v>
      </c>
      <c r="CQ128" s="67">
        <v>0</v>
      </c>
    </row>
    <row r="129" spans="1:95" x14ac:dyDescent="0.3">
      <c r="A129" s="9">
        <v>52</v>
      </c>
      <c r="B129" s="9" t="s">
        <v>0</v>
      </c>
      <c r="C129" s="9" t="s">
        <v>14</v>
      </c>
      <c r="D129" s="9" t="s">
        <v>4</v>
      </c>
      <c r="E129" s="9">
        <v>4</v>
      </c>
      <c r="F129" s="9" t="s">
        <v>6</v>
      </c>
      <c r="G129" s="9">
        <v>6.9500000000000011</v>
      </c>
      <c r="H129" s="9">
        <v>6</v>
      </c>
      <c r="I129" s="9">
        <v>5.8727</v>
      </c>
      <c r="J129" s="9">
        <v>4.9980000000000002</v>
      </c>
      <c r="K129" s="9">
        <v>14.894341614589537</v>
      </c>
      <c r="L129" s="9">
        <v>28.086330935251809</v>
      </c>
      <c r="M129" s="7">
        <f t="shared" si="11"/>
        <v>2.1214632963919953</v>
      </c>
      <c r="N129" s="9">
        <v>47.25</v>
      </c>
      <c r="O129" s="9">
        <v>1.2070000000000001</v>
      </c>
      <c r="P129" s="9">
        <v>7.5419999999999998</v>
      </c>
      <c r="Q129" s="9">
        <v>1.252</v>
      </c>
      <c r="R129" s="9">
        <v>0.84599999999999997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39">
        <v>0</v>
      </c>
      <c r="AG129" s="40">
        <v>0</v>
      </c>
      <c r="AH129" s="2">
        <v>0</v>
      </c>
      <c r="AI129" s="2">
        <v>0</v>
      </c>
      <c r="AJ129" s="39">
        <v>0</v>
      </c>
      <c r="AK129" s="41">
        <v>0</v>
      </c>
      <c r="AL129" s="42">
        <v>0</v>
      </c>
      <c r="AM129" s="42">
        <v>0</v>
      </c>
      <c r="AN129" s="43">
        <v>0</v>
      </c>
      <c r="AO129" s="42">
        <v>0</v>
      </c>
      <c r="AP129" s="39">
        <v>0</v>
      </c>
      <c r="AQ129" s="2">
        <v>0</v>
      </c>
      <c r="AR129" s="39">
        <v>0</v>
      </c>
      <c r="AS129" s="41">
        <v>0</v>
      </c>
      <c r="AT129" s="2">
        <v>0</v>
      </c>
      <c r="AU129" s="2">
        <v>0</v>
      </c>
      <c r="AV129" s="2">
        <v>0</v>
      </c>
      <c r="AW129" s="39">
        <v>0</v>
      </c>
      <c r="AX129" s="2">
        <v>0</v>
      </c>
      <c r="AY129" s="2">
        <v>0</v>
      </c>
      <c r="AZ129" s="39">
        <v>0</v>
      </c>
      <c r="BA129" s="2">
        <v>0</v>
      </c>
      <c r="BB129" s="2">
        <v>0</v>
      </c>
      <c r="BC129" s="39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39">
        <v>0</v>
      </c>
      <c r="BL129" s="39">
        <v>0</v>
      </c>
      <c r="BM129" s="39">
        <v>0</v>
      </c>
      <c r="BN129" s="39">
        <v>0</v>
      </c>
      <c r="BO129" s="39">
        <v>0</v>
      </c>
      <c r="BP129" s="2">
        <v>0</v>
      </c>
      <c r="BQ129" s="2">
        <v>0</v>
      </c>
      <c r="BR129" s="39">
        <v>0</v>
      </c>
      <c r="BS129" s="44">
        <v>0</v>
      </c>
      <c r="BT129" s="2">
        <v>0</v>
      </c>
      <c r="BU129" s="39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45">
        <v>0</v>
      </c>
      <c r="CG129" s="67">
        <f t="shared" si="12"/>
        <v>1</v>
      </c>
      <c r="CH129" s="69">
        <f t="shared" si="13"/>
        <v>1</v>
      </c>
      <c r="CI129" s="30">
        <f t="shared" si="14"/>
        <v>0</v>
      </c>
      <c r="CJ129" s="30">
        <f t="shared" si="15"/>
        <v>1</v>
      </c>
      <c r="CK129" s="30">
        <f t="shared" si="16"/>
        <v>0</v>
      </c>
      <c r="CL129" s="67">
        <f t="shared" si="17"/>
        <v>1</v>
      </c>
      <c r="CM129" s="30">
        <v>1</v>
      </c>
      <c r="CN129" s="30">
        <v>0</v>
      </c>
      <c r="CO129" s="30">
        <v>0</v>
      </c>
      <c r="CP129" s="30">
        <v>0</v>
      </c>
      <c r="CQ129" s="67">
        <v>1</v>
      </c>
    </row>
    <row r="130" spans="1:95" x14ac:dyDescent="0.3">
      <c r="A130" s="9">
        <v>58</v>
      </c>
      <c r="B130" s="9" t="s">
        <v>0</v>
      </c>
      <c r="C130" s="9" t="s">
        <v>14</v>
      </c>
      <c r="D130" s="9" t="s">
        <v>4</v>
      </c>
      <c r="E130" s="9">
        <v>5</v>
      </c>
      <c r="F130" s="9" t="s">
        <v>6</v>
      </c>
      <c r="G130" s="9">
        <v>7.0200000000000005</v>
      </c>
      <c r="H130" s="9">
        <v>6</v>
      </c>
      <c r="I130" s="9">
        <v>6.1505999999999998</v>
      </c>
      <c r="J130" s="9">
        <v>5.2689000000000004</v>
      </c>
      <c r="K130" s="9">
        <v>14.335186811042815</v>
      </c>
      <c r="L130" s="9">
        <v>24.944444444444443</v>
      </c>
      <c r="M130" s="7">
        <f t="shared" ref="M130:M193" si="18">-LN((J130/G130)/H130)</f>
        <v>2.0787010751521122</v>
      </c>
      <c r="N130" s="9">
        <v>47.3</v>
      </c>
      <c r="O130" s="9">
        <v>1.034</v>
      </c>
      <c r="P130" s="9">
        <v>6.4619999999999997</v>
      </c>
      <c r="Q130" s="9">
        <v>1.1519999999999999</v>
      </c>
      <c r="R130" s="9">
        <v>0.96899999999999997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39">
        <v>0</v>
      </c>
      <c r="AG130" s="40">
        <v>0</v>
      </c>
      <c r="AH130" s="2">
        <v>0</v>
      </c>
      <c r="AI130" s="2">
        <v>0</v>
      </c>
      <c r="AJ130" s="39">
        <v>0</v>
      </c>
      <c r="AK130" s="41">
        <v>0</v>
      </c>
      <c r="AL130" s="42">
        <v>0</v>
      </c>
      <c r="AM130" s="42">
        <v>0</v>
      </c>
      <c r="AN130" s="43">
        <v>0</v>
      </c>
      <c r="AO130" s="42">
        <v>0</v>
      </c>
      <c r="AP130" s="39">
        <v>0</v>
      </c>
      <c r="AQ130" s="2">
        <v>0</v>
      </c>
      <c r="AR130" s="39">
        <v>0</v>
      </c>
      <c r="AS130" s="41">
        <v>0</v>
      </c>
      <c r="AT130" s="2">
        <v>0</v>
      </c>
      <c r="AU130" s="2">
        <v>0</v>
      </c>
      <c r="AV130" s="2">
        <v>0</v>
      </c>
      <c r="AW130" s="39">
        <v>0</v>
      </c>
      <c r="AX130" s="2">
        <v>0</v>
      </c>
      <c r="AY130" s="2">
        <v>0</v>
      </c>
      <c r="AZ130" s="39">
        <v>0</v>
      </c>
      <c r="BA130" s="2">
        <v>0</v>
      </c>
      <c r="BB130" s="2">
        <v>0</v>
      </c>
      <c r="BC130" s="39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39">
        <v>0</v>
      </c>
      <c r="BL130" s="39">
        <v>0</v>
      </c>
      <c r="BM130" s="39">
        <v>0</v>
      </c>
      <c r="BN130" s="39">
        <v>0</v>
      </c>
      <c r="BO130" s="39">
        <v>0</v>
      </c>
      <c r="BP130" s="2">
        <v>0</v>
      </c>
      <c r="BQ130" s="2">
        <v>0</v>
      </c>
      <c r="BR130" s="39">
        <v>0</v>
      </c>
      <c r="BS130" s="44">
        <v>0</v>
      </c>
      <c r="BT130" s="2">
        <v>0</v>
      </c>
      <c r="BU130" s="39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45">
        <v>0</v>
      </c>
      <c r="CG130" s="67">
        <f t="shared" ref="CG130:CG193" si="19">SUM(S130:CF130)</f>
        <v>1</v>
      </c>
      <c r="CH130" s="69">
        <f t="shared" ref="CH130:CH193" si="20">COUNTIF(S130:CF130,"&gt;0")</f>
        <v>1</v>
      </c>
      <c r="CI130" s="30">
        <f t="shared" ref="CI130:CI193" si="21">SUM(AS130)</f>
        <v>0</v>
      </c>
      <c r="CJ130" s="30">
        <f t="shared" ref="CJ130:CJ193" si="22">SUM(S130:AH130,AJ130,AL130:AO130,AQ130:AR130,BL130:BM130)</f>
        <v>1</v>
      </c>
      <c r="CK130" s="30">
        <f t="shared" ref="CK130:CK193" si="23">SUM(AI130,AK130,AT130:BK130,BN130:CF130)</f>
        <v>0</v>
      </c>
      <c r="CL130" s="67">
        <f t="shared" ref="CL130:CL193" si="24">COUNTIF(CI130:CK130,"&gt;0")</f>
        <v>1</v>
      </c>
      <c r="CM130" s="30">
        <v>1</v>
      </c>
      <c r="CN130" s="30">
        <v>0</v>
      </c>
      <c r="CO130" s="30">
        <v>0</v>
      </c>
      <c r="CP130" s="30">
        <v>0</v>
      </c>
      <c r="CQ130" s="67">
        <v>1</v>
      </c>
    </row>
    <row r="131" spans="1:95" x14ac:dyDescent="0.3">
      <c r="A131" s="9">
        <v>122</v>
      </c>
      <c r="B131" s="9" t="s">
        <v>0</v>
      </c>
      <c r="C131" s="9" t="s">
        <v>1</v>
      </c>
      <c r="D131" s="9" t="s">
        <v>5</v>
      </c>
      <c r="E131" s="9">
        <v>5</v>
      </c>
      <c r="F131" s="9" t="s">
        <v>6</v>
      </c>
      <c r="G131" s="9">
        <v>7.08</v>
      </c>
      <c r="H131" s="9">
        <v>6</v>
      </c>
      <c r="I131" s="9">
        <v>7.1124000000000001</v>
      </c>
      <c r="J131" s="9">
        <v>5.3857999999999997</v>
      </c>
      <c r="K131" s="9">
        <v>24.275912490861039</v>
      </c>
      <c r="L131" s="9">
        <v>23.92937853107345</v>
      </c>
      <c r="M131" s="7">
        <f t="shared" si="18"/>
        <v>2.0652675165423124</v>
      </c>
      <c r="N131" s="9">
        <v>48.4</v>
      </c>
      <c r="O131" s="9">
        <v>1.0169999999999999</v>
      </c>
      <c r="P131" s="9">
        <v>6.3540000000000001</v>
      </c>
      <c r="Q131" s="9">
        <v>0.56299999999999994</v>
      </c>
      <c r="R131" s="9">
        <v>1.2150000000000001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39">
        <v>0</v>
      </c>
      <c r="AG131" s="40">
        <v>8</v>
      </c>
      <c r="AH131" s="2">
        <v>0</v>
      </c>
      <c r="AI131" s="2">
        <v>0</v>
      </c>
      <c r="AJ131" s="39">
        <v>0</v>
      </c>
      <c r="AK131" s="41">
        <v>1</v>
      </c>
      <c r="AL131" s="42">
        <v>0</v>
      </c>
      <c r="AM131" s="42">
        <v>0</v>
      </c>
      <c r="AN131" s="43">
        <v>0</v>
      </c>
      <c r="AO131" s="42">
        <v>0</v>
      </c>
      <c r="AP131" s="39">
        <v>0</v>
      </c>
      <c r="AQ131" s="2">
        <v>0</v>
      </c>
      <c r="AR131" s="39">
        <v>0</v>
      </c>
      <c r="AS131" s="41">
        <v>0</v>
      </c>
      <c r="AT131" s="2">
        <v>0</v>
      </c>
      <c r="AU131" s="2">
        <v>0</v>
      </c>
      <c r="AV131" s="2">
        <v>0</v>
      </c>
      <c r="AW131" s="39">
        <v>0</v>
      </c>
      <c r="AX131" s="2">
        <v>0</v>
      </c>
      <c r="AY131" s="2">
        <v>0</v>
      </c>
      <c r="AZ131" s="39">
        <v>0</v>
      </c>
      <c r="BA131" s="2">
        <v>0</v>
      </c>
      <c r="BB131" s="2">
        <v>0</v>
      </c>
      <c r="BC131" s="39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39">
        <v>0</v>
      </c>
      <c r="BL131" s="39">
        <v>0</v>
      </c>
      <c r="BM131" s="39">
        <v>0</v>
      </c>
      <c r="BN131" s="39">
        <v>0</v>
      </c>
      <c r="BO131" s="39">
        <v>0</v>
      </c>
      <c r="BP131" s="2">
        <v>0</v>
      </c>
      <c r="BQ131" s="2">
        <v>0</v>
      </c>
      <c r="BR131" s="39">
        <v>0</v>
      </c>
      <c r="BS131" s="44">
        <v>0</v>
      </c>
      <c r="BT131" s="2">
        <v>0</v>
      </c>
      <c r="BU131" s="39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45">
        <v>0</v>
      </c>
      <c r="CG131" s="67">
        <f t="shared" si="19"/>
        <v>9</v>
      </c>
      <c r="CH131" s="69">
        <f t="shared" si="20"/>
        <v>2</v>
      </c>
      <c r="CI131" s="30">
        <f t="shared" si="21"/>
        <v>0</v>
      </c>
      <c r="CJ131" s="30">
        <f t="shared" si="22"/>
        <v>8</v>
      </c>
      <c r="CK131" s="30">
        <f t="shared" si="23"/>
        <v>1</v>
      </c>
      <c r="CL131" s="67">
        <f t="shared" si="24"/>
        <v>2</v>
      </c>
      <c r="CM131" s="30">
        <v>9</v>
      </c>
      <c r="CN131" s="30">
        <v>0</v>
      </c>
      <c r="CO131" s="30">
        <v>0</v>
      </c>
      <c r="CP131" s="30">
        <v>0</v>
      </c>
      <c r="CQ131" s="67">
        <v>1</v>
      </c>
    </row>
    <row r="132" spans="1:95" x14ac:dyDescent="0.3">
      <c r="A132" s="9">
        <v>128</v>
      </c>
      <c r="B132" s="9" t="s">
        <v>0</v>
      </c>
      <c r="C132" s="9" t="s">
        <v>1</v>
      </c>
      <c r="D132" s="9" t="s">
        <v>5</v>
      </c>
      <c r="E132" s="9">
        <v>4</v>
      </c>
      <c r="F132" s="9" t="s">
        <v>6</v>
      </c>
      <c r="G132" s="9">
        <v>7.06</v>
      </c>
      <c r="H132" s="9">
        <v>6</v>
      </c>
      <c r="I132" s="9">
        <v>9.2081</v>
      </c>
      <c r="J132" s="9">
        <v>5.8403</v>
      </c>
      <c r="K132" s="9">
        <v>36.574320435268945</v>
      </c>
      <c r="L132" s="9">
        <v>17.27620396600566</v>
      </c>
      <c r="M132" s="7">
        <f t="shared" si="18"/>
        <v>1.9814223553494426</v>
      </c>
      <c r="N132" s="9">
        <v>39.340000000000003</v>
      </c>
      <c r="O132" s="9">
        <v>1.1910000000000001</v>
      </c>
      <c r="P132" s="9">
        <v>7.4420000000000002</v>
      </c>
      <c r="Q132" s="9">
        <v>0.51</v>
      </c>
      <c r="R132" s="9">
        <v>0.51600000000000001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39">
        <v>0</v>
      </c>
      <c r="AG132" s="40">
        <v>3</v>
      </c>
      <c r="AH132" s="2">
        <v>0</v>
      </c>
      <c r="AI132" s="2">
        <v>0</v>
      </c>
      <c r="AJ132" s="39">
        <v>1</v>
      </c>
      <c r="AK132" s="41">
        <v>0</v>
      </c>
      <c r="AL132" s="42">
        <v>0</v>
      </c>
      <c r="AM132" s="42">
        <v>0</v>
      </c>
      <c r="AN132" s="43">
        <v>0</v>
      </c>
      <c r="AO132" s="42">
        <v>0</v>
      </c>
      <c r="AP132" s="39">
        <v>0</v>
      </c>
      <c r="AQ132" s="2">
        <v>0</v>
      </c>
      <c r="AR132" s="39">
        <v>0</v>
      </c>
      <c r="AS132" s="41">
        <v>0</v>
      </c>
      <c r="AT132" s="2">
        <v>0</v>
      </c>
      <c r="AU132" s="2">
        <v>0</v>
      </c>
      <c r="AV132" s="2">
        <v>0</v>
      </c>
      <c r="AW132" s="39">
        <v>0</v>
      </c>
      <c r="AX132" s="2">
        <v>0</v>
      </c>
      <c r="AY132" s="2">
        <v>0</v>
      </c>
      <c r="AZ132" s="39">
        <v>0</v>
      </c>
      <c r="BA132" s="2">
        <v>0</v>
      </c>
      <c r="BB132" s="2">
        <v>0</v>
      </c>
      <c r="BC132" s="39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39">
        <v>0</v>
      </c>
      <c r="BL132" s="39">
        <v>0</v>
      </c>
      <c r="BM132" s="39">
        <v>0</v>
      </c>
      <c r="BN132" s="39">
        <v>0</v>
      </c>
      <c r="BO132" s="39">
        <v>0</v>
      </c>
      <c r="BP132" s="2">
        <v>0</v>
      </c>
      <c r="BQ132" s="2">
        <v>0</v>
      </c>
      <c r="BR132" s="39">
        <v>0</v>
      </c>
      <c r="BS132" s="44">
        <v>0</v>
      </c>
      <c r="BT132" s="2">
        <v>0</v>
      </c>
      <c r="BU132" s="39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45">
        <v>0</v>
      </c>
      <c r="CG132" s="67">
        <f t="shared" si="19"/>
        <v>4</v>
      </c>
      <c r="CH132" s="69">
        <f t="shared" si="20"/>
        <v>2</v>
      </c>
      <c r="CI132" s="30">
        <f t="shared" si="21"/>
        <v>0</v>
      </c>
      <c r="CJ132" s="30">
        <f t="shared" si="22"/>
        <v>4</v>
      </c>
      <c r="CK132" s="30">
        <f t="shared" si="23"/>
        <v>0</v>
      </c>
      <c r="CL132" s="67">
        <f t="shared" si="24"/>
        <v>1</v>
      </c>
      <c r="CM132" s="30">
        <v>4</v>
      </c>
      <c r="CN132" s="30">
        <v>3</v>
      </c>
      <c r="CO132" s="30">
        <v>0</v>
      </c>
      <c r="CP132" s="30">
        <v>0</v>
      </c>
      <c r="CQ132" s="67">
        <v>2</v>
      </c>
    </row>
    <row r="133" spans="1:95" x14ac:dyDescent="0.3">
      <c r="A133" s="9">
        <v>147</v>
      </c>
      <c r="B133" s="9" t="s">
        <v>0</v>
      </c>
      <c r="C133" s="9" t="s">
        <v>14</v>
      </c>
      <c r="D133" s="9" t="s">
        <v>5</v>
      </c>
      <c r="E133" s="9">
        <v>3</v>
      </c>
      <c r="F133" s="9" t="s">
        <v>6</v>
      </c>
      <c r="G133" s="9">
        <v>6.99</v>
      </c>
      <c r="H133" s="9">
        <v>6</v>
      </c>
      <c r="I133" s="9">
        <v>6.2760999999999996</v>
      </c>
      <c r="J133" s="9">
        <v>5.3148999999999997</v>
      </c>
      <c r="K133" s="9">
        <v>15.315243542964579</v>
      </c>
      <c r="L133" s="9">
        <v>23.964234620886987</v>
      </c>
      <c r="M133" s="7">
        <f t="shared" si="18"/>
        <v>2.0657258285323077</v>
      </c>
      <c r="N133" s="9">
        <v>47.06</v>
      </c>
      <c r="O133" s="9">
        <v>0.97499999999999998</v>
      </c>
      <c r="P133" s="9">
        <v>6.0949999999999998</v>
      </c>
      <c r="Q133" s="9">
        <v>0.624</v>
      </c>
      <c r="R133" s="9">
        <v>0.59399999999999997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1</v>
      </c>
      <c r="AE133" s="2">
        <v>0</v>
      </c>
      <c r="AF133" s="39">
        <v>0</v>
      </c>
      <c r="AG133" s="40">
        <v>10</v>
      </c>
      <c r="AH133" s="2">
        <v>0</v>
      </c>
      <c r="AI133" s="2">
        <v>0</v>
      </c>
      <c r="AJ133" s="39">
        <v>0</v>
      </c>
      <c r="AK133" s="41">
        <v>0</v>
      </c>
      <c r="AL133" s="42">
        <v>0</v>
      </c>
      <c r="AM133" s="42">
        <v>0</v>
      </c>
      <c r="AN133" s="43">
        <v>0</v>
      </c>
      <c r="AO133" s="42">
        <v>0</v>
      </c>
      <c r="AP133" s="39">
        <v>0</v>
      </c>
      <c r="AQ133" s="2">
        <v>0</v>
      </c>
      <c r="AR133" s="39">
        <v>0</v>
      </c>
      <c r="AS133" s="41">
        <v>0</v>
      </c>
      <c r="AT133" s="2">
        <v>0</v>
      </c>
      <c r="AU133" s="2">
        <v>0</v>
      </c>
      <c r="AV133" s="2">
        <v>0</v>
      </c>
      <c r="AW133" s="39">
        <v>0</v>
      </c>
      <c r="AX133" s="2">
        <v>0</v>
      </c>
      <c r="AY133" s="2">
        <v>0</v>
      </c>
      <c r="AZ133" s="39">
        <v>0</v>
      </c>
      <c r="BA133" s="2">
        <v>0</v>
      </c>
      <c r="BB133" s="2">
        <v>0</v>
      </c>
      <c r="BC133" s="39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39">
        <v>0</v>
      </c>
      <c r="BL133" s="39">
        <v>0</v>
      </c>
      <c r="BM133" s="39">
        <v>0</v>
      </c>
      <c r="BN133" s="39">
        <v>0</v>
      </c>
      <c r="BO133" s="39">
        <v>0</v>
      </c>
      <c r="BP133" s="2">
        <v>1</v>
      </c>
      <c r="BQ133" s="2">
        <v>0</v>
      </c>
      <c r="BR133" s="39">
        <v>0</v>
      </c>
      <c r="BS133" s="44">
        <v>0</v>
      </c>
      <c r="BT133" s="2">
        <v>0</v>
      </c>
      <c r="BU133" s="39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1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45">
        <v>0</v>
      </c>
      <c r="CG133" s="67">
        <f t="shared" si="19"/>
        <v>14</v>
      </c>
      <c r="CH133" s="69">
        <f t="shared" si="20"/>
        <v>5</v>
      </c>
      <c r="CI133" s="30">
        <f t="shared" si="21"/>
        <v>0</v>
      </c>
      <c r="CJ133" s="30">
        <f t="shared" si="22"/>
        <v>12</v>
      </c>
      <c r="CK133" s="30">
        <f t="shared" si="23"/>
        <v>2</v>
      </c>
      <c r="CL133" s="67">
        <f t="shared" si="24"/>
        <v>2</v>
      </c>
      <c r="CM133" s="30">
        <v>11</v>
      </c>
      <c r="CN133" s="30">
        <v>0</v>
      </c>
      <c r="CO133" s="30">
        <v>0</v>
      </c>
      <c r="CP133" s="30">
        <v>3</v>
      </c>
      <c r="CQ133" s="67">
        <v>1</v>
      </c>
    </row>
    <row r="134" spans="1:95" x14ac:dyDescent="0.3">
      <c r="A134" s="9">
        <v>149</v>
      </c>
      <c r="B134" s="9" t="s">
        <v>0</v>
      </c>
      <c r="C134" s="9" t="s">
        <v>14</v>
      </c>
      <c r="D134" s="9" t="s">
        <v>5</v>
      </c>
      <c r="E134" s="9">
        <v>5</v>
      </c>
      <c r="F134" s="9" t="s">
        <v>6</v>
      </c>
      <c r="G134" s="9">
        <v>7.01</v>
      </c>
      <c r="H134" s="9">
        <v>6</v>
      </c>
      <c r="I134" s="9">
        <v>6.0053000000000001</v>
      </c>
      <c r="J134" s="9">
        <v>5.1062000000000003</v>
      </c>
      <c r="K134" s="9">
        <v>14.971774932143269</v>
      </c>
      <c r="L134" s="9">
        <v>27.15834522111269</v>
      </c>
      <c r="M134" s="7">
        <f t="shared" si="18"/>
        <v>2.1086416826179835</v>
      </c>
      <c r="N134" s="9">
        <v>47.25</v>
      </c>
      <c r="O134" s="9">
        <v>1.008</v>
      </c>
      <c r="P134" s="9">
        <v>6.298</v>
      </c>
      <c r="Q134" s="9">
        <v>0.58199999999999996</v>
      </c>
      <c r="R134" s="9">
        <v>0.45099999999999996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39">
        <v>0</v>
      </c>
      <c r="AG134" s="40">
        <v>0</v>
      </c>
      <c r="AH134" s="2">
        <v>0</v>
      </c>
      <c r="AI134" s="2">
        <v>0</v>
      </c>
      <c r="AJ134" s="39">
        <v>0</v>
      </c>
      <c r="AK134" s="41">
        <v>0</v>
      </c>
      <c r="AL134" s="42">
        <v>0</v>
      </c>
      <c r="AM134" s="42">
        <v>0</v>
      </c>
      <c r="AN134" s="43">
        <v>0</v>
      </c>
      <c r="AO134" s="42">
        <v>0</v>
      </c>
      <c r="AP134" s="39">
        <v>0</v>
      </c>
      <c r="AQ134" s="2">
        <v>0</v>
      </c>
      <c r="AR134" s="39">
        <v>0</v>
      </c>
      <c r="AS134" s="41">
        <v>0</v>
      </c>
      <c r="AT134" s="2">
        <v>0</v>
      </c>
      <c r="AU134" s="2">
        <v>0</v>
      </c>
      <c r="AV134" s="2">
        <v>0</v>
      </c>
      <c r="AW134" s="39">
        <v>0</v>
      </c>
      <c r="AX134" s="2">
        <v>0</v>
      </c>
      <c r="AY134" s="2">
        <v>0</v>
      </c>
      <c r="AZ134" s="39">
        <v>0</v>
      </c>
      <c r="BA134" s="2">
        <v>0</v>
      </c>
      <c r="BB134" s="2">
        <v>0</v>
      </c>
      <c r="BC134" s="39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39">
        <v>0</v>
      </c>
      <c r="BL134" s="39">
        <v>0</v>
      </c>
      <c r="BM134" s="39">
        <v>0</v>
      </c>
      <c r="BN134" s="39">
        <v>0</v>
      </c>
      <c r="BO134" s="39">
        <v>0</v>
      </c>
      <c r="BP134" s="2">
        <v>0</v>
      </c>
      <c r="BQ134" s="2">
        <v>0</v>
      </c>
      <c r="BR134" s="39">
        <v>0</v>
      </c>
      <c r="BS134" s="44">
        <v>0</v>
      </c>
      <c r="BT134" s="2">
        <v>0</v>
      </c>
      <c r="BU134" s="39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45">
        <v>0</v>
      </c>
      <c r="CG134" s="67">
        <f t="shared" si="19"/>
        <v>0</v>
      </c>
      <c r="CH134" s="69">
        <f t="shared" si="20"/>
        <v>0</v>
      </c>
      <c r="CI134" s="30">
        <f t="shared" si="21"/>
        <v>0</v>
      </c>
      <c r="CJ134" s="30">
        <f t="shared" si="22"/>
        <v>0</v>
      </c>
      <c r="CK134" s="30">
        <f t="shared" si="23"/>
        <v>0</v>
      </c>
      <c r="CL134" s="67">
        <f t="shared" si="24"/>
        <v>0</v>
      </c>
      <c r="CM134" s="30">
        <v>0</v>
      </c>
      <c r="CN134" s="30">
        <v>0</v>
      </c>
      <c r="CO134" s="30">
        <v>0</v>
      </c>
      <c r="CP134" s="30">
        <v>0</v>
      </c>
      <c r="CQ134" s="67">
        <v>0</v>
      </c>
    </row>
    <row r="135" spans="1:95" x14ac:dyDescent="0.3">
      <c r="A135" s="9">
        <v>150</v>
      </c>
      <c r="B135" s="9" t="s">
        <v>0</v>
      </c>
      <c r="C135" s="9" t="s">
        <v>1</v>
      </c>
      <c r="D135" s="9" t="s">
        <v>5</v>
      </c>
      <c r="E135" s="9">
        <v>3</v>
      </c>
      <c r="F135" s="9" t="s">
        <v>6</v>
      </c>
      <c r="G135" s="9">
        <v>7.04</v>
      </c>
      <c r="H135" s="9">
        <v>6</v>
      </c>
      <c r="I135" s="9">
        <v>6.4962</v>
      </c>
      <c r="J135" s="9">
        <v>5.4965999999999999</v>
      </c>
      <c r="K135" s="9">
        <v>15.387457282719128</v>
      </c>
      <c r="L135" s="9">
        <v>21.923295454545453</v>
      </c>
      <c r="M135" s="7">
        <f t="shared" si="18"/>
        <v>2.0392379201309252</v>
      </c>
      <c r="N135" s="9">
        <v>47.23</v>
      </c>
      <c r="O135" s="9">
        <v>0.84</v>
      </c>
      <c r="P135" s="9">
        <v>5.2510000000000003</v>
      </c>
      <c r="Q135" s="9">
        <v>0.64200000000000002</v>
      </c>
      <c r="R135" s="9">
        <v>1.06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39">
        <v>0</v>
      </c>
      <c r="AG135" s="40">
        <v>0</v>
      </c>
      <c r="AH135" s="2">
        <v>0</v>
      </c>
      <c r="AI135" s="2">
        <v>0</v>
      </c>
      <c r="AJ135" s="39">
        <v>0</v>
      </c>
      <c r="AK135" s="41">
        <v>0</v>
      </c>
      <c r="AL135" s="42">
        <v>0</v>
      </c>
      <c r="AM135" s="42">
        <v>0</v>
      </c>
      <c r="AN135" s="43">
        <v>0</v>
      </c>
      <c r="AO135" s="42">
        <v>0</v>
      </c>
      <c r="AP135" s="39">
        <v>0</v>
      </c>
      <c r="AQ135" s="2">
        <v>0</v>
      </c>
      <c r="AR135" s="39">
        <v>0</v>
      </c>
      <c r="AS135" s="41">
        <v>0</v>
      </c>
      <c r="AT135" s="2">
        <v>0</v>
      </c>
      <c r="AU135" s="2">
        <v>0</v>
      </c>
      <c r="AV135" s="2">
        <v>0</v>
      </c>
      <c r="AW135" s="39">
        <v>0</v>
      </c>
      <c r="AX135" s="2">
        <v>0</v>
      </c>
      <c r="AY135" s="2">
        <v>0</v>
      </c>
      <c r="AZ135" s="39">
        <v>0</v>
      </c>
      <c r="BA135" s="2">
        <v>0</v>
      </c>
      <c r="BB135" s="2">
        <v>0</v>
      </c>
      <c r="BC135" s="39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39">
        <v>0</v>
      </c>
      <c r="BL135" s="39">
        <v>0</v>
      </c>
      <c r="BM135" s="39">
        <v>0</v>
      </c>
      <c r="BN135" s="39">
        <v>0</v>
      </c>
      <c r="BO135" s="39">
        <v>0</v>
      </c>
      <c r="BP135" s="2">
        <v>0</v>
      </c>
      <c r="BQ135" s="2">
        <v>0</v>
      </c>
      <c r="BR135" s="39">
        <v>0</v>
      </c>
      <c r="BS135" s="44">
        <v>0</v>
      </c>
      <c r="BT135" s="2">
        <v>0</v>
      </c>
      <c r="BU135" s="39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45">
        <v>0</v>
      </c>
      <c r="CG135" s="67">
        <f t="shared" si="19"/>
        <v>0</v>
      </c>
      <c r="CH135" s="69">
        <f t="shared" si="20"/>
        <v>0</v>
      </c>
      <c r="CI135" s="30">
        <f t="shared" si="21"/>
        <v>0</v>
      </c>
      <c r="CJ135" s="30">
        <f t="shared" si="22"/>
        <v>0</v>
      </c>
      <c r="CK135" s="30">
        <f t="shared" si="23"/>
        <v>0</v>
      </c>
      <c r="CL135" s="67">
        <f t="shared" si="24"/>
        <v>0</v>
      </c>
      <c r="CM135" s="30">
        <v>0</v>
      </c>
      <c r="CN135" s="30">
        <v>9</v>
      </c>
      <c r="CO135" s="30">
        <v>0</v>
      </c>
      <c r="CP135" s="30">
        <v>0</v>
      </c>
      <c r="CQ135" s="67">
        <v>1</v>
      </c>
    </row>
    <row r="136" spans="1:95" x14ac:dyDescent="0.3">
      <c r="A136" s="9">
        <v>152</v>
      </c>
      <c r="B136" s="9" t="s">
        <v>0</v>
      </c>
      <c r="C136" s="9" t="s">
        <v>14</v>
      </c>
      <c r="D136" s="9" t="s">
        <v>5</v>
      </c>
      <c r="E136" s="9">
        <v>2</v>
      </c>
      <c r="F136" s="9" t="s">
        <v>6</v>
      </c>
      <c r="G136" s="9">
        <v>7.02</v>
      </c>
      <c r="H136" s="9">
        <v>6</v>
      </c>
      <c r="I136" s="9">
        <v>6.1037999999999997</v>
      </c>
      <c r="J136" s="9">
        <v>5.2537000000000003</v>
      </c>
      <c r="K136" s="9">
        <v>13.927389495068637</v>
      </c>
      <c r="L136" s="9">
        <v>25.160968660968653</v>
      </c>
      <c r="M136" s="7">
        <f t="shared" si="18"/>
        <v>2.0815900969855305</v>
      </c>
      <c r="N136" s="9">
        <v>47.15</v>
      </c>
      <c r="O136" s="9">
        <v>1.044</v>
      </c>
      <c r="P136" s="9">
        <v>6.5220000000000002</v>
      </c>
      <c r="Q136" s="9">
        <v>0.625</v>
      </c>
      <c r="R136" s="9">
        <v>0.73599999999999999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39">
        <v>0</v>
      </c>
      <c r="AG136" s="40">
        <v>0</v>
      </c>
      <c r="AH136" s="2">
        <v>0</v>
      </c>
      <c r="AI136" s="2">
        <v>0</v>
      </c>
      <c r="AJ136" s="39">
        <v>0</v>
      </c>
      <c r="AK136" s="41">
        <v>0</v>
      </c>
      <c r="AL136" s="42">
        <v>0</v>
      </c>
      <c r="AM136" s="42">
        <v>0</v>
      </c>
      <c r="AN136" s="43">
        <v>0</v>
      </c>
      <c r="AO136" s="42">
        <v>0</v>
      </c>
      <c r="AP136" s="39">
        <v>0</v>
      </c>
      <c r="AQ136" s="2">
        <v>0</v>
      </c>
      <c r="AR136" s="39">
        <v>0</v>
      </c>
      <c r="AS136" s="41">
        <v>0</v>
      </c>
      <c r="AT136" s="2">
        <v>0</v>
      </c>
      <c r="AU136" s="2">
        <v>0</v>
      </c>
      <c r="AV136" s="2">
        <v>0</v>
      </c>
      <c r="AW136" s="39">
        <v>0</v>
      </c>
      <c r="AX136" s="2">
        <v>0</v>
      </c>
      <c r="AY136" s="2">
        <v>0</v>
      </c>
      <c r="AZ136" s="39">
        <v>0</v>
      </c>
      <c r="BA136" s="2">
        <v>0</v>
      </c>
      <c r="BB136" s="2">
        <v>0</v>
      </c>
      <c r="BC136" s="39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39">
        <v>0</v>
      </c>
      <c r="BL136" s="39">
        <v>0</v>
      </c>
      <c r="BM136" s="39">
        <v>0</v>
      </c>
      <c r="BN136" s="39">
        <v>0</v>
      </c>
      <c r="BO136" s="39">
        <v>0</v>
      </c>
      <c r="BP136" s="2">
        <v>0</v>
      </c>
      <c r="BQ136" s="2">
        <v>0</v>
      </c>
      <c r="BR136" s="39">
        <v>0</v>
      </c>
      <c r="BS136" s="44">
        <v>0</v>
      </c>
      <c r="BT136" s="2">
        <v>0</v>
      </c>
      <c r="BU136" s="39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45">
        <v>0</v>
      </c>
      <c r="CG136" s="67">
        <f t="shared" si="19"/>
        <v>0</v>
      </c>
      <c r="CH136" s="69">
        <f t="shared" si="20"/>
        <v>0</v>
      </c>
      <c r="CI136" s="30">
        <f t="shared" si="21"/>
        <v>0</v>
      </c>
      <c r="CJ136" s="30">
        <f t="shared" si="22"/>
        <v>0</v>
      </c>
      <c r="CK136" s="30">
        <f t="shared" si="23"/>
        <v>0</v>
      </c>
      <c r="CL136" s="67">
        <f t="shared" si="24"/>
        <v>0</v>
      </c>
      <c r="CM136" s="30">
        <v>0</v>
      </c>
      <c r="CN136" s="30">
        <v>0</v>
      </c>
      <c r="CO136" s="30">
        <v>0</v>
      </c>
      <c r="CP136" s="30">
        <v>0</v>
      </c>
      <c r="CQ136" s="67">
        <v>0</v>
      </c>
    </row>
    <row r="137" spans="1:95" x14ac:dyDescent="0.3">
      <c r="A137" s="9">
        <v>154</v>
      </c>
      <c r="B137" s="9" t="s">
        <v>0</v>
      </c>
      <c r="C137" s="9" t="s">
        <v>14</v>
      </c>
      <c r="D137" s="9" t="s">
        <v>5</v>
      </c>
      <c r="E137" s="9">
        <v>4</v>
      </c>
      <c r="F137" s="9" t="s">
        <v>6</v>
      </c>
      <c r="G137" s="9">
        <v>7.07</v>
      </c>
      <c r="H137" s="9">
        <v>6</v>
      </c>
      <c r="I137" s="9">
        <v>6.4123999999999999</v>
      </c>
      <c r="J137" s="9">
        <v>5.5590999999999999</v>
      </c>
      <c r="K137" s="9">
        <v>13.307030129124819</v>
      </c>
      <c r="L137" s="9">
        <v>21.370579915134375</v>
      </c>
      <c r="M137" s="7">
        <f t="shared" si="18"/>
        <v>2.0321837244800864</v>
      </c>
      <c r="N137" s="9">
        <v>48.31</v>
      </c>
      <c r="O137" s="9">
        <v>0.70499999999999996</v>
      </c>
      <c r="P137" s="9">
        <v>4.4039999999999999</v>
      </c>
      <c r="Q137" s="9">
        <v>1.2150000000000001</v>
      </c>
      <c r="R137" s="9">
        <v>1.4329999999999998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39">
        <v>0</v>
      </c>
      <c r="AG137" s="40">
        <v>0</v>
      </c>
      <c r="AH137" s="2">
        <v>0</v>
      </c>
      <c r="AI137" s="2">
        <v>0</v>
      </c>
      <c r="AJ137" s="39">
        <v>0</v>
      </c>
      <c r="AK137" s="41">
        <v>0</v>
      </c>
      <c r="AL137" s="42">
        <v>0</v>
      </c>
      <c r="AM137" s="42">
        <v>0</v>
      </c>
      <c r="AN137" s="43">
        <v>0</v>
      </c>
      <c r="AO137" s="42">
        <v>0</v>
      </c>
      <c r="AP137" s="39">
        <v>0</v>
      </c>
      <c r="AQ137" s="2">
        <v>0</v>
      </c>
      <c r="AR137" s="39">
        <v>0</v>
      </c>
      <c r="AS137" s="41">
        <v>0</v>
      </c>
      <c r="AT137" s="2">
        <v>0</v>
      </c>
      <c r="AU137" s="2">
        <v>0</v>
      </c>
      <c r="AV137" s="2">
        <v>0</v>
      </c>
      <c r="AW137" s="39">
        <v>0</v>
      </c>
      <c r="AX137" s="2">
        <v>0</v>
      </c>
      <c r="AY137" s="2">
        <v>0</v>
      </c>
      <c r="AZ137" s="39">
        <v>0</v>
      </c>
      <c r="BA137" s="2">
        <v>0</v>
      </c>
      <c r="BB137" s="2">
        <v>0</v>
      </c>
      <c r="BC137" s="39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39">
        <v>0</v>
      </c>
      <c r="BL137" s="39">
        <v>0</v>
      </c>
      <c r="BM137" s="39">
        <v>0</v>
      </c>
      <c r="BN137" s="39">
        <v>0</v>
      </c>
      <c r="BO137" s="39">
        <v>0</v>
      </c>
      <c r="BP137" s="2">
        <v>0</v>
      </c>
      <c r="BQ137" s="2">
        <v>0</v>
      </c>
      <c r="BR137" s="39">
        <v>0</v>
      </c>
      <c r="BS137" s="44">
        <v>0</v>
      </c>
      <c r="BT137" s="2">
        <v>0</v>
      </c>
      <c r="BU137" s="39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45">
        <v>0</v>
      </c>
      <c r="CG137" s="67">
        <f t="shared" si="19"/>
        <v>0</v>
      </c>
      <c r="CH137" s="69">
        <f t="shared" si="20"/>
        <v>0</v>
      </c>
      <c r="CI137" s="30">
        <f t="shared" si="21"/>
        <v>0</v>
      </c>
      <c r="CJ137" s="30">
        <f t="shared" si="22"/>
        <v>0</v>
      </c>
      <c r="CK137" s="30">
        <f t="shared" si="23"/>
        <v>0</v>
      </c>
      <c r="CL137" s="67">
        <f t="shared" si="24"/>
        <v>0</v>
      </c>
      <c r="CM137" s="30">
        <v>0</v>
      </c>
      <c r="CN137" s="30">
        <v>0</v>
      </c>
      <c r="CO137" s="30">
        <v>0</v>
      </c>
      <c r="CP137" s="30">
        <v>0</v>
      </c>
      <c r="CQ137" s="67">
        <v>0</v>
      </c>
    </row>
    <row r="138" spans="1:95" x14ac:dyDescent="0.3">
      <c r="A138" s="9">
        <v>161</v>
      </c>
      <c r="B138" s="9" t="s">
        <v>0</v>
      </c>
      <c r="C138" s="9" t="s">
        <v>1</v>
      </c>
      <c r="D138" s="9" t="s">
        <v>5</v>
      </c>
      <c r="E138" s="9">
        <v>1</v>
      </c>
      <c r="F138" s="9" t="s">
        <v>6</v>
      </c>
      <c r="G138" s="9">
        <v>7.07</v>
      </c>
      <c r="H138" s="9">
        <v>6</v>
      </c>
      <c r="I138" s="9">
        <v>6.9043999999999999</v>
      </c>
      <c r="J138" s="9">
        <v>5.5198999999999998</v>
      </c>
      <c r="K138" s="9">
        <v>20.052430334279592</v>
      </c>
      <c r="L138" s="9">
        <v>21.925035360678933</v>
      </c>
      <c r="M138" s="7">
        <f t="shared" si="18"/>
        <v>2.0392602049536572</v>
      </c>
      <c r="N138" s="9">
        <v>47.27</v>
      </c>
      <c r="O138" s="9">
        <v>0.68300000000000005</v>
      </c>
      <c r="P138" s="9">
        <v>4.2670000000000003</v>
      </c>
      <c r="Q138" s="9">
        <v>0.74099999999999999</v>
      </c>
      <c r="R138" s="9">
        <v>0.76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39">
        <v>1</v>
      </c>
      <c r="AG138" s="40">
        <v>0</v>
      </c>
      <c r="AH138" s="2">
        <v>0</v>
      </c>
      <c r="AI138" s="2">
        <v>0</v>
      </c>
      <c r="AJ138" s="39">
        <v>0</v>
      </c>
      <c r="AK138" s="41">
        <v>0</v>
      </c>
      <c r="AL138" s="42">
        <v>0</v>
      </c>
      <c r="AM138" s="42">
        <v>0</v>
      </c>
      <c r="AN138" s="43">
        <v>0</v>
      </c>
      <c r="AO138" s="42">
        <v>0</v>
      </c>
      <c r="AP138" s="39">
        <v>0</v>
      </c>
      <c r="AQ138" s="2">
        <v>0</v>
      </c>
      <c r="AR138" s="39">
        <v>0</v>
      </c>
      <c r="AS138" s="41">
        <v>0</v>
      </c>
      <c r="AT138" s="2">
        <v>0</v>
      </c>
      <c r="AU138" s="2">
        <v>0</v>
      </c>
      <c r="AV138" s="2">
        <v>0</v>
      </c>
      <c r="AW138" s="39">
        <v>0</v>
      </c>
      <c r="AX138" s="2">
        <v>0</v>
      </c>
      <c r="AY138" s="2">
        <v>0</v>
      </c>
      <c r="AZ138" s="39">
        <v>161</v>
      </c>
      <c r="BA138" s="2">
        <v>0</v>
      </c>
      <c r="BB138" s="2">
        <v>0</v>
      </c>
      <c r="BC138" s="39">
        <v>0</v>
      </c>
      <c r="BD138" s="2">
        <v>1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39">
        <v>0</v>
      </c>
      <c r="BL138" s="39">
        <v>0</v>
      </c>
      <c r="BM138" s="39">
        <v>0</v>
      </c>
      <c r="BN138" s="39">
        <v>0</v>
      </c>
      <c r="BO138" s="39">
        <v>0</v>
      </c>
      <c r="BP138" s="2">
        <v>0</v>
      </c>
      <c r="BQ138" s="2">
        <v>0</v>
      </c>
      <c r="BR138" s="39">
        <v>0</v>
      </c>
      <c r="BS138" s="44">
        <v>0</v>
      </c>
      <c r="BT138" s="2">
        <v>0</v>
      </c>
      <c r="BU138" s="39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45">
        <v>0</v>
      </c>
      <c r="CG138" s="67">
        <f t="shared" si="19"/>
        <v>163</v>
      </c>
      <c r="CH138" s="69">
        <f t="shared" si="20"/>
        <v>3</v>
      </c>
      <c r="CI138" s="30">
        <f t="shared" si="21"/>
        <v>0</v>
      </c>
      <c r="CJ138" s="30">
        <f t="shared" si="22"/>
        <v>1</v>
      </c>
      <c r="CK138" s="30">
        <f t="shared" si="23"/>
        <v>162</v>
      </c>
      <c r="CL138" s="67">
        <f t="shared" si="24"/>
        <v>2</v>
      </c>
      <c r="CM138" s="30">
        <v>0</v>
      </c>
      <c r="CN138" s="30">
        <v>0</v>
      </c>
      <c r="CO138" s="30">
        <v>0</v>
      </c>
      <c r="CP138" s="30">
        <v>2</v>
      </c>
      <c r="CQ138" s="67">
        <v>0</v>
      </c>
    </row>
    <row r="139" spans="1:95" x14ac:dyDescent="0.3">
      <c r="A139" s="9">
        <v>167</v>
      </c>
      <c r="B139" s="9" t="s">
        <v>0</v>
      </c>
      <c r="C139" s="9" t="s">
        <v>14</v>
      </c>
      <c r="D139" s="9" t="s">
        <v>5</v>
      </c>
      <c r="E139" s="9">
        <v>1</v>
      </c>
      <c r="F139" s="9" t="s">
        <v>6</v>
      </c>
      <c r="G139" s="9">
        <v>6.99</v>
      </c>
      <c r="H139" s="9">
        <v>6</v>
      </c>
      <c r="I139" s="9">
        <v>6.0449000000000002</v>
      </c>
      <c r="J139" s="9">
        <v>5.3064999999999998</v>
      </c>
      <c r="K139" s="9">
        <v>12.215255835497699</v>
      </c>
      <c r="L139" s="9">
        <v>24.084406294706728</v>
      </c>
      <c r="M139" s="7">
        <f t="shared" si="18"/>
        <v>2.0673075412540336</v>
      </c>
      <c r="N139" s="9">
        <v>48.23</v>
      </c>
      <c r="O139" s="9">
        <v>0.89200000000000002</v>
      </c>
      <c r="P139" s="9">
        <v>5.5720000000000001</v>
      </c>
      <c r="Q139" s="9">
        <v>0.78900000000000003</v>
      </c>
      <c r="R139" s="9">
        <v>0.74299999999999999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39">
        <v>0</v>
      </c>
      <c r="AG139" s="40">
        <v>0</v>
      </c>
      <c r="AH139" s="2">
        <v>0</v>
      </c>
      <c r="AI139" s="2">
        <v>0</v>
      </c>
      <c r="AJ139" s="39">
        <v>0</v>
      </c>
      <c r="AK139" s="41">
        <v>0</v>
      </c>
      <c r="AL139" s="42">
        <v>0</v>
      </c>
      <c r="AM139" s="42">
        <v>0</v>
      </c>
      <c r="AN139" s="43">
        <v>0</v>
      </c>
      <c r="AO139" s="42">
        <v>0</v>
      </c>
      <c r="AP139" s="39">
        <v>0</v>
      </c>
      <c r="AQ139" s="2">
        <v>0</v>
      </c>
      <c r="AR139" s="39">
        <v>0</v>
      </c>
      <c r="AS139" s="41">
        <v>0</v>
      </c>
      <c r="AT139" s="2">
        <v>0</v>
      </c>
      <c r="AU139" s="2">
        <v>0</v>
      </c>
      <c r="AV139" s="2">
        <v>0</v>
      </c>
      <c r="AW139" s="39">
        <v>0</v>
      </c>
      <c r="AX139" s="2">
        <v>0</v>
      </c>
      <c r="AY139" s="2">
        <v>0</v>
      </c>
      <c r="AZ139" s="39">
        <v>0</v>
      </c>
      <c r="BA139" s="2">
        <v>0</v>
      </c>
      <c r="BB139" s="2">
        <v>0</v>
      </c>
      <c r="BC139" s="39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39">
        <v>0</v>
      </c>
      <c r="BL139" s="39">
        <v>0</v>
      </c>
      <c r="BM139" s="39">
        <v>0</v>
      </c>
      <c r="BN139" s="39">
        <v>0</v>
      </c>
      <c r="BO139" s="39">
        <v>0</v>
      </c>
      <c r="BP139" s="2">
        <v>0</v>
      </c>
      <c r="BQ139" s="2">
        <v>0</v>
      </c>
      <c r="BR139" s="39">
        <v>0</v>
      </c>
      <c r="BS139" s="44">
        <v>0</v>
      </c>
      <c r="BT139" s="2">
        <v>0</v>
      </c>
      <c r="BU139" s="39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45">
        <v>0</v>
      </c>
      <c r="CG139" s="67">
        <f t="shared" si="19"/>
        <v>0</v>
      </c>
      <c r="CH139" s="69">
        <f t="shared" si="20"/>
        <v>0</v>
      </c>
      <c r="CI139" s="30">
        <f t="shared" si="21"/>
        <v>0</v>
      </c>
      <c r="CJ139" s="30">
        <f t="shared" si="22"/>
        <v>0</v>
      </c>
      <c r="CK139" s="30">
        <f t="shared" si="23"/>
        <v>0</v>
      </c>
      <c r="CL139" s="67">
        <f t="shared" si="24"/>
        <v>0</v>
      </c>
      <c r="CM139" s="30">
        <v>0</v>
      </c>
      <c r="CN139" s="30">
        <v>10</v>
      </c>
      <c r="CO139" s="30">
        <v>0</v>
      </c>
      <c r="CP139" s="30">
        <v>0</v>
      </c>
      <c r="CQ139" s="67">
        <v>1</v>
      </c>
    </row>
    <row r="140" spans="1:95" x14ac:dyDescent="0.3">
      <c r="A140" s="9">
        <v>180</v>
      </c>
      <c r="B140" s="9" t="s">
        <v>0</v>
      </c>
      <c r="C140" s="9" t="s">
        <v>1</v>
      </c>
      <c r="D140" s="9" t="s">
        <v>5</v>
      </c>
      <c r="E140" s="9">
        <v>2</v>
      </c>
      <c r="F140" s="9" t="s">
        <v>6</v>
      </c>
      <c r="G140" s="9">
        <v>7.06</v>
      </c>
      <c r="H140" s="9">
        <v>6</v>
      </c>
      <c r="I140" s="9">
        <v>6.9192</v>
      </c>
      <c r="J140" s="9">
        <v>5.4637000000000002</v>
      </c>
      <c r="K140" s="9">
        <v>21.035668863452418</v>
      </c>
      <c r="L140" s="9">
        <v>22.610481586402258</v>
      </c>
      <c r="M140" s="7">
        <f t="shared" si="18"/>
        <v>2.048078304803667</v>
      </c>
      <c r="N140" s="9">
        <v>47.38</v>
      </c>
      <c r="O140" s="9">
        <v>0.94</v>
      </c>
      <c r="P140" s="9">
        <v>5.8730000000000002</v>
      </c>
      <c r="Q140" s="9">
        <v>0.61699999999999999</v>
      </c>
      <c r="R140" s="9">
        <v>0.59099999999999997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39">
        <v>0</v>
      </c>
      <c r="AG140" s="40">
        <v>9</v>
      </c>
      <c r="AH140" s="2">
        <v>0</v>
      </c>
      <c r="AI140" s="2">
        <v>0</v>
      </c>
      <c r="AJ140" s="39">
        <v>0</v>
      </c>
      <c r="AK140" s="41">
        <v>0</v>
      </c>
      <c r="AL140" s="42">
        <v>0</v>
      </c>
      <c r="AM140" s="42">
        <v>0</v>
      </c>
      <c r="AN140" s="43">
        <v>0</v>
      </c>
      <c r="AO140" s="42">
        <v>0</v>
      </c>
      <c r="AP140" s="39">
        <v>0</v>
      </c>
      <c r="AQ140" s="2">
        <v>0</v>
      </c>
      <c r="AR140" s="39">
        <v>0</v>
      </c>
      <c r="AS140" s="41">
        <v>0</v>
      </c>
      <c r="AT140" s="2">
        <v>0</v>
      </c>
      <c r="AU140" s="2">
        <v>0</v>
      </c>
      <c r="AV140" s="2">
        <v>0</v>
      </c>
      <c r="AW140" s="39">
        <v>0</v>
      </c>
      <c r="AX140" s="2">
        <v>0</v>
      </c>
      <c r="AY140" s="2">
        <v>0</v>
      </c>
      <c r="AZ140" s="39">
        <v>0</v>
      </c>
      <c r="BA140" s="2">
        <v>0</v>
      </c>
      <c r="BB140" s="2">
        <v>0</v>
      </c>
      <c r="BC140" s="39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39">
        <v>0</v>
      </c>
      <c r="BL140" s="39">
        <v>0</v>
      </c>
      <c r="BM140" s="39">
        <v>0</v>
      </c>
      <c r="BN140" s="39">
        <v>0</v>
      </c>
      <c r="BO140" s="39">
        <v>0</v>
      </c>
      <c r="BP140" s="2">
        <v>0</v>
      </c>
      <c r="BQ140" s="2">
        <v>0</v>
      </c>
      <c r="BR140" s="39">
        <v>0</v>
      </c>
      <c r="BS140" s="44">
        <v>0</v>
      </c>
      <c r="BT140" s="2">
        <v>0</v>
      </c>
      <c r="BU140" s="39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45">
        <v>0</v>
      </c>
      <c r="CG140" s="67">
        <f t="shared" si="19"/>
        <v>9</v>
      </c>
      <c r="CH140" s="69">
        <f t="shared" si="20"/>
        <v>1</v>
      </c>
      <c r="CI140" s="30">
        <f t="shared" si="21"/>
        <v>0</v>
      </c>
      <c r="CJ140" s="30">
        <f t="shared" si="22"/>
        <v>9</v>
      </c>
      <c r="CK140" s="30">
        <f t="shared" si="23"/>
        <v>0</v>
      </c>
      <c r="CL140" s="67">
        <f t="shared" si="24"/>
        <v>1</v>
      </c>
      <c r="CM140" s="30">
        <v>9</v>
      </c>
      <c r="CN140" s="30">
        <v>0</v>
      </c>
      <c r="CO140" s="30">
        <v>0</v>
      </c>
      <c r="CP140" s="30">
        <v>0</v>
      </c>
      <c r="CQ140" s="67">
        <v>1</v>
      </c>
    </row>
    <row r="141" spans="1:95" x14ac:dyDescent="0.3">
      <c r="A141" s="9">
        <v>245</v>
      </c>
      <c r="B141" s="9" t="s">
        <v>2</v>
      </c>
      <c r="C141" s="9" t="s">
        <v>1</v>
      </c>
      <c r="D141" s="9" t="s">
        <v>4</v>
      </c>
      <c r="E141" s="9">
        <v>5</v>
      </c>
      <c r="F141" s="9" t="s">
        <v>6</v>
      </c>
      <c r="G141" s="9">
        <v>6.9699999999999989</v>
      </c>
      <c r="H141" s="9">
        <v>6</v>
      </c>
      <c r="I141" s="9">
        <v>6.7293000000000003</v>
      </c>
      <c r="J141" s="9">
        <v>5.2988</v>
      </c>
      <c r="K141" s="9">
        <v>21.257783127516984</v>
      </c>
      <c r="L141" s="9">
        <v>23.977044476327105</v>
      </c>
      <c r="M141" s="7">
        <f t="shared" si="18"/>
        <v>2.0658943141725179</v>
      </c>
      <c r="N141" s="9">
        <v>47.2</v>
      </c>
      <c r="O141" s="9">
        <v>1.4750000000000001</v>
      </c>
      <c r="P141" s="9">
        <v>9.2189999999999994</v>
      </c>
      <c r="Q141" s="9">
        <v>0.98299999999999998</v>
      </c>
      <c r="R141" s="9">
        <v>0.98799999999999999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1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39">
        <v>0</v>
      </c>
      <c r="AG141" s="40">
        <v>0</v>
      </c>
      <c r="AH141" s="2">
        <v>0</v>
      </c>
      <c r="AI141" s="2">
        <v>0</v>
      </c>
      <c r="AJ141" s="39">
        <v>0</v>
      </c>
      <c r="AK141" s="41">
        <v>0</v>
      </c>
      <c r="AL141" s="42">
        <v>0</v>
      </c>
      <c r="AM141" s="42">
        <v>0</v>
      </c>
      <c r="AN141" s="43">
        <v>0</v>
      </c>
      <c r="AO141" s="42">
        <v>0</v>
      </c>
      <c r="AP141" s="39">
        <v>0</v>
      </c>
      <c r="AQ141" s="2">
        <v>0</v>
      </c>
      <c r="AR141" s="39">
        <v>0</v>
      </c>
      <c r="AS141" s="41">
        <v>0</v>
      </c>
      <c r="AT141" s="2">
        <v>0</v>
      </c>
      <c r="AU141" s="2">
        <v>0</v>
      </c>
      <c r="AV141" s="2">
        <v>0</v>
      </c>
      <c r="AW141" s="39">
        <v>0</v>
      </c>
      <c r="AX141" s="2">
        <v>0</v>
      </c>
      <c r="AY141" s="2">
        <v>0</v>
      </c>
      <c r="AZ141" s="39">
        <v>0</v>
      </c>
      <c r="BA141" s="2">
        <v>0</v>
      </c>
      <c r="BB141" s="2">
        <v>0</v>
      </c>
      <c r="BC141" s="39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39">
        <v>0</v>
      </c>
      <c r="BL141" s="39">
        <v>0</v>
      </c>
      <c r="BM141" s="39">
        <v>0</v>
      </c>
      <c r="BN141" s="39">
        <v>0</v>
      </c>
      <c r="BO141" s="39">
        <v>0</v>
      </c>
      <c r="BP141" s="2">
        <v>0</v>
      </c>
      <c r="BQ141" s="2">
        <v>0</v>
      </c>
      <c r="BR141" s="39">
        <v>0</v>
      </c>
      <c r="BS141" s="44">
        <v>0</v>
      </c>
      <c r="BT141" s="2">
        <v>0</v>
      </c>
      <c r="BU141" s="39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1</v>
      </c>
      <c r="CA141" s="2">
        <v>0</v>
      </c>
      <c r="CB141" s="2">
        <v>0</v>
      </c>
      <c r="CC141" s="2">
        <v>1</v>
      </c>
      <c r="CD141" s="2">
        <v>0</v>
      </c>
      <c r="CE141" s="2">
        <v>0</v>
      </c>
      <c r="CF141" s="45">
        <v>0</v>
      </c>
      <c r="CG141" s="67">
        <f t="shared" si="19"/>
        <v>4</v>
      </c>
      <c r="CH141" s="69">
        <f t="shared" si="20"/>
        <v>4</v>
      </c>
      <c r="CI141" s="30">
        <f t="shared" si="21"/>
        <v>0</v>
      </c>
      <c r="CJ141" s="30">
        <f t="shared" si="22"/>
        <v>2</v>
      </c>
      <c r="CK141" s="30">
        <f t="shared" si="23"/>
        <v>2</v>
      </c>
      <c r="CL141" s="67">
        <f t="shared" si="24"/>
        <v>2</v>
      </c>
      <c r="CM141" s="30">
        <v>2</v>
      </c>
      <c r="CN141" s="30">
        <v>0</v>
      </c>
      <c r="CO141" s="30">
        <v>0</v>
      </c>
      <c r="CP141" s="30">
        <v>2</v>
      </c>
      <c r="CQ141" s="67">
        <v>1</v>
      </c>
    </row>
    <row r="142" spans="1:95" x14ac:dyDescent="0.3">
      <c r="A142" s="9">
        <v>248</v>
      </c>
      <c r="B142" s="9" t="s">
        <v>2</v>
      </c>
      <c r="C142" s="9" t="s">
        <v>14</v>
      </c>
      <c r="D142" s="9" t="s">
        <v>4</v>
      </c>
      <c r="E142" s="9">
        <v>4</v>
      </c>
      <c r="F142" s="9" t="s">
        <v>6</v>
      </c>
      <c r="G142" s="9">
        <v>7.0799999999999992</v>
      </c>
      <c r="H142" s="9">
        <v>6</v>
      </c>
      <c r="I142" s="9">
        <v>6.7751000000000001</v>
      </c>
      <c r="J142" s="9">
        <v>5.5092999999999996</v>
      </c>
      <c r="K142" s="9">
        <v>18.683119068353239</v>
      </c>
      <c r="L142" s="9">
        <v>22.185028248587564</v>
      </c>
      <c r="M142" s="7">
        <f t="shared" si="18"/>
        <v>2.0425958035816327</v>
      </c>
      <c r="N142" s="9">
        <v>48.17</v>
      </c>
      <c r="O142" s="9">
        <v>1.4770000000000001</v>
      </c>
      <c r="P142" s="9">
        <v>9.2289999999999992</v>
      </c>
      <c r="Q142" s="9">
        <v>0.77900000000000003</v>
      </c>
      <c r="R142" s="9">
        <v>0.68100000000000005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39">
        <v>0</v>
      </c>
      <c r="AG142" s="40">
        <v>0</v>
      </c>
      <c r="AH142" s="2">
        <v>0</v>
      </c>
      <c r="AI142" s="2">
        <v>0</v>
      </c>
      <c r="AJ142" s="39">
        <v>0</v>
      </c>
      <c r="AK142" s="41">
        <v>0</v>
      </c>
      <c r="AL142" s="42">
        <v>0</v>
      </c>
      <c r="AM142" s="42">
        <v>0</v>
      </c>
      <c r="AN142" s="43">
        <v>0</v>
      </c>
      <c r="AO142" s="42">
        <v>0</v>
      </c>
      <c r="AP142" s="39">
        <v>0</v>
      </c>
      <c r="AQ142" s="2">
        <v>0</v>
      </c>
      <c r="AR142" s="39">
        <v>0</v>
      </c>
      <c r="AS142" s="41">
        <v>0</v>
      </c>
      <c r="AT142" s="2">
        <v>0</v>
      </c>
      <c r="AU142" s="2">
        <v>0</v>
      </c>
      <c r="AV142" s="2">
        <v>0</v>
      </c>
      <c r="AW142" s="39">
        <v>0</v>
      </c>
      <c r="AX142" s="2">
        <v>0</v>
      </c>
      <c r="AY142" s="2">
        <v>0</v>
      </c>
      <c r="AZ142" s="39">
        <v>0</v>
      </c>
      <c r="BA142" s="2">
        <v>0</v>
      </c>
      <c r="BB142" s="2">
        <v>0</v>
      </c>
      <c r="BC142" s="39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39">
        <v>0</v>
      </c>
      <c r="BL142" s="39">
        <v>0</v>
      </c>
      <c r="BM142" s="39">
        <v>0</v>
      </c>
      <c r="BN142" s="39">
        <v>0</v>
      </c>
      <c r="BO142" s="39">
        <v>0</v>
      </c>
      <c r="BP142" s="2">
        <v>0</v>
      </c>
      <c r="BQ142" s="2">
        <v>0</v>
      </c>
      <c r="BR142" s="39">
        <v>0</v>
      </c>
      <c r="BS142" s="44">
        <v>0</v>
      </c>
      <c r="BT142" s="2">
        <v>0</v>
      </c>
      <c r="BU142" s="39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45">
        <v>0</v>
      </c>
      <c r="CG142" s="67">
        <f t="shared" si="19"/>
        <v>0</v>
      </c>
      <c r="CH142" s="69">
        <f t="shared" si="20"/>
        <v>0</v>
      </c>
      <c r="CI142" s="30">
        <f t="shared" si="21"/>
        <v>0</v>
      </c>
      <c r="CJ142" s="30">
        <f t="shared" si="22"/>
        <v>0</v>
      </c>
      <c r="CK142" s="30">
        <f t="shared" si="23"/>
        <v>0</v>
      </c>
      <c r="CL142" s="67">
        <f t="shared" si="24"/>
        <v>0</v>
      </c>
      <c r="CM142" s="30">
        <v>0</v>
      </c>
      <c r="CN142" s="30">
        <v>0</v>
      </c>
      <c r="CO142" s="30">
        <v>0</v>
      </c>
      <c r="CP142" s="30">
        <v>0</v>
      </c>
      <c r="CQ142" s="67">
        <v>0</v>
      </c>
    </row>
    <row r="143" spans="1:95" x14ac:dyDescent="0.3">
      <c r="A143" s="9">
        <v>255</v>
      </c>
      <c r="B143" s="9" t="s">
        <v>2</v>
      </c>
      <c r="C143" s="9" t="s">
        <v>14</v>
      </c>
      <c r="D143" s="9" t="s">
        <v>4</v>
      </c>
      <c r="E143" s="9">
        <v>5</v>
      </c>
      <c r="F143" s="9" t="s">
        <v>6</v>
      </c>
      <c r="G143" s="9">
        <v>6.9499999999999993</v>
      </c>
      <c r="H143" s="9">
        <v>6</v>
      </c>
      <c r="I143" s="9">
        <v>6.7332000000000001</v>
      </c>
      <c r="J143" s="9">
        <v>5.2293000000000003</v>
      </c>
      <c r="K143" s="9">
        <v>22.335590803778288</v>
      </c>
      <c r="L143" s="9">
        <v>24.758273381294952</v>
      </c>
      <c r="M143" s="7">
        <f t="shared" si="18"/>
        <v>2.0762237028979631</v>
      </c>
      <c r="N143" s="9">
        <v>46.96</v>
      </c>
      <c r="O143" s="9">
        <v>1.5629999999999999</v>
      </c>
      <c r="P143" s="9">
        <v>9.7680000000000007</v>
      </c>
      <c r="Q143" s="9">
        <v>0.68799999999999994</v>
      </c>
      <c r="R143" s="9">
        <v>0.68500000000000005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2</v>
      </c>
      <c r="AB143" s="2">
        <v>0</v>
      </c>
      <c r="AC143" s="2">
        <v>0</v>
      </c>
      <c r="AD143" s="2">
        <v>0</v>
      </c>
      <c r="AE143" s="2">
        <v>0</v>
      </c>
      <c r="AF143" s="39">
        <v>0</v>
      </c>
      <c r="AG143" s="40">
        <v>0</v>
      </c>
      <c r="AH143" s="2">
        <v>0</v>
      </c>
      <c r="AI143" s="2">
        <v>0</v>
      </c>
      <c r="AJ143" s="39">
        <v>1</v>
      </c>
      <c r="AK143" s="41">
        <v>1</v>
      </c>
      <c r="AL143" s="42">
        <v>0</v>
      </c>
      <c r="AM143" s="42">
        <v>0</v>
      </c>
      <c r="AN143" s="43">
        <v>0</v>
      </c>
      <c r="AO143" s="42">
        <v>0</v>
      </c>
      <c r="AP143" s="39">
        <v>0</v>
      </c>
      <c r="AQ143" s="2">
        <v>0</v>
      </c>
      <c r="AR143" s="39">
        <v>0</v>
      </c>
      <c r="AS143" s="41">
        <v>0</v>
      </c>
      <c r="AT143" s="2">
        <v>0</v>
      </c>
      <c r="AU143" s="2">
        <v>0</v>
      </c>
      <c r="AV143" s="2">
        <v>0</v>
      </c>
      <c r="AW143" s="39">
        <v>0</v>
      </c>
      <c r="AX143" s="2">
        <v>0</v>
      </c>
      <c r="AY143" s="2">
        <v>0</v>
      </c>
      <c r="AZ143" s="39">
        <v>0</v>
      </c>
      <c r="BA143" s="2">
        <v>0</v>
      </c>
      <c r="BB143" s="2">
        <v>0</v>
      </c>
      <c r="BC143" s="39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39">
        <v>0</v>
      </c>
      <c r="BL143" s="39">
        <v>0</v>
      </c>
      <c r="BM143" s="39">
        <v>0</v>
      </c>
      <c r="BN143" s="39">
        <v>0</v>
      </c>
      <c r="BO143" s="39">
        <v>0</v>
      </c>
      <c r="BP143" s="2">
        <v>0</v>
      </c>
      <c r="BQ143" s="2">
        <v>0</v>
      </c>
      <c r="BR143" s="39">
        <v>0</v>
      </c>
      <c r="BS143" s="44">
        <v>0</v>
      </c>
      <c r="BT143" s="2">
        <v>0</v>
      </c>
      <c r="BU143" s="39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45">
        <v>0</v>
      </c>
      <c r="CG143" s="67">
        <f t="shared" si="19"/>
        <v>4</v>
      </c>
      <c r="CH143" s="69">
        <f t="shared" si="20"/>
        <v>3</v>
      </c>
      <c r="CI143" s="30">
        <f t="shared" si="21"/>
        <v>0</v>
      </c>
      <c r="CJ143" s="30">
        <f t="shared" si="22"/>
        <v>3</v>
      </c>
      <c r="CK143" s="30">
        <f t="shared" si="23"/>
        <v>1</v>
      </c>
      <c r="CL143" s="67">
        <f t="shared" si="24"/>
        <v>2</v>
      </c>
      <c r="CM143" s="30">
        <v>4</v>
      </c>
      <c r="CN143" s="30">
        <v>0</v>
      </c>
      <c r="CO143" s="30">
        <v>0</v>
      </c>
      <c r="CP143" s="30">
        <v>0</v>
      </c>
      <c r="CQ143" s="67">
        <v>1</v>
      </c>
    </row>
    <row r="144" spans="1:95" x14ac:dyDescent="0.3">
      <c r="A144" s="9">
        <v>261</v>
      </c>
      <c r="B144" s="9" t="s">
        <v>2</v>
      </c>
      <c r="C144" s="9" t="s">
        <v>14</v>
      </c>
      <c r="D144" s="9" t="s">
        <v>4</v>
      </c>
      <c r="E144" s="9">
        <v>3</v>
      </c>
      <c r="F144" s="9" t="s">
        <v>6</v>
      </c>
      <c r="G144" s="9">
        <v>6.97</v>
      </c>
      <c r="H144" s="9">
        <v>6</v>
      </c>
      <c r="I144" s="9">
        <v>6.5052000000000003</v>
      </c>
      <c r="J144" s="9">
        <v>5.1692999999999998</v>
      </c>
      <c r="K144" s="9">
        <v>20.535878989116409</v>
      </c>
      <c r="L144" s="9">
        <v>25.835007173601149</v>
      </c>
      <c r="M144" s="7">
        <f t="shared" si="18"/>
        <v>2.0906374111654609</v>
      </c>
      <c r="N144" s="9">
        <v>47.28</v>
      </c>
      <c r="O144" s="9">
        <v>1.5629999999999999</v>
      </c>
      <c r="P144" s="9">
        <v>9.7680000000000007</v>
      </c>
      <c r="Q144" s="9">
        <v>0.76800000000000002</v>
      </c>
      <c r="R144" s="9">
        <v>0.82699999999999996</v>
      </c>
      <c r="S144" s="2">
        <v>5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2</v>
      </c>
      <c r="AC144" s="2">
        <v>0</v>
      </c>
      <c r="AD144" s="2">
        <v>0</v>
      </c>
      <c r="AE144" s="2">
        <v>0</v>
      </c>
      <c r="AF144" s="39">
        <v>0</v>
      </c>
      <c r="AG144" s="40">
        <v>19</v>
      </c>
      <c r="AH144" s="2">
        <v>0</v>
      </c>
      <c r="AI144" s="2">
        <v>0</v>
      </c>
      <c r="AJ144" s="39">
        <v>0</v>
      </c>
      <c r="AK144" s="41">
        <v>0</v>
      </c>
      <c r="AL144" s="42">
        <v>0</v>
      </c>
      <c r="AM144" s="42">
        <v>0</v>
      </c>
      <c r="AN144" s="43">
        <v>0</v>
      </c>
      <c r="AO144" s="42">
        <v>0</v>
      </c>
      <c r="AP144" s="39">
        <v>0</v>
      </c>
      <c r="AQ144" s="2">
        <v>0</v>
      </c>
      <c r="AR144" s="39">
        <v>0</v>
      </c>
      <c r="AS144" s="41">
        <v>0</v>
      </c>
      <c r="AT144" s="2">
        <v>0</v>
      </c>
      <c r="AU144" s="2">
        <v>0</v>
      </c>
      <c r="AV144" s="2">
        <v>0</v>
      </c>
      <c r="AW144" s="39">
        <v>0</v>
      </c>
      <c r="AX144" s="2">
        <v>0</v>
      </c>
      <c r="AY144" s="2">
        <v>0</v>
      </c>
      <c r="AZ144" s="39">
        <v>0</v>
      </c>
      <c r="BA144" s="2">
        <v>0</v>
      </c>
      <c r="BB144" s="2">
        <v>0</v>
      </c>
      <c r="BC144" s="39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39">
        <v>0</v>
      </c>
      <c r="BL144" s="39">
        <v>0</v>
      </c>
      <c r="BM144" s="39">
        <v>0</v>
      </c>
      <c r="BN144" s="39">
        <v>0</v>
      </c>
      <c r="BO144" s="39">
        <v>0</v>
      </c>
      <c r="BP144" s="2">
        <v>0</v>
      </c>
      <c r="BQ144" s="2">
        <v>0</v>
      </c>
      <c r="BR144" s="39">
        <v>0</v>
      </c>
      <c r="BS144" s="44">
        <v>0</v>
      </c>
      <c r="BT144" s="2">
        <v>0</v>
      </c>
      <c r="BU144" s="39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45">
        <v>0</v>
      </c>
      <c r="CG144" s="67">
        <f t="shared" si="19"/>
        <v>27</v>
      </c>
      <c r="CH144" s="69">
        <f t="shared" si="20"/>
        <v>4</v>
      </c>
      <c r="CI144" s="30">
        <f t="shared" si="21"/>
        <v>0</v>
      </c>
      <c r="CJ144" s="30">
        <f t="shared" si="22"/>
        <v>27</v>
      </c>
      <c r="CK144" s="30">
        <f t="shared" si="23"/>
        <v>0</v>
      </c>
      <c r="CL144" s="67">
        <f t="shared" si="24"/>
        <v>1</v>
      </c>
      <c r="CM144" s="30">
        <v>27</v>
      </c>
      <c r="CN144" s="30">
        <v>11</v>
      </c>
      <c r="CO144" s="30">
        <v>0</v>
      </c>
      <c r="CP144" s="30">
        <v>0</v>
      </c>
      <c r="CQ144" s="67">
        <v>2</v>
      </c>
    </row>
    <row r="145" spans="1:95" x14ac:dyDescent="0.3">
      <c r="A145" s="9">
        <v>262</v>
      </c>
      <c r="B145" s="9" t="s">
        <v>2</v>
      </c>
      <c r="C145" s="9" t="s">
        <v>1</v>
      </c>
      <c r="D145" s="9" t="s">
        <v>4</v>
      </c>
      <c r="E145" s="9">
        <v>4</v>
      </c>
      <c r="F145" s="9" t="s">
        <v>6</v>
      </c>
      <c r="G145" s="9">
        <v>7.0299999999999994</v>
      </c>
      <c r="H145" s="9">
        <v>6</v>
      </c>
      <c r="I145" s="9">
        <v>8.5045000000000002</v>
      </c>
      <c r="J145" s="9">
        <v>5.3700999999999999</v>
      </c>
      <c r="K145" s="9">
        <v>36.85578223293551</v>
      </c>
      <c r="L145" s="9">
        <v>23.611664295874817</v>
      </c>
      <c r="M145" s="7">
        <f t="shared" si="18"/>
        <v>2.0610996447293126</v>
      </c>
      <c r="N145" s="9">
        <v>48.68</v>
      </c>
      <c r="O145" s="9">
        <v>1.5309999999999999</v>
      </c>
      <c r="P145" s="9">
        <v>9.5679999999999996</v>
      </c>
      <c r="Q145" s="9">
        <v>0.80700000000000005</v>
      </c>
      <c r="R145" s="9">
        <v>0.754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39">
        <v>0</v>
      </c>
      <c r="AG145" s="40">
        <v>5</v>
      </c>
      <c r="AH145" s="2">
        <v>0</v>
      </c>
      <c r="AI145" s="2">
        <v>0</v>
      </c>
      <c r="AJ145" s="39">
        <v>0</v>
      </c>
      <c r="AK145" s="41">
        <v>0</v>
      </c>
      <c r="AL145" s="42">
        <v>0</v>
      </c>
      <c r="AM145" s="42">
        <v>0</v>
      </c>
      <c r="AN145" s="43">
        <v>0</v>
      </c>
      <c r="AO145" s="42">
        <v>0</v>
      </c>
      <c r="AP145" s="39">
        <v>0</v>
      </c>
      <c r="AQ145" s="2">
        <v>0</v>
      </c>
      <c r="AR145" s="39">
        <v>0</v>
      </c>
      <c r="AS145" s="41">
        <v>0</v>
      </c>
      <c r="AT145" s="2">
        <v>0</v>
      </c>
      <c r="AU145" s="2">
        <v>0</v>
      </c>
      <c r="AV145" s="2">
        <v>0</v>
      </c>
      <c r="AW145" s="39">
        <v>0</v>
      </c>
      <c r="AX145" s="2">
        <v>0</v>
      </c>
      <c r="AY145" s="2">
        <v>0</v>
      </c>
      <c r="AZ145" s="39">
        <v>0</v>
      </c>
      <c r="BA145" s="2">
        <v>0</v>
      </c>
      <c r="BB145" s="2">
        <v>0</v>
      </c>
      <c r="BC145" s="39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1</v>
      </c>
      <c r="BI145" s="2">
        <v>0</v>
      </c>
      <c r="BJ145" s="2">
        <v>0</v>
      </c>
      <c r="BK145" s="39">
        <v>0</v>
      </c>
      <c r="BL145" s="39">
        <v>0</v>
      </c>
      <c r="BM145" s="39">
        <v>0</v>
      </c>
      <c r="BN145" s="39">
        <v>0</v>
      </c>
      <c r="BO145" s="39">
        <v>1</v>
      </c>
      <c r="BP145" s="2">
        <v>0</v>
      </c>
      <c r="BQ145" s="2">
        <v>1</v>
      </c>
      <c r="BR145" s="39">
        <v>0</v>
      </c>
      <c r="BS145" s="44">
        <v>0</v>
      </c>
      <c r="BT145" s="2">
        <v>0</v>
      </c>
      <c r="BU145" s="39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45">
        <v>0</v>
      </c>
      <c r="CG145" s="67">
        <f t="shared" si="19"/>
        <v>11</v>
      </c>
      <c r="CH145" s="69">
        <f t="shared" si="20"/>
        <v>5</v>
      </c>
      <c r="CI145" s="30">
        <f t="shared" si="21"/>
        <v>0</v>
      </c>
      <c r="CJ145" s="30">
        <f t="shared" si="22"/>
        <v>8</v>
      </c>
      <c r="CK145" s="30">
        <f t="shared" si="23"/>
        <v>3</v>
      </c>
      <c r="CL145" s="67">
        <f t="shared" si="24"/>
        <v>2</v>
      </c>
      <c r="CM145" s="30">
        <v>9</v>
      </c>
      <c r="CN145" s="30">
        <v>0</v>
      </c>
      <c r="CO145" s="30">
        <v>1</v>
      </c>
      <c r="CP145" s="30">
        <v>1</v>
      </c>
      <c r="CQ145" s="67">
        <v>1</v>
      </c>
    </row>
    <row r="146" spans="1:95" x14ac:dyDescent="0.3">
      <c r="A146" s="9">
        <v>279</v>
      </c>
      <c r="B146" s="9" t="s">
        <v>2</v>
      </c>
      <c r="C146" s="9" t="s">
        <v>1</v>
      </c>
      <c r="D146" s="9" t="s">
        <v>4</v>
      </c>
      <c r="E146" s="9">
        <v>3</v>
      </c>
      <c r="F146" s="9" t="s">
        <v>6</v>
      </c>
      <c r="G146" s="9">
        <v>6.9399999999999995</v>
      </c>
      <c r="H146" s="9">
        <v>6</v>
      </c>
      <c r="I146" s="9">
        <v>6.7671999999999999</v>
      </c>
      <c r="J146" s="9">
        <v>5.2171000000000003</v>
      </c>
      <c r="K146" s="9">
        <v>22.906076368365049</v>
      </c>
      <c r="L146" s="9">
        <v>24.825648414985583</v>
      </c>
      <c r="M146" s="7">
        <f t="shared" si="18"/>
        <v>2.0771195517859433</v>
      </c>
      <c r="N146" s="9">
        <v>48.64</v>
      </c>
      <c r="O146" s="9">
        <v>1.36</v>
      </c>
      <c r="P146" s="9">
        <v>8.5009999999999994</v>
      </c>
      <c r="Q146" s="9">
        <v>1.2629999999999999</v>
      </c>
      <c r="R146" s="9">
        <v>1.4119999999999999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1</v>
      </c>
      <c r="AE146" s="2">
        <v>0</v>
      </c>
      <c r="AF146" s="39">
        <v>0</v>
      </c>
      <c r="AG146" s="40">
        <v>1</v>
      </c>
      <c r="AH146" s="2">
        <v>0</v>
      </c>
      <c r="AI146" s="2">
        <v>1</v>
      </c>
      <c r="AJ146" s="39">
        <v>0</v>
      </c>
      <c r="AK146" s="41">
        <v>0</v>
      </c>
      <c r="AL146" s="42">
        <v>0</v>
      </c>
      <c r="AM146" s="42">
        <v>0</v>
      </c>
      <c r="AN146" s="43">
        <v>0</v>
      </c>
      <c r="AO146" s="42">
        <v>0</v>
      </c>
      <c r="AP146" s="39">
        <v>0</v>
      </c>
      <c r="AQ146" s="2">
        <v>0</v>
      </c>
      <c r="AR146" s="39">
        <v>0</v>
      </c>
      <c r="AS146" s="41">
        <v>0</v>
      </c>
      <c r="AT146" s="2">
        <v>0</v>
      </c>
      <c r="AU146" s="2">
        <v>0</v>
      </c>
      <c r="AV146" s="2">
        <v>0</v>
      </c>
      <c r="AW146" s="39">
        <v>0</v>
      </c>
      <c r="AX146" s="2">
        <v>0</v>
      </c>
      <c r="AY146" s="2">
        <v>0</v>
      </c>
      <c r="AZ146" s="39">
        <v>0</v>
      </c>
      <c r="BA146" s="2">
        <v>0</v>
      </c>
      <c r="BB146" s="2">
        <v>0</v>
      </c>
      <c r="BC146" s="39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39">
        <v>0</v>
      </c>
      <c r="BL146" s="39">
        <v>0</v>
      </c>
      <c r="BM146" s="39">
        <v>0</v>
      </c>
      <c r="BN146" s="39">
        <v>0</v>
      </c>
      <c r="BO146" s="39">
        <v>0</v>
      </c>
      <c r="BP146" s="2">
        <v>0</v>
      </c>
      <c r="BQ146" s="2">
        <v>0</v>
      </c>
      <c r="BR146" s="39">
        <v>0</v>
      </c>
      <c r="BS146" s="44">
        <v>0</v>
      </c>
      <c r="BT146" s="2">
        <v>0</v>
      </c>
      <c r="BU146" s="39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45">
        <v>0</v>
      </c>
      <c r="CG146" s="67">
        <f t="shared" si="19"/>
        <v>3</v>
      </c>
      <c r="CH146" s="69">
        <f t="shared" si="20"/>
        <v>3</v>
      </c>
      <c r="CI146" s="30">
        <f t="shared" si="21"/>
        <v>0</v>
      </c>
      <c r="CJ146" s="30">
        <f t="shared" si="22"/>
        <v>2</v>
      </c>
      <c r="CK146" s="30">
        <f t="shared" si="23"/>
        <v>1</v>
      </c>
      <c r="CL146" s="67">
        <f t="shared" si="24"/>
        <v>2</v>
      </c>
      <c r="CM146" s="30">
        <v>2</v>
      </c>
      <c r="CN146" s="30">
        <v>1</v>
      </c>
      <c r="CO146" s="30">
        <v>0</v>
      </c>
      <c r="CP146" s="30">
        <v>1</v>
      </c>
      <c r="CQ146" s="67">
        <v>2</v>
      </c>
    </row>
    <row r="147" spans="1:95" x14ac:dyDescent="0.3">
      <c r="A147" s="9">
        <v>284</v>
      </c>
      <c r="B147" s="9" t="s">
        <v>2</v>
      </c>
      <c r="C147" s="9" t="s">
        <v>14</v>
      </c>
      <c r="D147" s="9" t="s">
        <v>4</v>
      </c>
      <c r="E147" s="9">
        <v>2</v>
      </c>
      <c r="F147" s="9" t="s">
        <v>6</v>
      </c>
      <c r="G147" s="9">
        <v>6.99</v>
      </c>
      <c r="H147" s="9">
        <v>6</v>
      </c>
      <c r="I147" s="9">
        <v>6.3775000000000004</v>
      </c>
      <c r="J147" s="9">
        <v>5.1409000000000002</v>
      </c>
      <c r="K147" s="9">
        <v>19.390043120344963</v>
      </c>
      <c r="L147" s="9">
        <v>26.453505007153073</v>
      </c>
      <c r="M147" s="7">
        <f t="shared" si="18"/>
        <v>2.0990118640581743</v>
      </c>
      <c r="N147" s="9">
        <v>47.98</v>
      </c>
      <c r="O147" s="9">
        <v>1.304</v>
      </c>
      <c r="P147" s="9">
        <v>8.1530000000000005</v>
      </c>
      <c r="Q147" s="9">
        <v>1.1890000000000001</v>
      </c>
      <c r="R147" s="9">
        <v>1.1419999999999999</v>
      </c>
      <c r="S147" s="2">
        <v>4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39">
        <v>0</v>
      </c>
      <c r="AG147" s="40">
        <v>6</v>
      </c>
      <c r="AH147" s="2">
        <v>0</v>
      </c>
      <c r="AI147" s="2">
        <v>0</v>
      </c>
      <c r="AJ147" s="39">
        <v>0</v>
      </c>
      <c r="AK147" s="41">
        <v>0</v>
      </c>
      <c r="AL147" s="42">
        <v>0</v>
      </c>
      <c r="AM147" s="42">
        <v>0</v>
      </c>
      <c r="AN147" s="43">
        <v>0</v>
      </c>
      <c r="AO147" s="42">
        <v>0</v>
      </c>
      <c r="AP147" s="39">
        <v>0</v>
      </c>
      <c r="AQ147" s="2">
        <v>0</v>
      </c>
      <c r="AR147" s="39">
        <v>0</v>
      </c>
      <c r="AS147" s="41">
        <v>0</v>
      </c>
      <c r="AT147" s="2">
        <v>0</v>
      </c>
      <c r="AU147" s="2">
        <v>0</v>
      </c>
      <c r="AV147" s="2">
        <v>0</v>
      </c>
      <c r="AW147" s="39">
        <v>0</v>
      </c>
      <c r="AX147" s="2">
        <v>0</v>
      </c>
      <c r="AY147" s="2">
        <v>0</v>
      </c>
      <c r="AZ147" s="39">
        <v>0</v>
      </c>
      <c r="BA147" s="2">
        <v>0</v>
      </c>
      <c r="BB147" s="2">
        <v>1</v>
      </c>
      <c r="BC147" s="39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39">
        <v>0</v>
      </c>
      <c r="BL147" s="39">
        <v>0</v>
      </c>
      <c r="BM147" s="39">
        <v>0</v>
      </c>
      <c r="BN147" s="39">
        <v>0</v>
      </c>
      <c r="BO147" s="39">
        <v>0</v>
      </c>
      <c r="BP147" s="2">
        <v>0</v>
      </c>
      <c r="BQ147" s="2">
        <v>0</v>
      </c>
      <c r="BR147" s="39">
        <v>0</v>
      </c>
      <c r="BS147" s="44">
        <v>0</v>
      </c>
      <c r="BT147" s="2">
        <v>0</v>
      </c>
      <c r="BU147" s="39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45">
        <v>0</v>
      </c>
      <c r="CG147" s="67">
        <f t="shared" si="19"/>
        <v>11</v>
      </c>
      <c r="CH147" s="69">
        <f t="shared" si="20"/>
        <v>3</v>
      </c>
      <c r="CI147" s="30">
        <f t="shared" si="21"/>
        <v>0</v>
      </c>
      <c r="CJ147" s="30">
        <f t="shared" si="22"/>
        <v>10</v>
      </c>
      <c r="CK147" s="30">
        <f t="shared" si="23"/>
        <v>1</v>
      </c>
      <c r="CL147" s="67">
        <f t="shared" si="24"/>
        <v>2</v>
      </c>
      <c r="CM147" s="30">
        <v>11</v>
      </c>
      <c r="CN147" s="30">
        <v>0</v>
      </c>
      <c r="CO147" s="30">
        <v>0</v>
      </c>
      <c r="CP147" s="30">
        <v>0</v>
      </c>
      <c r="CQ147" s="67">
        <v>1</v>
      </c>
    </row>
    <row r="148" spans="1:95" x14ac:dyDescent="0.3">
      <c r="A148" s="9">
        <v>286</v>
      </c>
      <c r="B148" s="9" t="s">
        <v>2</v>
      </c>
      <c r="C148" s="9" t="s">
        <v>1</v>
      </c>
      <c r="D148" s="9" t="s">
        <v>4</v>
      </c>
      <c r="E148" s="9">
        <v>2</v>
      </c>
      <c r="F148" s="9" t="s">
        <v>6</v>
      </c>
      <c r="G148" s="9">
        <v>7.0100000000000007</v>
      </c>
      <c r="H148" s="9">
        <v>6</v>
      </c>
      <c r="I148" s="9">
        <v>6.2054</v>
      </c>
      <c r="J148" s="9">
        <v>5.1162000000000001</v>
      </c>
      <c r="K148" s="9">
        <v>17.55245431398459</v>
      </c>
      <c r="L148" s="9">
        <v>27.015691868758925</v>
      </c>
      <c r="M148" s="7">
        <f t="shared" si="18"/>
        <v>2.1066851942806317</v>
      </c>
      <c r="N148" s="9">
        <v>47.63</v>
      </c>
      <c r="O148" s="9">
        <v>1.3859999999999999</v>
      </c>
      <c r="P148" s="9">
        <v>8.6639999999999997</v>
      </c>
      <c r="Q148" s="9">
        <v>1.165</v>
      </c>
      <c r="R148" s="9">
        <v>1.034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39">
        <v>0</v>
      </c>
      <c r="AG148" s="40">
        <v>3</v>
      </c>
      <c r="AH148" s="2">
        <v>0</v>
      </c>
      <c r="AI148" s="2">
        <v>0</v>
      </c>
      <c r="AJ148" s="39">
        <v>0</v>
      </c>
      <c r="AK148" s="41">
        <v>0</v>
      </c>
      <c r="AL148" s="42">
        <v>0</v>
      </c>
      <c r="AM148" s="42">
        <v>0</v>
      </c>
      <c r="AN148" s="43">
        <v>0</v>
      </c>
      <c r="AO148" s="42">
        <v>0</v>
      </c>
      <c r="AP148" s="39">
        <v>0</v>
      </c>
      <c r="AQ148" s="2">
        <v>0</v>
      </c>
      <c r="AR148" s="39">
        <v>0</v>
      </c>
      <c r="AS148" s="41">
        <v>0</v>
      </c>
      <c r="AT148" s="2">
        <v>0</v>
      </c>
      <c r="AU148" s="2">
        <v>0</v>
      </c>
      <c r="AV148" s="2">
        <v>0</v>
      </c>
      <c r="AW148" s="39">
        <v>0</v>
      </c>
      <c r="AX148" s="2">
        <v>0</v>
      </c>
      <c r="AY148" s="2">
        <v>0</v>
      </c>
      <c r="AZ148" s="39">
        <v>0</v>
      </c>
      <c r="BA148" s="2">
        <v>0</v>
      </c>
      <c r="BB148" s="2">
        <v>0</v>
      </c>
      <c r="BC148" s="39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39">
        <v>0</v>
      </c>
      <c r="BL148" s="39">
        <v>0</v>
      </c>
      <c r="BM148" s="39">
        <v>0</v>
      </c>
      <c r="BN148" s="39">
        <v>0</v>
      </c>
      <c r="BO148" s="39">
        <v>0</v>
      </c>
      <c r="BP148" s="2">
        <v>0</v>
      </c>
      <c r="BQ148" s="2">
        <v>0</v>
      </c>
      <c r="BR148" s="39">
        <v>0</v>
      </c>
      <c r="BS148" s="44">
        <v>0</v>
      </c>
      <c r="BT148" s="2">
        <v>0</v>
      </c>
      <c r="BU148" s="39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45">
        <v>0</v>
      </c>
      <c r="CG148" s="67">
        <f t="shared" si="19"/>
        <v>3</v>
      </c>
      <c r="CH148" s="69">
        <f t="shared" si="20"/>
        <v>1</v>
      </c>
      <c r="CI148" s="30">
        <f t="shared" si="21"/>
        <v>0</v>
      </c>
      <c r="CJ148" s="30">
        <f t="shared" si="22"/>
        <v>3</v>
      </c>
      <c r="CK148" s="30">
        <f t="shared" si="23"/>
        <v>0</v>
      </c>
      <c r="CL148" s="67">
        <f t="shared" si="24"/>
        <v>1</v>
      </c>
      <c r="CM148" s="30">
        <v>3</v>
      </c>
      <c r="CN148" s="30">
        <v>0</v>
      </c>
      <c r="CO148" s="30">
        <v>0</v>
      </c>
      <c r="CP148" s="30">
        <v>0</v>
      </c>
      <c r="CQ148" s="67">
        <v>1</v>
      </c>
    </row>
    <row r="149" spans="1:95" x14ac:dyDescent="0.3">
      <c r="A149" s="9">
        <v>291</v>
      </c>
      <c r="B149" s="9" t="s">
        <v>2</v>
      </c>
      <c r="C149" s="9" t="s">
        <v>1</v>
      </c>
      <c r="D149" s="9" t="s">
        <v>4</v>
      </c>
      <c r="E149" s="9">
        <v>1</v>
      </c>
      <c r="F149" s="9" t="s">
        <v>6</v>
      </c>
      <c r="G149" s="9">
        <v>7.0200000000000005</v>
      </c>
      <c r="H149" s="9">
        <v>6</v>
      </c>
      <c r="I149" s="9">
        <v>8.3793000000000006</v>
      </c>
      <c r="J149" s="9">
        <v>4.2907000000000002</v>
      </c>
      <c r="K149" s="9">
        <v>48.794052009117713</v>
      </c>
      <c r="L149" s="9">
        <v>38.878917378917386</v>
      </c>
      <c r="M149" s="7">
        <f t="shared" si="18"/>
        <v>2.284072797473482</v>
      </c>
      <c r="N149" s="9">
        <v>44.9</v>
      </c>
      <c r="O149" s="9">
        <v>1.621</v>
      </c>
      <c r="P149" s="9">
        <v>10.132999999999999</v>
      </c>
      <c r="Q149" s="9">
        <v>0.77600000000000002</v>
      </c>
      <c r="R149" s="9">
        <v>0.189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2</v>
      </c>
      <c r="AF149" s="39">
        <v>0</v>
      </c>
      <c r="AG149" s="40">
        <v>0</v>
      </c>
      <c r="AH149" s="2">
        <v>0</v>
      </c>
      <c r="AI149" s="2">
        <v>0</v>
      </c>
      <c r="AJ149" s="39">
        <v>0</v>
      </c>
      <c r="AK149" s="41">
        <v>0</v>
      </c>
      <c r="AL149" s="42">
        <v>0</v>
      </c>
      <c r="AM149" s="42">
        <v>0</v>
      </c>
      <c r="AN149" s="43">
        <v>0</v>
      </c>
      <c r="AO149" s="42">
        <v>0</v>
      </c>
      <c r="AP149" s="39">
        <v>0</v>
      </c>
      <c r="AQ149" s="2">
        <v>0</v>
      </c>
      <c r="AR149" s="39">
        <v>0</v>
      </c>
      <c r="AS149" s="41">
        <v>0</v>
      </c>
      <c r="AT149" s="2">
        <v>0</v>
      </c>
      <c r="AU149" s="2">
        <v>1</v>
      </c>
      <c r="AV149" s="2">
        <v>1</v>
      </c>
      <c r="AW149" s="39">
        <v>0</v>
      </c>
      <c r="AX149" s="2">
        <v>0</v>
      </c>
      <c r="AY149" s="2">
        <v>0</v>
      </c>
      <c r="AZ149" s="39">
        <v>0</v>
      </c>
      <c r="BA149" s="2">
        <v>0</v>
      </c>
      <c r="BB149" s="2">
        <v>3</v>
      </c>
      <c r="BC149" s="39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39">
        <v>0</v>
      </c>
      <c r="BL149" s="39">
        <v>0</v>
      </c>
      <c r="BM149" s="39">
        <v>0</v>
      </c>
      <c r="BN149" s="39">
        <v>0</v>
      </c>
      <c r="BO149" s="39">
        <v>0</v>
      </c>
      <c r="BP149" s="2">
        <v>0</v>
      </c>
      <c r="BQ149" s="2">
        <v>0</v>
      </c>
      <c r="BR149" s="39">
        <v>0</v>
      </c>
      <c r="BS149" s="44">
        <v>0</v>
      </c>
      <c r="BT149" s="2">
        <v>0</v>
      </c>
      <c r="BU149" s="39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1</v>
      </c>
      <c r="CC149" s="2">
        <v>0</v>
      </c>
      <c r="CD149" s="2">
        <v>0</v>
      </c>
      <c r="CE149" s="2">
        <v>0</v>
      </c>
      <c r="CF149" s="45">
        <v>0</v>
      </c>
      <c r="CG149" s="67">
        <f t="shared" si="19"/>
        <v>9</v>
      </c>
      <c r="CH149" s="69">
        <f t="shared" si="20"/>
        <v>6</v>
      </c>
      <c r="CI149" s="30">
        <f t="shared" si="21"/>
        <v>0</v>
      </c>
      <c r="CJ149" s="30">
        <f t="shared" si="22"/>
        <v>3</v>
      </c>
      <c r="CK149" s="30">
        <f t="shared" si="23"/>
        <v>6</v>
      </c>
      <c r="CL149" s="67">
        <f t="shared" si="24"/>
        <v>2</v>
      </c>
      <c r="CM149" s="30">
        <v>8</v>
      </c>
      <c r="CN149" s="30">
        <v>0</v>
      </c>
      <c r="CO149" s="30">
        <v>0</v>
      </c>
      <c r="CP149" s="30">
        <v>1</v>
      </c>
      <c r="CQ149" s="67">
        <v>1</v>
      </c>
    </row>
    <row r="150" spans="1:95" x14ac:dyDescent="0.3">
      <c r="A150" s="9">
        <v>293</v>
      </c>
      <c r="B150" s="9" t="s">
        <v>2</v>
      </c>
      <c r="C150" s="9" t="s">
        <v>14</v>
      </c>
      <c r="D150" s="9" t="s">
        <v>4</v>
      </c>
      <c r="E150" s="9">
        <v>1</v>
      </c>
      <c r="F150" s="9" t="s">
        <v>6</v>
      </c>
      <c r="G150" s="9">
        <v>6.96</v>
      </c>
      <c r="H150" s="9">
        <v>6</v>
      </c>
      <c r="I150" s="9">
        <v>8.8411000000000008</v>
      </c>
      <c r="J150" s="9">
        <v>5.1871</v>
      </c>
      <c r="K150" s="9">
        <v>41.329698793136608</v>
      </c>
      <c r="L150" s="9">
        <v>25.472701149425287</v>
      </c>
      <c r="M150" s="7">
        <f t="shared" si="18"/>
        <v>2.0857641694243094</v>
      </c>
      <c r="N150" s="9">
        <v>47.43</v>
      </c>
      <c r="O150" s="9">
        <v>1.4710000000000001</v>
      </c>
      <c r="P150" s="9">
        <v>9.1940000000000008</v>
      </c>
      <c r="Q150" s="9">
        <v>1.3</v>
      </c>
      <c r="R150" s="9">
        <v>0.92600000000000005</v>
      </c>
      <c r="S150" s="2">
        <v>5</v>
      </c>
      <c r="T150" s="2">
        <v>0</v>
      </c>
      <c r="U150" s="2">
        <v>1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39">
        <v>1</v>
      </c>
      <c r="AG150" s="40">
        <v>0</v>
      </c>
      <c r="AH150" s="2">
        <v>1</v>
      </c>
      <c r="AI150" s="2">
        <v>0</v>
      </c>
      <c r="AJ150" s="39">
        <v>0</v>
      </c>
      <c r="AK150" s="41">
        <v>1</v>
      </c>
      <c r="AL150" s="42">
        <v>0</v>
      </c>
      <c r="AM150" s="42">
        <v>1</v>
      </c>
      <c r="AN150" s="43">
        <v>0</v>
      </c>
      <c r="AO150" s="42">
        <v>0</v>
      </c>
      <c r="AP150" s="39">
        <v>0</v>
      </c>
      <c r="AQ150" s="2">
        <v>0</v>
      </c>
      <c r="AR150" s="39">
        <v>0</v>
      </c>
      <c r="AS150" s="41">
        <v>0</v>
      </c>
      <c r="AT150" s="2">
        <v>0</v>
      </c>
      <c r="AU150" s="2">
        <v>0</v>
      </c>
      <c r="AV150" s="2">
        <v>0</v>
      </c>
      <c r="AW150" s="39">
        <v>0</v>
      </c>
      <c r="AX150" s="2">
        <v>0</v>
      </c>
      <c r="AY150" s="2">
        <v>3</v>
      </c>
      <c r="AZ150" s="39">
        <v>0</v>
      </c>
      <c r="BA150" s="2">
        <v>0</v>
      </c>
      <c r="BB150" s="2">
        <v>0</v>
      </c>
      <c r="BC150" s="39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1</v>
      </c>
      <c r="BI150" s="2">
        <v>0</v>
      </c>
      <c r="BJ150" s="2">
        <v>0</v>
      </c>
      <c r="BK150" s="39">
        <v>0</v>
      </c>
      <c r="BL150" s="39">
        <v>0</v>
      </c>
      <c r="BM150" s="39">
        <v>0</v>
      </c>
      <c r="BN150" s="39">
        <v>0</v>
      </c>
      <c r="BO150" s="39">
        <v>0</v>
      </c>
      <c r="BP150" s="2">
        <v>0</v>
      </c>
      <c r="BQ150" s="2">
        <v>0</v>
      </c>
      <c r="BR150" s="39">
        <v>0</v>
      </c>
      <c r="BS150" s="44">
        <v>0</v>
      </c>
      <c r="BT150" s="2">
        <v>3</v>
      </c>
      <c r="BU150" s="39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45">
        <v>1</v>
      </c>
      <c r="CG150" s="67">
        <f t="shared" si="19"/>
        <v>18</v>
      </c>
      <c r="CH150" s="69">
        <f t="shared" si="20"/>
        <v>10</v>
      </c>
      <c r="CI150" s="30">
        <f t="shared" si="21"/>
        <v>0</v>
      </c>
      <c r="CJ150" s="30">
        <f t="shared" si="22"/>
        <v>9</v>
      </c>
      <c r="CK150" s="30">
        <f t="shared" si="23"/>
        <v>9</v>
      </c>
      <c r="CL150" s="67">
        <f t="shared" si="24"/>
        <v>2</v>
      </c>
      <c r="CM150" s="30">
        <v>10</v>
      </c>
      <c r="CN150" s="30">
        <v>0</v>
      </c>
      <c r="CO150" s="30">
        <v>0</v>
      </c>
      <c r="CP150" s="30">
        <v>5</v>
      </c>
      <c r="CQ150" s="67">
        <v>1</v>
      </c>
    </row>
    <row r="151" spans="1:95" x14ac:dyDescent="0.3">
      <c r="A151" s="9">
        <v>367</v>
      </c>
      <c r="B151" s="9" t="s">
        <v>2</v>
      </c>
      <c r="C151" s="9" t="s">
        <v>1</v>
      </c>
      <c r="D151" s="9" t="s">
        <v>5</v>
      </c>
      <c r="E151" s="9">
        <v>5</v>
      </c>
      <c r="F151" s="9" t="s">
        <v>6</v>
      </c>
      <c r="G151" s="9">
        <v>7</v>
      </c>
      <c r="H151" s="9">
        <v>6</v>
      </c>
      <c r="I151" s="9">
        <v>6.5681000000000003</v>
      </c>
      <c r="J151" s="9">
        <v>5.2135999999999996</v>
      </c>
      <c r="K151" s="9">
        <v>20.622402216775029</v>
      </c>
      <c r="L151" s="9">
        <v>25.520000000000003</v>
      </c>
      <c r="M151" s="7">
        <f t="shared" si="18"/>
        <v>2.0863990222473348</v>
      </c>
      <c r="N151" s="9">
        <v>46.47</v>
      </c>
      <c r="O151" s="9">
        <v>1.236</v>
      </c>
      <c r="P151" s="9">
        <v>7.7240000000000002</v>
      </c>
      <c r="Q151" s="9">
        <v>0.48699999999999999</v>
      </c>
      <c r="R151" s="9">
        <v>0.58099999999999996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39">
        <v>0</v>
      </c>
      <c r="AG151" s="40">
        <v>0</v>
      </c>
      <c r="AH151" s="2">
        <v>0</v>
      </c>
      <c r="AI151" s="2">
        <v>0</v>
      </c>
      <c r="AJ151" s="39">
        <v>0</v>
      </c>
      <c r="AK151" s="41">
        <v>0</v>
      </c>
      <c r="AL151" s="42">
        <v>0</v>
      </c>
      <c r="AM151" s="42">
        <v>0</v>
      </c>
      <c r="AN151" s="43">
        <v>0</v>
      </c>
      <c r="AO151" s="42">
        <v>0</v>
      </c>
      <c r="AP151" s="39">
        <v>0</v>
      </c>
      <c r="AQ151" s="2">
        <v>0</v>
      </c>
      <c r="AR151" s="39">
        <v>0</v>
      </c>
      <c r="AS151" s="41">
        <v>0</v>
      </c>
      <c r="AT151" s="2">
        <v>0</v>
      </c>
      <c r="AU151" s="2">
        <v>0</v>
      </c>
      <c r="AV151" s="2">
        <v>0</v>
      </c>
      <c r="AW151" s="39">
        <v>0</v>
      </c>
      <c r="AX151" s="2">
        <v>0</v>
      </c>
      <c r="AY151" s="2">
        <v>0</v>
      </c>
      <c r="AZ151" s="39">
        <v>0</v>
      </c>
      <c r="BA151" s="2">
        <v>0</v>
      </c>
      <c r="BB151" s="2">
        <v>0</v>
      </c>
      <c r="BC151" s="39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39">
        <v>0</v>
      </c>
      <c r="BL151" s="39">
        <v>0</v>
      </c>
      <c r="BM151" s="39">
        <v>0</v>
      </c>
      <c r="BN151" s="39">
        <v>0</v>
      </c>
      <c r="BO151" s="39">
        <v>0</v>
      </c>
      <c r="BP151" s="2">
        <v>0</v>
      </c>
      <c r="BQ151" s="2">
        <v>0</v>
      </c>
      <c r="BR151" s="39">
        <v>0</v>
      </c>
      <c r="BS151" s="44">
        <v>0</v>
      </c>
      <c r="BT151" s="2">
        <v>0</v>
      </c>
      <c r="BU151" s="39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45">
        <v>0</v>
      </c>
      <c r="CG151" s="67">
        <f t="shared" si="19"/>
        <v>0</v>
      </c>
      <c r="CH151" s="69">
        <f t="shared" si="20"/>
        <v>0</v>
      </c>
      <c r="CI151" s="30">
        <f t="shared" si="21"/>
        <v>0</v>
      </c>
      <c r="CJ151" s="30">
        <f t="shared" si="22"/>
        <v>0</v>
      </c>
      <c r="CK151" s="30">
        <f t="shared" si="23"/>
        <v>0</v>
      </c>
      <c r="CL151" s="67">
        <f t="shared" si="24"/>
        <v>0</v>
      </c>
      <c r="CM151" s="30">
        <v>0</v>
      </c>
      <c r="CN151" s="30">
        <v>0</v>
      </c>
      <c r="CO151" s="30">
        <v>0</v>
      </c>
      <c r="CP151" s="30">
        <v>0</v>
      </c>
      <c r="CQ151" s="67">
        <v>0</v>
      </c>
    </row>
    <row r="152" spans="1:95" x14ac:dyDescent="0.3">
      <c r="A152" s="9">
        <v>379</v>
      </c>
      <c r="B152" s="9" t="s">
        <v>2</v>
      </c>
      <c r="C152" s="9" t="s">
        <v>14</v>
      </c>
      <c r="D152" s="9" t="s">
        <v>5</v>
      </c>
      <c r="E152" s="9">
        <v>2</v>
      </c>
      <c r="F152" s="9" t="s">
        <v>6</v>
      </c>
      <c r="G152" s="9">
        <v>7</v>
      </c>
      <c r="H152" s="9">
        <v>6</v>
      </c>
      <c r="I152" s="9">
        <v>6.7603</v>
      </c>
      <c r="J152" s="9">
        <v>5.3318000000000003</v>
      </c>
      <c r="K152" s="9">
        <v>21.130719050929688</v>
      </c>
      <c r="L152" s="9">
        <v>23.831428571428567</v>
      </c>
      <c r="M152" s="7">
        <f t="shared" si="18"/>
        <v>2.0639807260477445</v>
      </c>
      <c r="N152" s="9">
        <v>47.26</v>
      </c>
      <c r="O152" s="9">
        <v>0.83399999999999996</v>
      </c>
      <c r="P152" s="9">
        <v>5.2119999999999997</v>
      </c>
      <c r="Q152" s="9">
        <v>0.54200000000000004</v>
      </c>
      <c r="R152" s="9">
        <v>0.75</v>
      </c>
      <c r="S152" s="2">
        <v>0</v>
      </c>
      <c r="T152" s="2">
        <v>1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39">
        <v>0</v>
      </c>
      <c r="AG152" s="40">
        <v>0</v>
      </c>
      <c r="AH152" s="2">
        <v>0</v>
      </c>
      <c r="AI152" s="2">
        <v>0</v>
      </c>
      <c r="AJ152" s="39">
        <v>0</v>
      </c>
      <c r="AK152" s="41">
        <v>0</v>
      </c>
      <c r="AL152" s="42">
        <v>0</v>
      </c>
      <c r="AM152" s="42">
        <v>0</v>
      </c>
      <c r="AN152" s="43">
        <v>0</v>
      </c>
      <c r="AO152" s="42">
        <v>0</v>
      </c>
      <c r="AP152" s="39">
        <v>0</v>
      </c>
      <c r="AQ152" s="2">
        <v>1</v>
      </c>
      <c r="AR152" s="39">
        <v>0</v>
      </c>
      <c r="AS152" s="41">
        <v>0</v>
      </c>
      <c r="AT152" s="2">
        <v>0</v>
      </c>
      <c r="AU152" s="2">
        <v>0</v>
      </c>
      <c r="AV152" s="2">
        <v>0</v>
      </c>
      <c r="AW152" s="39">
        <v>0</v>
      </c>
      <c r="AX152" s="2">
        <v>0</v>
      </c>
      <c r="AY152" s="2">
        <v>0</v>
      </c>
      <c r="AZ152" s="39">
        <v>0</v>
      </c>
      <c r="BA152" s="2">
        <v>0</v>
      </c>
      <c r="BB152" s="2">
        <v>0</v>
      </c>
      <c r="BC152" s="39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39">
        <v>0</v>
      </c>
      <c r="BL152" s="39">
        <v>0</v>
      </c>
      <c r="BM152" s="39">
        <v>0</v>
      </c>
      <c r="BN152" s="39">
        <v>0</v>
      </c>
      <c r="BO152" s="39">
        <v>0</v>
      </c>
      <c r="BP152" s="2">
        <v>0</v>
      </c>
      <c r="BQ152" s="2">
        <v>0</v>
      </c>
      <c r="BR152" s="39">
        <v>0</v>
      </c>
      <c r="BS152" s="44">
        <v>0</v>
      </c>
      <c r="BT152" s="2">
        <v>0</v>
      </c>
      <c r="BU152" s="39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45">
        <v>0</v>
      </c>
      <c r="CG152" s="67">
        <f t="shared" si="19"/>
        <v>3</v>
      </c>
      <c r="CH152" s="69">
        <f t="shared" si="20"/>
        <v>3</v>
      </c>
      <c r="CI152" s="30">
        <f t="shared" si="21"/>
        <v>0</v>
      </c>
      <c r="CJ152" s="30">
        <f t="shared" si="22"/>
        <v>3</v>
      </c>
      <c r="CK152" s="30">
        <f t="shared" si="23"/>
        <v>0</v>
      </c>
      <c r="CL152" s="67">
        <f t="shared" si="24"/>
        <v>1</v>
      </c>
      <c r="CM152" s="30">
        <v>3</v>
      </c>
      <c r="CN152" s="30">
        <v>0</v>
      </c>
      <c r="CO152" s="30">
        <v>0</v>
      </c>
      <c r="CP152" s="30">
        <v>0</v>
      </c>
      <c r="CQ152" s="67">
        <v>1</v>
      </c>
    </row>
    <row r="153" spans="1:95" x14ac:dyDescent="0.3">
      <c r="A153" s="9">
        <v>382</v>
      </c>
      <c r="B153" s="9" t="s">
        <v>2</v>
      </c>
      <c r="C153" s="9" t="s">
        <v>14</v>
      </c>
      <c r="D153" s="9" t="s">
        <v>5</v>
      </c>
      <c r="E153" s="9">
        <v>4</v>
      </c>
      <c r="F153" s="9" t="s">
        <v>6</v>
      </c>
      <c r="G153" s="9">
        <v>6.93</v>
      </c>
      <c r="H153" s="9">
        <v>6</v>
      </c>
      <c r="I153" s="9">
        <v>6.6277999999999997</v>
      </c>
      <c r="J153" s="9">
        <v>5.1505999999999998</v>
      </c>
      <c r="K153" s="9">
        <v>22.287938682519083</v>
      </c>
      <c r="L153" s="9">
        <v>25.676767676767675</v>
      </c>
      <c r="M153" s="7">
        <f t="shared" si="18"/>
        <v>2.0885060696860167</v>
      </c>
      <c r="N153" s="9">
        <v>47.49</v>
      </c>
      <c r="O153" s="9">
        <v>1.306</v>
      </c>
      <c r="P153" s="9">
        <v>8.1609999999999996</v>
      </c>
      <c r="Q153" s="9">
        <v>0.65100000000000002</v>
      </c>
      <c r="R153" s="9">
        <v>0.93500000000000005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39">
        <v>0</v>
      </c>
      <c r="AG153" s="40">
        <v>0</v>
      </c>
      <c r="AH153" s="2">
        <v>0</v>
      </c>
      <c r="AI153" s="2">
        <v>0</v>
      </c>
      <c r="AJ153" s="39">
        <v>0</v>
      </c>
      <c r="AK153" s="41">
        <v>0</v>
      </c>
      <c r="AL153" s="42">
        <v>0</v>
      </c>
      <c r="AM153" s="42">
        <v>0</v>
      </c>
      <c r="AN153" s="43">
        <v>0</v>
      </c>
      <c r="AO153" s="42">
        <v>0</v>
      </c>
      <c r="AP153" s="39">
        <v>0</v>
      </c>
      <c r="AQ153" s="2">
        <v>0</v>
      </c>
      <c r="AR153" s="39">
        <v>0</v>
      </c>
      <c r="AS153" s="41">
        <v>0</v>
      </c>
      <c r="AT153" s="2">
        <v>0</v>
      </c>
      <c r="AU153" s="2">
        <v>0</v>
      </c>
      <c r="AV153" s="2">
        <v>0</v>
      </c>
      <c r="AW153" s="39">
        <v>0</v>
      </c>
      <c r="AX153" s="2">
        <v>0</v>
      </c>
      <c r="AY153" s="2">
        <v>9</v>
      </c>
      <c r="AZ153" s="39">
        <v>0</v>
      </c>
      <c r="BA153" s="2">
        <v>0</v>
      </c>
      <c r="BB153" s="2">
        <v>0</v>
      </c>
      <c r="BC153" s="39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39">
        <v>0</v>
      </c>
      <c r="BL153" s="39">
        <v>0</v>
      </c>
      <c r="BM153" s="39">
        <v>0</v>
      </c>
      <c r="BN153" s="39">
        <v>0</v>
      </c>
      <c r="BO153" s="39">
        <v>0</v>
      </c>
      <c r="BP153" s="2">
        <v>0</v>
      </c>
      <c r="BQ153" s="2">
        <v>0</v>
      </c>
      <c r="BR153" s="39">
        <v>0</v>
      </c>
      <c r="BS153" s="44">
        <v>0</v>
      </c>
      <c r="BT153" s="2">
        <v>0</v>
      </c>
      <c r="BU153" s="39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45">
        <v>0</v>
      </c>
      <c r="CG153" s="67">
        <f t="shared" si="19"/>
        <v>9</v>
      </c>
      <c r="CH153" s="69">
        <f t="shared" si="20"/>
        <v>1</v>
      </c>
      <c r="CI153" s="30">
        <f t="shared" si="21"/>
        <v>0</v>
      </c>
      <c r="CJ153" s="30">
        <f t="shared" si="22"/>
        <v>0</v>
      </c>
      <c r="CK153" s="30">
        <f t="shared" si="23"/>
        <v>9</v>
      </c>
      <c r="CL153" s="67">
        <f t="shared" si="24"/>
        <v>1</v>
      </c>
      <c r="CM153" s="30">
        <v>0</v>
      </c>
      <c r="CN153" s="30">
        <v>0</v>
      </c>
      <c r="CO153" s="30">
        <v>0</v>
      </c>
      <c r="CP153" s="30">
        <v>0</v>
      </c>
      <c r="CQ153" s="67">
        <v>0</v>
      </c>
    </row>
    <row r="154" spans="1:95" x14ac:dyDescent="0.3">
      <c r="A154" s="9">
        <v>383</v>
      </c>
      <c r="B154" s="9" t="s">
        <v>2</v>
      </c>
      <c r="C154" s="9" t="s">
        <v>1</v>
      </c>
      <c r="D154" s="9" t="s">
        <v>5</v>
      </c>
      <c r="E154" s="9">
        <v>3</v>
      </c>
      <c r="F154" s="9" t="s">
        <v>6</v>
      </c>
      <c r="G154" s="9">
        <v>6.94</v>
      </c>
      <c r="H154" s="9">
        <v>6</v>
      </c>
      <c r="I154" s="9">
        <v>7.0574000000000003</v>
      </c>
      <c r="J154" s="9">
        <v>5.4131999999999998</v>
      </c>
      <c r="K154" s="9">
        <v>23.297531668886563</v>
      </c>
      <c r="L154" s="9">
        <v>22.000000000000007</v>
      </c>
      <c r="M154" s="7">
        <f t="shared" si="18"/>
        <v>2.0402208285265546</v>
      </c>
      <c r="N154" s="9">
        <v>45.82</v>
      </c>
      <c r="O154" s="9">
        <v>1.0640000000000001</v>
      </c>
      <c r="P154" s="9">
        <v>6.6470000000000002</v>
      </c>
      <c r="Q154" s="9">
        <v>0.58299999999999996</v>
      </c>
      <c r="R154" s="9">
        <v>0.93299999999999994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39">
        <v>0</v>
      </c>
      <c r="AG154" s="40">
        <v>0</v>
      </c>
      <c r="AH154" s="2">
        <v>0</v>
      </c>
      <c r="AI154" s="2">
        <v>0</v>
      </c>
      <c r="AJ154" s="39">
        <v>0</v>
      </c>
      <c r="AK154" s="41">
        <v>0</v>
      </c>
      <c r="AL154" s="42">
        <v>0</v>
      </c>
      <c r="AM154" s="42">
        <v>0</v>
      </c>
      <c r="AN154" s="43">
        <v>0</v>
      </c>
      <c r="AO154" s="42">
        <v>0</v>
      </c>
      <c r="AP154" s="39">
        <v>0</v>
      </c>
      <c r="AQ154" s="2">
        <v>0</v>
      </c>
      <c r="AR154" s="39">
        <v>0</v>
      </c>
      <c r="AS154" s="41">
        <v>0</v>
      </c>
      <c r="AT154" s="2">
        <v>0</v>
      </c>
      <c r="AU154" s="2">
        <v>0</v>
      </c>
      <c r="AV154" s="2">
        <v>0</v>
      </c>
      <c r="AW154" s="39">
        <v>0</v>
      </c>
      <c r="AX154" s="2">
        <v>0</v>
      </c>
      <c r="AY154" s="2">
        <v>0</v>
      </c>
      <c r="AZ154" s="39">
        <v>0</v>
      </c>
      <c r="BA154" s="2">
        <v>0</v>
      </c>
      <c r="BB154" s="2">
        <v>0</v>
      </c>
      <c r="BC154" s="39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39">
        <v>0</v>
      </c>
      <c r="BL154" s="39">
        <v>0</v>
      </c>
      <c r="BM154" s="39">
        <v>0</v>
      </c>
      <c r="BN154" s="39">
        <v>0</v>
      </c>
      <c r="BO154" s="39">
        <v>0</v>
      </c>
      <c r="BP154" s="2">
        <v>0</v>
      </c>
      <c r="BQ154" s="2">
        <v>0</v>
      </c>
      <c r="BR154" s="39">
        <v>0</v>
      </c>
      <c r="BS154" s="44">
        <v>0</v>
      </c>
      <c r="BT154" s="2">
        <v>0</v>
      </c>
      <c r="BU154" s="39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45">
        <v>0</v>
      </c>
      <c r="CG154" s="67">
        <f t="shared" si="19"/>
        <v>0</v>
      </c>
      <c r="CH154" s="69">
        <f t="shared" si="20"/>
        <v>0</v>
      </c>
      <c r="CI154" s="30">
        <f t="shared" si="21"/>
        <v>0</v>
      </c>
      <c r="CJ154" s="30">
        <f t="shared" si="22"/>
        <v>0</v>
      </c>
      <c r="CK154" s="30">
        <f t="shared" si="23"/>
        <v>0</v>
      </c>
      <c r="CL154" s="67">
        <f t="shared" si="24"/>
        <v>0</v>
      </c>
      <c r="CM154" s="30">
        <v>0</v>
      </c>
      <c r="CN154" s="30">
        <v>0</v>
      </c>
      <c r="CO154" s="30">
        <v>0</v>
      </c>
      <c r="CP154" s="30">
        <v>0</v>
      </c>
      <c r="CQ154" s="67">
        <v>0</v>
      </c>
    </row>
    <row r="155" spans="1:95" x14ac:dyDescent="0.3">
      <c r="A155" s="9">
        <v>389</v>
      </c>
      <c r="B155" s="9" t="s">
        <v>2</v>
      </c>
      <c r="C155" s="9" t="s">
        <v>14</v>
      </c>
      <c r="D155" s="9" t="s">
        <v>5</v>
      </c>
      <c r="E155" s="9">
        <v>1</v>
      </c>
      <c r="F155" s="9" t="s">
        <v>6</v>
      </c>
      <c r="G155" s="9">
        <v>7</v>
      </c>
      <c r="H155" s="9">
        <v>6</v>
      </c>
      <c r="I155" s="9">
        <v>6.8273999999999999</v>
      </c>
      <c r="J155" s="9">
        <v>5.4301000000000004</v>
      </c>
      <c r="K155" s="9">
        <v>20.466063215865475</v>
      </c>
      <c r="L155" s="9">
        <v>22.427142857142851</v>
      </c>
      <c r="M155" s="7">
        <f t="shared" si="18"/>
        <v>2.0457120683008392</v>
      </c>
      <c r="N155" s="9">
        <v>47.92</v>
      </c>
      <c r="O155" s="9">
        <v>0.93400000000000005</v>
      </c>
      <c r="P155" s="9">
        <v>5.8360000000000003</v>
      </c>
      <c r="Q155" s="9">
        <v>0.68500000000000005</v>
      </c>
      <c r="R155" s="9">
        <v>0.877</v>
      </c>
      <c r="S155" s="2">
        <v>3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39">
        <v>0</v>
      </c>
      <c r="AG155" s="40">
        <v>0</v>
      </c>
      <c r="AH155" s="2">
        <v>0</v>
      </c>
      <c r="AI155" s="2">
        <v>0</v>
      </c>
      <c r="AJ155" s="39">
        <v>0</v>
      </c>
      <c r="AK155" s="41">
        <v>0</v>
      </c>
      <c r="AL155" s="42">
        <v>0</v>
      </c>
      <c r="AM155" s="42">
        <v>0</v>
      </c>
      <c r="AN155" s="43">
        <v>0</v>
      </c>
      <c r="AO155" s="42">
        <v>0</v>
      </c>
      <c r="AP155" s="39">
        <v>0</v>
      </c>
      <c r="AQ155" s="2">
        <v>0</v>
      </c>
      <c r="AR155" s="39">
        <v>0</v>
      </c>
      <c r="AS155" s="41">
        <v>0</v>
      </c>
      <c r="AT155" s="2">
        <v>0</v>
      </c>
      <c r="AU155" s="2">
        <v>0</v>
      </c>
      <c r="AV155" s="2">
        <v>0</v>
      </c>
      <c r="AW155" s="39">
        <v>0</v>
      </c>
      <c r="AX155" s="2">
        <v>0</v>
      </c>
      <c r="AY155" s="2">
        <v>0</v>
      </c>
      <c r="AZ155" s="39">
        <v>0</v>
      </c>
      <c r="BA155" s="2">
        <v>0</v>
      </c>
      <c r="BB155" s="2">
        <v>0</v>
      </c>
      <c r="BC155" s="39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39">
        <v>0</v>
      </c>
      <c r="BL155" s="39">
        <v>0</v>
      </c>
      <c r="BM155" s="39">
        <v>0</v>
      </c>
      <c r="BN155" s="39">
        <v>0</v>
      </c>
      <c r="BO155" s="39">
        <v>0</v>
      </c>
      <c r="BP155" s="2">
        <v>0</v>
      </c>
      <c r="BQ155" s="2">
        <v>0</v>
      </c>
      <c r="BR155" s="39">
        <v>0</v>
      </c>
      <c r="BS155" s="44">
        <v>0</v>
      </c>
      <c r="BT155" s="2">
        <v>0</v>
      </c>
      <c r="BU155" s="39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45">
        <v>1</v>
      </c>
      <c r="CG155" s="67">
        <f t="shared" si="19"/>
        <v>4</v>
      </c>
      <c r="CH155" s="69">
        <f t="shared" si="20"/>
        <v>2</v>
      </c>
      <c r="CI155" s="30">
        <f t="shared" si="21"/>
        <v>0</v>
      </c>
      <c r="CJ155" s="30">
        <f t="shared" si="22"/>
        <v>3</v>
      </c>
      <c r="CK155" s="30">
        <f t="shared" si="23"/>
        <v>1</v>
      </c>
      <c r="CL155" s="67">
        <f t="shared" si="24"/>
        <v>2</v>
      </c>
      <c r="CM155" s="30">
        <v>3</v>
      </c>
      <c r="CN155" s="30">
        <v>0</v>
      </c>
      <c r="CO155" s="30">
        <v>0</v>
      </c>
      <c r="CP155" s="30">
        <v>1</v>
      </c>
      <c r="CQ155" s="67">
        <v>1</v>
      </c>
    </row>
    <row r="156" spans="1:95" x14ac:dyDescent="0.3">
      <c r="A156" s="9">
        <v>399</v>
      </c>
      <c r="B156" s="9" t="s">
        <v>2</v>
      </c>
      <c r="C156" s="9" t="s">
        <v>1</v>
      </c>
      <c r="D156" s="9" t="s">
        <v>5</v>
      </c>
      <c r="E156" s="9">
        <v>2</v>
      </c>
      <c r="F156" s="9" t="s">
        <v>6</v>
      </c>
      <c r="G156" s="9">
        <v>7.05</v>
      </c>
      <c r="H156" s="9">
        <v>6</v>
      </c>
      <c r="I156" s="9">
        <v>6.5617000000000001</v>
      </c>
      <c r="J156" s="9">
        <v>5.4025999999999996</v>
      </c>
      <c r="K156" s="9">
        <v>17.664629592940862</v>
      </c>
      <c r="L156" s="9">
        <v>23.367375886524826</v>
      </c>
      <c r="M156" s="7">
        <f t="shared" si="18"/>
        <v>2.0579067668755378</v>
      </c>
      <c r="N156" s="9">
        <v>47.3</v>
      </c>
      <c r="O156" s="9">
        <v>1.0149999999999999</v>
      </c>
      <c r="P156" s="9">
        <v>6.3419999999999996</v>
      </c>
      <c r="Q156" s="9">
        <v>0.438</v>
      </c>
      <c r="R156" s="9">
        <v>0.66200000000000003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39">
        <v>0</v>
      </c>
      <c r="AG156" s="40">
        <v>0</v>
      </c>
      <c r="AH156" s="2">
        <v>0</v>
      </c>
      <c r="AI156" s="2">
        <v>0</v>
      </c>
      <c r="AJ156" s="39">
        <v>0</v>
      </c>
      <c r="AK156" s="41">
        <v>0</v>
      </c>
      <c r="AL156" s="42">
        <v>0</v>
      </c>
      <c r="AM156" s="42">
        <v>0</v>
      </c>
      <c r="AN156" s="43">
        <v>0</v>
      </c>
      <c r="AO156" s="42">
        <v>0</v>
      </c>
      <c r="AP156" s="39">
        <v>0</v>
      </c>
      <c r="AQ156" s="2">
        <v>0</v>
      </c>
      <c r="AR156" s="39">
        <v>0</v>
      </c>
      <c r="AS156" s="41">
        <v>0</v>
      </c>
      <c r="AT156" s="2">
        <v>0</v>
      </c>
      <c r="AU156" s="2">
        <v>0</v>
      </c>
      <c r="AV156" s="2">
        <v>0</v>
      </c>
      <c r="AW156" s="39">
        <v>0</v>
      </c>
      <c r="AX156" s="2">
        <v>0</v>
      </c>
      <c r="AY156" s="2">
        <v>0</v>
      </c>
      <c r="AZ156" s="39">
        <v>0</v>
      </c>
      <c r="BA156" s="2">
        <v>0</v>
      </c>
      <c r="BB156" s="2">
        <v>0</v>
      </c>
      <c r="BC156" s="39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39">
        <v>0</v>
      </c>
      <c r="BL156" s="39">
        <v>0</v>
      </c>
      <c r="BM156" s="39">
        <v>0</v>
      </c>
      <c r="BN156" s="39">
        <v>0</v>
      </c>
      <c r="BO156" s="39">
        <v>0</v>
      </c>
      <c r="BP156" s="2">
        <v>0</v>
      </c>
      <c r="BQ156" s="2">
        <v>0</v>
      </c>
      <c r="BR156" s="39">
        <v>0</v>
      </c>
      <c r="BS156" s="44">
        <v>0</v>
      </c>
      <c r="BT156" s="2">
        <v>0</v>
      </c>
      <c r="BU156" s="39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45">
        <v>0</v>
      </c>
      <c r="CG156" s="67">
        <f t="shared" si="19"/>
        <v>0</v>
      </c>
      <c r="CH156" s="69">
        <f t="shared" si="20"/>
        <v>0</v>
      </c>
      <c r="CI156" s="30">
        <f t="shared" si="21"/>
        <v>0</v>
      </c>
      <c r="CJ156" s="30">
        <f t="shared" si="22"/>
        <v>0</v>
      </c>
      <c r="CK156" s="30">
        <f t="shared" si="23"/>
        <v>0</v>
      </c>
      <c r="CL156" s="67">
        <f t="shared" si="24"/>
        <v>0</v>
      </c>
      <c r="CM156" s="30">
        <v>0</v>
      </c>
      <c r="CN156" s="30">
        <v>0</v>
      </c>
      <c r="CO156" s="30">
        <v>0</v>
      </c>
      <c r="CP156" s="30">
        <v>0</v>
      </c>
      <c r="CQ156" s="67">
        <v>0</v>
      </c>
    </row>
    <row r="157" spans="1:95" x14ac:dyDescent="0.3">
      <c r="A157" s="9">
        <v>401</v>
      </c>
      <c r="B157" s="9" t="s">
        <v>2</v>
      </c>
      <c r="C157" s="9" t="s">
        <v>1</v>
      </c>
      <c r="D157" s="9" t="s">
        <v>5</v>
      </c>
      <c r="E157" s="9">
        <v>4</v>
      </c>
      <c r="F157" s="9" t="s">
        <v>6</v>
      </c>
      <c r="G157" s="9">
        <v>6.99</v>
      </c>
      <c r="H157" s="9">
        <v>6</v>
      </c>
      <c r="I157" s="9">
        <v>7.242</v>
      </c>
      <c r="J157" s="9">
        <v>5.4127999999999998</v>
      </c>
      <c r="K157" s="9">
        <v>25.258215962441316</v>
      </c>
      <c r="L157" s="9">
        <v>22.563662374821178</v>
      </c>
      <c r="M157" s="7">
        <f t="shared" si="18"/>
        <v>2.0474735064294669</v>
      </c>
      <c r="N157" s="9">
        <v>48.38</v>
      </c>
      <c r="O157" s="9">
        <v>1.1120000000000001</v>
      </c>
      <c r="P157" s="9">
        <v>6.9480000000000004</v>
      </c>
      <c r="Q157" s="9">
        <v>0.128</v>
      </c>
      <c r="R157" s="9">
        <v>0.61399999999999999</v>
      </c>
      <c r="S157" s="2">
        <v>2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39">
        <v>0</v>
      </c>
      <c r="AG157" s="40">
        <v>9</v>
      </c>
      <c r="AH157" s="2">
        <v>0</v>
      </c>
      <c r="AI157" s="2">
        <v>0</v>
      </c>
      <c r="AJ157" s="39">
        <v>0</v>
      </c>
      <c r="AK157" s="41">
        <v>0</v>
      </c>
      <c r="AL157" s="42">
        <v>0</v>
      </c>
      <c r="AM157" s="42">
        <v>0</v>
      </c>
      <c r="AN157" s="43">
        <v>0</v>
      </c>
      <c r="AO157" s="42">
        <v>0</v>
      </c>
      <c r="AP157" s="39">
        <v>0</v>
      </c>
      <c r="AQ157" s="2">
        <v>0</v>
      </c>
      <c r="AR157" s="39">
        <v>0</v>
      </c>
      <c r="AS157" s="41">
        <v>0</v>
      </c>
      <c r="AT157" s="2">
        <v>0</v>
      </c>
      <c r="AU157" s="2">
        <v>0</v>
      </c>
      <c r="AV157" s="2">
        <v>0</v>
      </c>
      <c r="AW157" s="39">
        <v>0</v>
      </c>
      <c r="AX157" s="2">
        <v>0</v>
      </c>
      <c r="AY157" s="2">
        <v>10</v>
      </c>
      <c r="AZ157" s="39">
        <v>0</v>
      </c>
      <c r="BA157" s="2">
        <v>0</v>
      </c>
      <c r="BB157" s="2">
        <v>0</v>
      </c>
      <c r="BC157" s="39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39">
        <v>0</v>
      </c>
      <c r="BL157" s="39">
        <v>0</v>
      </c>
      <c r="BM157" s="39">
        <v>0</v>
      </c>
      <c r="BN157" s="39">
        <v>0</v>
      </c>
      <c r="BO157" s="39">
        <v>0</v>
      </c>
      <c r="BP157" s="2">
        <v>0</v>
      </c>
      <c r="BQ157" s="2">
        <v>0</v>
      </c>
      <c r="BR157" s="39">
        <v>0</v>
      </c>
      <c r="BS157" s="44">
        <v>0</v>
      </c>
      <c r="BT157" s="2">
        <v>0</v>
      </c>
      <c r="BU157" s="39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45">
        <v>0</v>
      </c>
      <c r="CG157" s="67">
        <f t="shared" si="19"/>
        <v>21</v>
      </c>
      <c r="CH157" s="69">
        <f t="shared" si="20"/>
        <v>3</v>
      </c>
      <c r="CI157" s="30">
        <f t="shared" si="21"/>
        <v>0</v>
      </c>
      <c r="CJ157" s="30">
        <f t="shared" si="22"/>
        <v>11</v>
      </c>
      <c r="CK157" s="30">
        <f t="shared" si="23"/>
        <v>10</v>
      </c>
      <c r="CL157" s="67">
        <f t="shared" si="24"/>
        <v>2</v>
      </c>
      <c r="CM157" s="30">
        <v>11</v>
      </c>
      <c r="CN157" s="30">
        <v>0</v>
      </c>
      <c r="CO157" s="30">
        <v>0</v>
      </c>
      <c r="CP157" s="30">
        <v>0</v>
      </c>
      <c r="CQ157" s="67">
        <v>1</v>
      </c>
    </row>
    <row r="158" spans="1:95" x14ac:dyDescent="0.3">
      <c r="A158" s="9">
        <v>402</v>
      </c>
      <c r="B158" s="9" t="s">
        <v>2</v>
      </c>
      <c r="C158" s="9" t="s">
        <v>14</v>
      </c>
      <c r="D158" s="9" t="s">
        <v>5</v>
      </c>
      <c r="E158" s="9">
        <v>5</v>
      </c>
      <c r="F158" s="9" t="s">
        <v>6</v>
      </c>
      <c r="G158" s="9">
        <v>6.99</v>
      </c>
      <c r="H158" s="9">
        <v>6</v>
      </c>
      <c r="I158" s="9">
        <v>6.5936000000000003</v>
      </c>
      <c r="J158" s="9">
        <v>5.4029999999999996</v>
      </c>
      <c r="K158" s="9">
        <v>18.056903664159197</v>
      </c>
      <c r="L158" s="9">
        <v>22.703862660944214</v>
      </c>
      <c r="M158" s="7">
        <f t="shared" si="18"/>
        <v>2.0492856706118454</v>
      </c>
      <c r="N158" s="9">
        <v>45.71</v>
      </c>
      <c r="O158" s="9">
        <v>0.89700000000000002</v>
      </c>
      <c r="P158" s="9">
        <v>5.6070000000000002</v>
      </c>
      <c r="Q158" s="9">
        <v>0.63</v>
      </c>
      <c r="R158" s="9">
        <v>0.91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39">
        <v>0</v>
      </c>
      <c r="AG158" s="40">
        <v>0</v>
      </c>
      <c r="AH158" s="2">
        <v>0</v>
      </c>
      <c r="AI158" s="2">
        <v>0</v>
      </c>
      <c r="AJ158" s="39">
        <v>0</v>
      </c>
      <c r="AK158" s="41">
        <v>0</v>
      </c>
      <c r="AL158" s="42">
        <v>0</v>
      </c>
      <c r="AM158" s="42">
        <v>0</v>
      </c>
      <c r="AN158" s="43">
        <v>0</v>
      </c>
      <c r="AO158" s="42">
        <v>0</v>
      </c>
      <c r="AP158" s="39">
        <v>0</v>
      </c>
      <c r="AQ158" s="2">
        <v>0</v>
      </c>
      <c r="AR158" s="39">
        <v>0</v>
      </c>
      <c r="AS158" s="41">
        <v>0</v>
      </c>
      <c r="AT158" s="2">
        <v>0</v>
      </c>
      <c r="AU158" s="2">
        <v>0</v>
      </c>
      <c r="AV158" s="2">
        <v>0</v>
      </c>
      <c r="AW158" s="39">
        <v>0</v>
      </c>
      <c r="AX158" s="2">
        <v>0</v>
      </c>
      <c r="AY158" s="2">
        <v>0</v>
      </c>
      <c r="AZ158" s="39">
        <v>0</v>
      </c>
      <c r="BA158" s="2">
        <v>0</v>
      </c>
      <c r="BB158" s="2">
        <v>0</v>
      </c>
      <c r="BC158" s="39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39">
        <v>0</v>
      </c>
      <c r="BL158" s="39">
        <v>0</v>
      </c>
      <c r="BM158" s="39">
        <v>0</v>
      </c>
      <c r="BN158" s="39">
        <v>0</v>
      </c>
      <c r="BO158" s="39">
        <v>0</v>
      </c>
      <c r="BP158" s="2">
        <v>0</v>
      </c>
      <c r="BQ158" s="2">
        <v>0</v>
      </c>
      <c r="BR158" s="39">
        <v>0</v>
      </c>
      <c r="BS158" s="44">
        <v>0</v>
      </c>
      <c r="BT158" s="2">
        <v>0</v>
      </c>
      <c r="BU158" s="39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45">
        <v>1</v>
      </c>
      <c r="CG158" s="67">
        <f t="shared" si="19"/>
        <v>1</v>
      </c>
      <c r="CH158" s="69">
        <f t="shared" si="20"/>
        <v>1</v>
      </c>
      <c r="CI158" s="30">
        <f t="shared" si="21"/>
        <v>0</v>
      </c>
      <c r="CJ158" s="30">
        <f t="shared" si="22"/>
        <v>0</v>
      </c>
      <c r="CK158" s="30">
        <f t="shared" si="23"/>
        <v>1</v>
      </c>
      <c r="CL158" s="67">
        <f t="shared" si="24"/>
        <v>1</v>
      </c>
      <c r="CM158" s="30">
        <v>0</v>
      </c>
      <c r="CN158" s="30">
        <v>0</v>
      </c>
      <c r="CO158" s="30">
        <v>0</v>
      </c>
      <c r="CP158" s="30">
        <v>1</v>
      </c>
      <c r="CQ158" s="67">
        <v>0</v>
      </c>
    </row>
    <row r="159" spans="1:95" x14ac:dyDescent="0.3">
      <c r="A159" s="9">
        <v>407</v>
      </c>
      <c r="B159" s="9" t="s">
        <v>2</v>
      </c>
      <c r="C159" s="9" t="s">
        <v>14</v>
      </c>
      <c r="D159" s="9" t="s">
        <v>5</v>
      </c>
      <c r="E159" s="9">
        <v>3</v>
      </c>
      <c r="F159" s="9" t="s">
        <v>6</v>
      </c>
      <c r="G159" s="9">
        <v>6.99</v>
      </c>
      <c r="H159" s="9">
        <v>6</v>
      </c>
      <c r="I159" s="9">
        <v>6.8452999999999999</v>
      </c>
      <c r="J159" s="9">
        <v>4.9939</v>
      </c>
      <c r="K159" s="9">
        <v>27.046294537858088</v>
      </c>
      <c r="L159" s="9">
        <v>28.556509298998574</v>
      </c>
      <c r="M159" s="7">
        <f t="shared" si="18"/>
        <v>2.1280228578455103</v>
      </c>
      <c r="N159" s="9">
        <v>47.48</v>
      </c>
      <c r="O159" s="9">
        <v>1.04</v>
      </c>
      <c r="P159" s="9">
        <v>6.5</v>
      </c>
      <c r="Q159" s="9">
        <v>0.503</v>
      </c>
      <c r="R159" s="9">
        <v>0.63900000000000001</v>
      </c>
      <c r="S159" s="2">
        <v>2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0</v>
      </c>
      <c r="AC159" s="2">
        <v>0</v>
      </c>
      <c r="AD159" s="2">
        <v>0</v>
      </c>
      <c r="AE159" s="2">
        <v>0</v>
      </c>
      <c r="AF159" s="39">
        <v>0</v>
      </c>
      <c r="AG159" s="40">
        <v>2</v>
      </c>
      <c r="AH159" s="2">
        <v>0</v>
      </c>
      <c r="AI159" s="2">
        <v>0</v>
      </c>
      <c r="AJ159" s="39">
        <v>0</v>
      </c>
      <c r="AK159" s="41">
        <v>0</v>
      </c>
      <c r="AL159" s="42">
        <v>0</v>
      </c>
      <c r="AM159" s="42">
        <v>0</v>
      </c>
      <c r="AN159" s="43">
        <v>0</v>
      </c>
      <c r="AO159" s="42">
        <v>0</v>
      </c>
      <c r="AP159" s="39">
        <v>0</v>
      </c>
      <c r="AQ159" s="2">
        <v>0</v>
      </c>
      <c r="AR159" s="39">
        <v>0</v>
      </c>
      <c r="AS159" s="41">
        <v>0</v>
      </c>
      <c r="AT159" s="2">
        <v>0</v>
      </c>
      <c r="AU159" s="2">
        <v>0</v>
      </c>
      <c r="AV159" s="2">
        <v>0</v>
      </c>
      <c r="AW159" s="39">
        <v>0</v>
      </c>
      <c r="AX159" s="2">
        <v>0</v>
      </c>
      <c r="AY159" s="2">
        <v>0</v>
      </c>
      <c r="AZ159" s="39">
        <v>0</v>
      </c>
      <c r="BA159" s="2">
        <v>0</v>
      </c>
      <c r="BB159" s="2">
        <v>0</v>
      </c>
      <c r="BC159" s="39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39">
        <v>0</v>
      </c>
      <c r="BL159" s="39">
        <v>0</v>
      </c>
      <c r="BM159" s="39">
        <v>0</v>
      </c>
      <c r="BN159" s="39">
        <v>0</v>
      </c>
      <c r="BO159" s="39">
        <v>0</v>
      </c>
      <c r="BP159" s="2">
        <v>0</v>
      </c>
      <c r="BQ159" s="2">
        <v>0</v>
      </c>
      <c r="BR159" s="39">
        <v>0</v>
      </c>
      <c r="BS159" s="44">
        <v>0</v>
      </c>
      <c r="BT159" s="2">
        <v>0</v>
      </c>
      <c r="BU159" s="39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45">
        <v>0</v>
      </c>
      <c r="CG159" s="67">
        <f t="shared" si="19"/>
        <v>5</v>
      </c>
      <c r="CH159" s="69">
        <f t="shared" si="20"/>
        <v>3</v>
      </c>
      <c r="CI159" s="30">
        <f t="shared" si="21"/>
        <v>0</v>
      </c>
      <c r="CJ159" s="30">
        <f t="shared" si="22"/>
        <v>5</v>
      </c>
      <c r="CK159" s="30">
        <f t="shared" si="23"/>
        <v>0</v>
      </c>
      <c r="CL159" s="67">
        <f t="shared" si="24"/>
        <v>1</v>
      </c>
      <c r="CM159" s="30">
        <v>5</v>
      </c>
      <c r="CN159" s="30">
        <v>0</v>
      </c>
      <c r="CO159" s="30">
        <v>0</v>
      </c>
      <c r="CP159" s="30">
        <v>0</v>
      </c>
      <c r="CQ159" s="67">
        <v>1</v>
      </c>
    </row>
    <row r="160" spans="1:95" x14ac:dyDescent="0.3">
      <c r="A160" s="9">
        <v>416</v>
      </c>
      <c r="B160" s="9" t="s">
        <v>2</v>
      </c>
      <c r="C160" s="9" t="s">
        <v>1</v>
      </c>
      <c r="D160" s="9" t="s">
        <v>5</v>
      </c>
      <c r="E160" s="9">
        <v>1</v>
      </c>
      <c r="F160" s="9" t="s">
        <v>6</v>
      </c>
      <c r="G160" s="9">
        <v>6.94</v>
      </c>
      <c r="H160" s="9">
        <v>6</v>
      </c>
      <c r="I160" s="9">
        <v>8.6503999999999994</v>
      </c>
      <c r="J160" s="9">
        <v>5.1176000000000004</v>
      </c>
      <c r="K160" s="9">
        <v>40.839729954684167</v>
      </c>
      <c r="L160" s="9">
        <v>26.259365994236312</v>
      </c>
      <c r="M160" s="7">
        <f t="shared" si="18"/>
        <v>2.0963756645929772</v>
      </c>
      <c r="N160" s="9">
        <v>37.229999999999997</v>
      </c>
      <c r="O160" s="9">
        <v>1.123</v>
      </c>
      <c r="P160" s="9">
        <v>7.0190000000000001</v>
      </c>
      <c r="Q160" s="9">
        <v>0.42</v>
      </c>
      <c r="R160" s="9">
        <v>0.49199999999999999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2</v>
      </c>
      <c r="AB160" s="2">
        <v>0</v>
      </c>
      <c r="AC160" s="2">
        <v>0</v>
      </c>
      <c r="AD160" s="2">
        <v>0</v>
      </c>
      <c r="AE160" s="2">
        <v>0</v>
      </c>
      <c r="AF160" s="39">
        <v>0</v>
      </c>
      <c r="AG160" s="40">
        <v>0</v>
      </c>
      <c r="AH160" s="2">
        <v>1</v>
      </c>
      <c r="AI160" s="2">
        <v>1</v>
      </c>
      <c r="AJ160" s="39">
        <v>13</v>
      </c>
      <c r="AK160" s="41">
        <v>0</v>
      </c>
      <c r="AL160" s="42">
        <v>0</v>
      </c>
      <c r="AM160" s="42">
        <v>0</v>
      </c>
      <c r="AN160" s="43">
        <v>0</v>
      </c>
      <c r="AO160" s="42">
        <v>0</v>
      </c>
      <c r="AP160" s="39">
        <v>0</v>
      </c>
      <c r="AQ160" s="2">
        <v>0</v>
      </c>
      <c r="AR160" s="39">
        <v>3</v>
      </c>
      <c r="AS160" s="41">
        <v>0</v>
      </c>
      <c r="AT160" s="2">
        <v>0</v>
      </c>
      <c r="AU160" s="2">
        <v>0</v>
      </c>
      <c r="AV160" s="2">
        <v>0</v>
      </c>
      <c r="AW160" s="39">
        <v>0</v>
      </c>
      <c r="AX160" s="2">
        <v>0</v>
      </c>
      <c r="AY160" s="2">
        <v>0</v>
      </c>
      <c r="AZ160" s="39">
        <v>0</v>
      </c>
      <c r="BA160" s="2">
        <v>0</v>
      </c>
      <c r="BB160" s="2">
        <v>0</v>
      </c>
      <c r="BC160" s="39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39">
        <v>0</v>
      </c>
      <c r="BL160" s="39">
        <v>0</v>
      </c>
      <c r="BM160" s="39">
        <v>0</v>
      </c>
      <c r="BN160" s="39">
        <v>0</v>
      </c>
      <c r="BO160" s="39">
        <v>0</v>
      </c>
      <c r="BP160" s="2">
        <v>0</v>
      </c>
      <c r="BQ160" s="2">
        <v>0</v>
      </c>
      <c r="BR160" s="39">
        <v>0</v>
      </c>
      <c r="BS160" s="44">
        <v>0</v>
      </c>
      <c r="BT160" s="2">
        <v>0</v>
      </c>
      <c r="BU160" s="39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45">
        <v>0</v>
      </c>
      <c r="CG160" s="67">
        <f t="shared" si="19"/>
        <v>20</v>
      </c>
      <c r="CH160" s="69">
        <f t="shared" si="20"/>
        <v>5</v>
      </c>
      <c r="CI160" s="30">
        <f t="shared" si="21"/>
        <v>0</v>
      </c>
      <c r="CJ160" s="30">
        <f t="shared" si="22"/>
        <v>19</v>
      </c>
      <c r="CK160" s="30">
        <f t="shared" si="23"/>
        <v>1</v>
      </c>
      <c r="CL160" s="67">
        <f t="shared" si="24"/>
        <v>2</v>
      </c>
      <c r="CM160" s="30">
        <v>20</v>
      </c>
      <c r="CN160" s="30">
        <v>2</v>
      </c>
      <c r="CO160" s="30">
        <v>0</v>
      </c>
      <c r="CP160" s="30">
        <v>0</v>
      </c>
      <c r="CQ160" s="67">
        <v>2</v>
      </c>
    </row>
    <row r="161" spans="1:95" x14ac:dyDescent="0.3">
      <c r="A161" s="9">
        <v>481</v>
      </c>
      <c r="B161" s="9" t="s">
        <v>3</v>
      </c>
      <c r="C161" s="9" t="s">
        <v>14</v>
      </c>
      <c r="D161" s="9" t="s">
        <v>4</v>
      </c>
      <c r="E161" s="9">
        <v>4</v>
      </c>
      <c r="F161" s="9" t="s">
        <v>6</v>
      </c>
      <c r="G161" s="9">
        <v>7.08</v>
      </c>
      <c r="H161" s="9">
        <v>6</v>
      </c>
      <c r="I161" s="9">
        <v>6.5849000000000002</v>
      </c>
      <c r="J161" s="9">
        <v>5.2034000000000002</v>
      </c>
      <c r="K161" s="9">
        <v>79.020182538838853</v>
      </c>
      <c r="L161" s="9">
        <v>26.505649717514125</v>
      </c>
      <c r="M161" s="7">
        <f t="shared" si="18"/>
        <v>2.0997211188567215</v>
      </c>
      <c r="N161" s="9">
        <v>47.87</v>
      </c>
      <c r="O161" s="9">
        <v>1.1870000000000001</v>
      </c>
      <c r="P161" s="9">
        <v>7.4219999999999997</v>
      </c>
      <c r="Q161" s="9">
        <v>1.5549999999999999</v>
      </c>
      <c r="R161" s="9">
        <v>1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1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39">
        <v>0</v>
      </c>
      <c r="AG161" s="40">
        <v>6</v>
      </c>
      <c r="AH161" s="2">
        <v>0</v>
      </c>
      <c r="AI161" s="2">
        <v>0</v>
      </c>
      <c r="AJ161" s="39">
        <v>0</v>
      </c>
      <c r="AK161" s="41">
        <v>0</v>
      </c>
      <c r="AL161" s="42">
        <v>0</v>
      </c>
      <c r="AM161" s="42">
        <v>0</v>
      </c>
      <c r="AN161" s="43">
        <v>0</v>
      </c>
      <c r="AO161" s="42">
        <v>0</v>
      </c>
      <c r="AP161" s="39">
        <v>0</v>
      </c>
      <c r="AQ161" s="2">
        <v>0</v>
      </c>
      <c r="AR161" s="39">
        <v>0</v>
      </c>
      <c r="AS161" s="41">
        <v>0</v>
      </c>
      <c r="AT161" s="2">
        <v>0</v>
      </c>
      <c r="AU161" s="2">
        <v>0</v>
      </c>
      <c r="AV161" s="2">
        <v>0</v>
      </c>
      <c r="AW161" s="39">
        <v>0</v>
      </c>
      <c r="AX161" s="2">
        <v>0</v>
      </c>
      <c r="AY161" s="2">
        <v>0</v>
      </c>
      <c r="AZ161" s="39">
        <v>0</v>
      </c>
      <c r="BA161" s="2">
        <v>0</v>
      </c>
      <c r="BB161" s="2">
        <v>0</v>
      </c>
      <c r="BC161" s="39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39">
        <v>0</v>
      </c>
      <c r="BL161" s="39">
        <v>0</v>
      </c>
      <c r="BM161" s="39">
        <v>0</v>
      </c>
      <c r="BN161" s="39">
        <v>0</v>
      </c>
      <c r="BO161" s="39">
        <v>0</v>
      </c>
      <c r="BP161" s="2">
        <v>0</v>
      </c>
      <c r="BQ161" s="2">
        <v>0</v>
      </c>
      <c r="BR161" s="39">
        <v>0</v>
      </c>
      <c r="BS161" s="44">
        <v>0</v>
      </c>
      <c r="BT161" s="2">
        <v>0</v>
      </c>
      <c r="BU161" s="39">
        <v>0</v>
      </c>
      <c r="BV161" s="2">
        <v>1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1</v>
      </c>
      <c r="CF161" s="45">
        <v>0</v>
      </c>
      <c r="CG161" s="67">
        <f t="shared" si="19"/>
        <v>11</v>
      </c>
      <c r="CH161" s="69">
        <f t="shared" si="20"/>
        <v>6</v>
      </c>
      <c r="CI161" s="30">
        <f t="shared" si="21"/>
        <v>0</v>
      </c>
      <c r="CJ161" s="30">
        <f t="shared" si="22"/>
        <v>9</v>
      </c>
      <c r="CK161" s="30">
        <f t="shared" si="23"/>
        <v>2</v>
      </c>
      <c r="CL161" s="67">
        <f t="shared" si="24"/>
        <v>2</v>
      </c>
      <c r="CM161" s="30">
        <v>9</v>
      </c>
      <c r="CN161" s="30">
        <v>0</v>
      </c>
      <c r="CO161" s="30">
        <v>0</v>
      </c>
      <c r="CP161" s="30">
        <v>2</v>
      </c>
      <c r="CQ161" s="67">
        <v>1</v>
      </c>
    </row>
    <row r="162" spans="1:95" x14ac:dyDescent="0.3">
      <c r="A162" s="9">
        <v>486</v>
      </c>
      <c r="B162" s="9" t="s">
        <v>3</v>
      </c>
      <c r="C162" s="9" t="s">
        <v>14</v>
      </c>
      <c r="D162" s="9" t="s">
        <v>4</v>
      </c>
      <c r="E162" s="9">
        <v>2</v>
      </c>
      <c r="F162" s="9" t="s">
        <v>6</v>
      </c>
      <c r="G162" s="9">
        <v>6.93</v>
      </c>
      <c r="H162" s="9">
        <v>6</v>
      </c>
      <c r="I162" s="9">
        <v>6.7054999999999998</v>
      </c>
      <c r="J162" s="9">
        <v>5.2716000000000003</v>
      </c>
      <c r="K162" s="9">
        <v>78.616061442099777</v>
      </c>
      <c r="L162" s="9">
        <v>23.930735930735924</v>
      </c>
      <c r="M162" s="7">
        <f t="shared" si="18"/>
        <v>2.0652853606422696</v>
      </c>
      <c r="N162" s="9">
        <v>47.76</v>
      </c>
      <c r="O162" s="9">
        <v>1.0269999999999999</v>
      </c>
      <c r="P162" s="9">
        <v>6.42</v>
      </c>
      <c r="Q162" s="9">
        <v>1.96</v>
      </c>
      <c r="R162" s="9">
        <v>1.3159999999999998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39">
        <v>0</v>
      </c>
      <c r="AG162" s="40">
        <v>1</v>
      </c>
      <c r="AH162" s="2">
        <v>0</v>
      </c>
      <c r="AI162" s="2">
        <v>0</v>
      </c>
      <c r="AJ162" s="39">
        <v>0</v>
      </c>
      <c r="AK162" s="41">
        <v>0</v>
      </c>
      <c r="AL162" s="42">
        <v>0</v>
      </c>
      <c r="AM162" s="42">
        <v>0</v>
      </c>
      <c r="AN162" s="43">
        <v>0</v>
      </c>
      <c r="AO162" s="42">
        <v>0</v>
      </c>
      <c r="AP162" s="39">
        <v>0</v>
      </c>
      <c r="AQ162" s="2">
        <v>0</v>
      </c>
      <c r="AR162" s="39">
        <v>0</v>
      </c>
      <c r="AS162" s="41">
        <v>0</v>
      </c>
      <c r="AT162" s="2">
        <v>0</v>
      </c>
      <c r="AU162" s="2">
        <v>0</v>
      </c>
      <c r="AV162" s="2">
        <v>0</v>
      </c>
      <c r="AW162" s="39">
        <v>0</v>
      </c>
      <c r="AX162" s="2">
        <v>0</v>
      </c>
      <c r="AY162" s="2">
        <v>11</v>
      </c>
      <c r="AZ162" s="39">
        <v>0</v>
      </c>
      <c r="BA162" s="2">
        <v>0</v>
      </c>
      <c r="BB162" s="2">
        <v>2</v>
      </c>
      <c r="BC162" s="39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39">
        <v>0</v>
      </c>
      <c r="BL162" s="39">
        <v>0</v>
      </c>
      <c r="BM162" s="39">
        <v>0</v>
      </c>
      <c r="BN162" s="39">
        <v>0</v>
      </c>
      <c r="BO162" s="39">
        <v>0</v>
      </c>
      <c r="BP162" s="2">
        <v>0</v>
      </c>
      <c r="BQ162" s="2">
        <v>0</v>
      </c>
      <c r="BR162" s="39">
        <v>0</v>
      </c>
      <c r="BS162" s="44">
        <v>0</v>
      </c>
      <c r="BT162" s="2">
        <v>0</v>
      </c>
      <c r="BU162" s="39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45">
        <v>0</v>
      </c>
      <c r="CG162" s="67">
        <f t="shared" si="19"/>
        <v>16</v>
      </c>
      <c r="CH162" s="69">
        <f t="shared" si="20"/>
        <v>4</v>
      </c>
      <c r="CI162" s="30">
        <f t="shared" si="21"/>
        <v>0</v>
      </c>
      <c r="CJ162" s="30">
        <f t="shared" si="22"/>
        <v>3</v>
      </c>
      <c r="CK162" s="30">
        <f t="shared" si="23"/>
        <v>13</v>
      </c>
      <c r="CL162" s="67">
        <f t="shared" si="24"/>
        <v>2</v>
      </c>
      <c r="CM162" s="30">
        <v>5</v>
      </c>
      <c r="CN162" s="30">
        <v>0</v>
      </c>
      <c r="CO162" s="30">
        <v>0</v>
      </c>
      <c r="CP162" s="30">
        <v>0</v>
      </c>
      <c r="CQ162" s="67">
        <v>1</v>
      </c>
    </row>
    <row r="163" spans="1:95" x14ac:dyDescent="0.3">
      <c r="A163" s="9">
        <v>499</v>
      </c>
      <c r="B163" s="9" t="s">
        <v>3</v>
      </c>
      <c r="C163" s="9" t="s">
        <v>1</v>
      </c>
      <c r="D163" s="9" t="s">
        <v>4</v>
      </c>
      <c r="E163" s="9">
        <v>2</v>
      </c>
      <c r="F163" s="9" t="s">
        <v>6</v>
      </c>
      <c r="G163" s="9">
        <v>7.03</v>
      </c>
      <c r="H163" s="9">
        <v>6</v>
      </c>
      <c r="I163" s="9">
        <v>7.0556000000000001</v>
      </c>
      <c r="J163" s="9">
        <v>5.2076000000000002</v>
      </c>
      <c r="K163" s="9">
        <v>73.808039004478715</v>
      </c>
      <c r="L163" s="9">
        <v>25.923186344238974</v>
      </c>
      <c r="M163" s="7">
        <f t="shared" si="18"/>
        <v>2.0918270780095236</v>
      </c>
      <c r="N163" s="9">
        <v>46.83</v>
      </c>
      <c r="O163" s="9">
        <v>1.218</v>
      </c>
      <c r="P163" s="9">
        <v>7.6120000000000001</v>
      </c>
      <c r="Q163" s="9">
        <v>1.35</v>
      </c>
      <c r="R163" s="9">
        <v>0.93700000000000006</v>
      </c>
      <c r="S163" s="2">
        <v>0</v>
      </c>
      <c r="T163" s="2">
        <v>0</v>
      </c>
      <c r="U163" s="2">
        <v>0</v>
      </c>
      <c r="V163" s="2">
        <v>1</v>
      </c>
      <c r="W163" s="2">
        <v>0</v>
      </c>
      <c r="X163" s="2">
        <v>2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39">
        <v>0</v>
      </c>
      <c r="AG163" s="40">
        <v>0</v>
      </c>
      <c r="AH163" s="2">
        <v>0</v>
      </c>
      <c r="AI163" s="2">
        <v>0</v>
      </c>
      <c r="AJ163" s="39">
        <v>0</v>
      </c>
      <c r="AK163" s="41">
        <v>0</v>
      </c>
      <c r="AL163" s="42">
        <v>0</v>
      </c>
      <c r="AM163" s="42">
        <v>0</v>
      </c>
      <c r="AN163" s="43">
        <v>0</v>
      </c>
      <c r="AO163" s="42">
        <v>0</v>
      </c>
      <c r="AP163" s="39">
        <v>0</v>
      </c>
      <c r="AQ163" s="2">
        <v>0</v>
      </c>
      <c r="AR163" s="39">
        <v>0</v>
      </c>
      <c r="AS163" s="41">
        <v>0</v>
      </c>
      <c r="AT163" s="2">
        <v>0</v>
      </c>
      <c r="AU163" s="2">
        <v>0</v>
      </c>
      <c r="AV163" s="2">
        <v>0</v>
      </c>
      <c r="AW163" s="39">
        <v>0</v>
      </c>
      <c r="AX163" s="2">
        <v>0</v>
      </c>
      <c r="AY163" s="2">
        <v>0</v>
      </c>
      <c r="AZ163" s="39">
        <v>0</v>
      </c>
      <c r="BA163" s="2">
        <v>0</v>
      </c>
      <c r="BB163" s="2">
        <v>0</v>
      </c>
      <c r="BC163" s="39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39">
        <v>0</v>
      </c>
      <c r="BL163" s="39">
        <v>0</v>
      </c>
      <c r="BM163" s="39">
        <v>0</v>
      </c>
      <c r="BN163" s="39">
        <v>0</v>
      </c>
      <c r="BO163" s="39">
        <v>0</v>
      </c>
      <c r="BP163" s="2">
        <v>0</v>
      </c>
      <c r="BQ163" s="2">
        <v>0</v>
      </c>
      <c r="BR163" s="39">
        <v>0</v>
      </c>
      <c r="BS163" s="44">
        <v>0</v>
      </c>
      <c r="BT163" s="2">
        <v>0</v>
      </c>
      <c r="BU163" s="39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45">
        <v>0</v>
      </c>
      <c r="CG163" s="67">
        <f t="shared" si="19"/>
        <v>3</v>
      </c>
      <c r="CH163" s="69">
        <f t="shared" si="20"/>
        <v>2</v>
      </c>
      <c r="CI163" s="30">
        <f t="shared" si="21"/>
        <v>0</v>
      </c>
      <c r="CJ163" s="30">
        <f t="shared" si="22"/>
        <v>3</v>
      </c>
      <c r="CK163" s="30">
        <f t="shared" si="23"/>
        <v>0</v>
      </c>
      <c r="CL163" s="67">
        <f t="shared" si="24"/>
        <v>1</v>
      </c>
      <c r="CM163" s="30">
        <v>3</v>
      </c>
      <c r="CN163" s="30">
        <v>0</v>
      </c>
      <c r="CO163" s="30">
        <v>0</v>
      </c>
      <c r="CP163" s="30">
        <v>0</v>
      </c>
      <c r="CQ163" s="67">
        <v>1</v>
      </c>
    </row>
    <row r="164" spans="1:95" x14ac:dyDescent="0.3">
      <c r="A164" s="9">
        <v>505</v>
      </c>
      <c r="B164" s="9" t="s">
        <v>3</v>
      </c>
      <c r="C164" s="9" t="s">
        <v>14</v>
      </c>
      <c r="D164" s="9" t="s">
        <v>4</v>
      </c>
      <c r="E164" s="9">
        <v>1</v>
      </c>
      <c r="F164" s="9" t="s">
        <v>6</v>
      </c>
      <c r="G164" s="9">
        <v>6.94</v>
      </c>
      <c r="H164" s="9">
        <v>6</v>
      </c>
      <c r="I164" s="9">
        <v>6.3943000000000003</v>
      </c>
      <c r="J164" s="9">
        <v>5.0671999999999997</v>
      </c>
      <c r="K164" s="9">
        <v>79.245578092989049</v>
      </c>
      <c r="L164" s="9">
        <v>26.98559077809799</v>
      </c>
      <c r="M164" s="7">
        <f t="shared" si="18"/>
        <v>2.1062728469445298</v>
      </c>
      <c r="N164" s="9">
        <v>48.29</v>
      </c>
      <c r="O164" s="9">
        <v>1.012</v>
      </c>
      <c r="P164" s="9">
        <v>6.3250000000000002</v>
      </c>
      <c r="Q164" s="9">
        <v>0.999</v>
      </c>
      <c r="R164" s="9">
        <v>0.70399999999999996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39">
        <v>0</v>
      </c>
      <c r="AG164" s="40">
        <v>0</v>
      </c>
      <c r="AH164" s="2">
        <v>0</v>
      </c>
      <c r="AI164" s="2">
        <v>0</v>
      </c>
      <c r="AJ164" s="39">
        <v>0</v>
      </c>
      <c r="AK164" s="41">
        <v>0</v>
      </c>
      <c r="AL164" s="42">
        <v>0</v>
      </c>
      <c r="AM164" s="42">
        <v>0</v>
      </c>
      <c r="AN164" s="43">
        <v>0</v>
      </c>
      <c r="AO164" s="42">
        <v>0</v>
      </c>
      <c r="AP164" s="39">
        <v>0</v>
      </c>
      <c r="AQ164" s="2">
        <v>0</v>
      </c>
      <c r="AR164" s="39">
        <v>0</v>
      </c>
      <c r="AS164" s="41">
        <v>0</v>
      </c>
      <c r="AT164" s="2">
        <v>0</v>
      </c>
      <c r="AU164" s="2">
        <v>0</v>
      </c>
      <c r="AV164" s="2">
        <v>0</v>
      </c>
      <c r="AW164" s="39">
        <v>0</v>
      </c>
      <c r="AX164" s="2">
        <v>0</v>
      </c>
      <c r="AY164" s="2">
        <v>1</v>
      </c>
      <c r="AZ164" s="39">
        <v>0</v>
      </c>
      <c r="BA164" s="2">
        <v>0</v>
      </c>
      <c r="BB164" s="2">
        <v>0</v>
      </c>
      <c r="BC164" s="39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1</v>
      </c>
      <c r="BI164" s="2">
        <v>0</v>
      </c>
      <c r="BJ164" s="2">
        <v>0</v>
      </c>
      <c r="BK164" s="39">
        <v>0</v>
      </c>
      <c r="BL164" s="39">
        <v>0</v>
      </c>
      <c r="BM164" s="39">
        <v>0</v>
      </c>
      <c r="BN164" s="39">
        <v>0</v>
      </c>
      <c r="BO164" s="39">
        <v>0</v>
      </c>
      <c r="BP164" s="2">
        <v>0</v>
      </c>
      <c r="BQ164" s="2">
        <v>0</v>
      </c>
      <c r="BR164" s="39">
        <v>0</v>
      </c>
      <c r="BS164" s="44">
        <v>0</v>
      </c>
      <c r="BT164" s="2">
        <v>0</v>
      </c>
      <c r="BU164" s="39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45">
        <v>0</v>
      </c>
      <c r="CG164" s="67">
        <f t="shared" si="19"/>
        <v>2</v>
      </c>
      <c r="CH164" s="69">
        <f t="shared" si="20"/>
        <v>2</v>
      </c>
      <c r="CI164" s="30">
        <f t="shared" si="21"/>
        <v>0</v>
      </c>
      <c r="CJ164" s="30">
        <f t="shared" si="22"/>
        <v>0</v>
      </c>
      <c r="CK164" s="30">
        <f t="shared" si="23"/>
        <v>2</v>
      </c>
      <c r="CL164" s="67">
        <f t="shared" si="24"/>
        <v>1</v>
      </c>
      <c r="CM164" s="30">
        <v>1</v>
      </c>
      <c r="CN164" s="30">
        <v>0</v>
      </c>
      <c r="CO164" s="30">
        <v>0</v>
      </c>
      <c r="CP164" s="30">
        <v>0</v>
      </c>
      <c r="CQ164" s="67">
        <v>1</v>
      </c>
    </row>
    <row r="165" spans="1:95" x14ac:dyDescent="0.3">
      <c r="A165" s="9">
        <v>515</v>
      </c>
      <c r="B165" s="9" t="s">
        <v>3</v>
      </c>
      <c r="C165" s="9" t="s">
        <v>14</v>
      </c>
      <c r="D165" s="9" t="s">
        <v>4</v>
      </c>
      <c r="E165" s="9">
        <v>4</v>
      </c>
      <c r="F165" s="9" t="s">
        <v>6</v>
      </c>
      <c r="G165" s="9">
        <v>7.06</v>
      </c>
      <c r="H165" s="9">
        <v>6</v>
      </c>
      <c r="I165" s="9">
        <v>6.8550000000000004</v>
      </c>
      <c r="J165" s="9">
        <v>5.2728999999999999</v>
      </c>
      <c r="K165" s="9">
        <v>76.920495988329691</v>
      </c>
      <c r="L165" s="9">
        <v>25.313031161473088</v>
      </c>
      <c r="M165" s="7">
        <f t="shared" si="18"/>
        <v>2.0836240249010189</v>
      </c>
      <c r="N165" s="9">
        <v>48.62</v>
      </c>
      <c r="O165" s="9">
        <v>0.89700000000000002</v>
      </c>
      <c r="P165" s="9">
        <v>5.6079999999999997</v>
      </c>
      <c r="Q165" s="9">
        <v>1.661</v>
      </c>
      <c r="R165" s="9">
        <v>1.337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39">
        <v>0</v>
      </c>
      <c r="AG165" s="40">
        <v>0</v>
      </c>
      <c r="AH165" s="2">
        <v>0</v>
      </c>
      <c r="AI165" s="2">
        <v>0</v>
      </c>
      <c r="AJ165" s="39">
        <v>0</v>
      </c>
      <c r="AK165" s="41">
        <v>0</v>
      </c>
      <c r="AL165" s="42">
        <v>0</v>
      </c>
      <c r="AM165" s="42">
        <v>0</v>
      </c>
      <c r="AN165" s="43">
        <v>0</v>
      </c>
      <c r="AO165" s="42">
        <v>0</v>
      </c>
      <c r="AP165" s="39">
        <v>0</v>
      </c>
      <c r="AQ165" s="2">
        <v>0</v>
      </c>
      <c r="AR165" s="39">
        <v>0</v>
      </c>
      <c r="AS165" s="41">
        <v>0</v>
      </c>
      <c r="AT165" s="2">
        <v>0</v>
      </c>
      <c r="AU165" s="2">
        <v>0</v>
      </c>
      <c r="AV165" s="2">
        <v>0</v>
      </c>
      <c r="AW165" s="39">
        <v>0</v>
      </c>
      <c r="AX165" s="2">
        <v>0</v>
      </c>
      <c r="AY165" s="2">
        <v>0</v>
      </c>
      <c r="AZ165" s="39">
        <v>0</v>
      </c>
      <c r="BA165" s="2">
        <v>0</v>
      </c>
      <c r="BB165" s="2">
        <v>0</v>
      </c>
      <c r="BC165" s="39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39">
        <v>0</v>
      </c>
      <c r="BL165" s="39">
        <v>0</v>
      </c>
      <c r="BM165" s="39">
        <v>0</v>
      </c>
      <c r="BN165" s="39">
        <v>0</v>
      </c>
      <c r="BO165" s="39">
        <v>0</v>
      </c>
      <c r="BP165" s="2">
        <v>0</v>
      </c>
      <c r="BQ165" s="2">
        <v>0</v>
      </c>
      <c r="BR165" s="39">
        <v>0</v>
      </c>
      <c r="BS165" s="44">
        <v>0</v>
      </c>
      <c r="BT165" s="2">
        <v>0</v>
      </c>
      <c r="BU165" s="39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45">
        <v>0</v>
      </c>
      <c r="CG165" s="67">
        <f t="shared" si="19"/>
        <v>0</v>
      </c>
      <c r="CH165" s="69">
        <f t="shared" si="20"/>
        <v>0</v>
      </c>
      <c r="CI165" s="30">
        <f t="shared" si="21"/>
        <v>0</v>
      </c>
      <c r="CJ165" s="30">
        <f t="shared" si="22"/>
        <v>0</v>
      </c>
      <c r="CK165" s="30">
        <f t="shared" si="23"/>
        <v>0</v>
      </c>
      <c r="CL165" s="67">
        <f t="shared" si="24"/>
        <v>0</v>
      </c>
      <c r="CM165" s="30">
        <v>0</v>
      </c>
      <c r="CN165" s="30">
        <v>0</v>
      </c>
      <c r="CO165" s="30">
        <v>0</v>
      </c>
      <c r="CP165" s="30">
        <v>0</v>
      </c>
      <c r="CQ165" s="67">
        <v>0</v>
      </c>
    </row>
    <row r="166" spans="1:95" x14ac:dyDescent="0.3">
      <c r="A166" s="9">
        <v>525</v>
      </c>
      <c r="B166" s="9" t="s">
        <v>3</v>
      </c>
      <c r="C166" s="9" t="s">
        <v>1</v>
      </c>
      <c r="D166" s="9" t="s">
        <v>4</v>
      </c>
      <c r="E166" s="9">
        <v>3</v>
      </c>
      <c r="F166" s="9" t="s">
        <v>6</v>
      </c>
      <c r="G166" s="9">
        <v>6.99</v>
      </c>
      <c r="H166" s="9">
        <v>6</v>
      </c>
      <c r="I166" s="9">
        <v>6.7930000000000001</v>
      </c>
      <c r="J166" s="9">
        <v>5.3324999999999996</v>
      </c>
      <c r="K166" s="9">
        <v>78.499926394818189</v>
      </c>
      <c r="L166" s="9">
        <v>23.712446351931337</v>
      </c>
      <c r="M166" s="7">
        <f t="shared" si="18"/>
        <v>2.0624198541104053</v>
      </c>
      <c r="N166" s="9">
        <v>47.33</v>
      </c>
      <c r="O166" s="9">
        <v>0.93899999999999995</v>
      </c>
      <c r="P166" s="9">
        <v>5.8710000000000004</v>
      </c>
      <c r="Q166" s="9">
        <v>2.3639999999999999</v>
      </c>
      <c r="R166" s="9">
        <v>2.0950000000000002</v>
      </c>
      <c r="S166" s="2">
        <v>11</v>
      </c>
      <c r="T166" s="2">
        <v>0</v>
      </c>
      <c r="U166" s="2">
        <v>0</v>
      </c>
      <c r="V166" s="2">
        <v>0</v>
      </c>
      <c r="W166" s="2">
        <v>26</v>
      </c>
      <c r="X166" s="2">
        <v>0</v>
      </c>
      <c r="Y166" s="2">
        <v>0</v>
      </c>
      <c r="Z166" s="2">
        <v>0</v>
      </c>
      <c r="AA166" s="2">
        <v>0</v>
      </c>
      <c r="AB166" s="2">
        <v>30</v>
      </c>
      <c r="AC166" s="2">
        <v>0</v>
      </c>
      <c r="AD166" s="2">
        <v>0</v>
      </c>
      <c r="AE166" s="2">
        <v>0</v>
      </c>
      <c r="AF166" s="39">
        <v>0</v>
      </c>
      <c r="AG166" s="40">
        <v>6</v>
      </c>
      <c r="AH166" s="2">
        <v>0</v>
      </c>
      <c r="AI166" s="2">
        <v>0</v>
      </c>
      <c r="AJ166" s="39">
        <v>0</v>
      </c>
      <c r="AK166" s="41">
        <v>0</v>
      </c>
      <c r="AL166" s="42">
        <v>0</v>
      </c>
      <c r="AM166" s="42">
        <v>0</v>
      </c>
      <c r="AN166" s="43">
        <v>0</v>
      </c>
      <c r="AO166" s="42">
        <v>0</v>
      </c>
      <c r="AP166" s="39">
        <v>0</v>
      </c>
      <c r="AQ166" s="2">
        <v>1</v>
      </c>
      <c r="AR166" s="39">
        <v>0</v>
      </c>
      <c r="AS166" s="41">
        <v>0</v>
      </c>
      <c r="AT166" s="2">
        <v>0</v>
      </c>
      <c r="AU166" s="2">
        <v>0</v>
      </c>
      <c r="AV166" s="2">
        <v>0</v>
      </c>
      <c r="AW166" s="39">
        <v>0</v>
      </c>
      <c r="AX166" s="2">
        <v>0</v>
      </c>
      <c r="AY166" s="2">
        <v>0</v>
      </c>
      <c r="AZ166" s="39">
        <v>0</v>
      </c>
      <c r="BA166" s="2">
        <v>0</v>
      </c>
      <c r="BB166" s="2">
        <v>0</v>
      </c>
      <c r="BC166" s="39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39">
        <v>0</v>
      </c>
      <c r="BL166" s="39">
        <v>0</v>
      </c>
      <c r="BM166" s="39">
        <v>0</v>
      </c>
      <c r="BN166" s="39">
        <v>0</v>
      </c>
      <c r="BO166" s="39">
        <v>0</v>
      </c>
      <c r="BP166" s="2">
        <v>0</v>
      </c>
      <c r="BQ166" s="2">
        <v>0</v>
      </c>
      <c r="BR166" s="39">
        <v>0</v>
      </c>
      <c r="BS166" s="44">
        <v>0</v>
      </c>
      <c r="BT166" s="2">
        <v>0</v>
      </c>
      <c r="BU166" s="39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45">
        <v>0</v>
      </c>
      <c r="CG166" s="67">
        <f t="shared" si="19"/>
        <v>74</v>
      </c>
      <c r="CH166" s="69">
        <f t="shared" si="20"/>
        <v>5</v>
      </c>
      <c r="CI166" s="30">
        <f t="shared" si="21"/>
        <v>0</v>
      </c>
      <c r="CJ166" s="30">
        <f t="shared" si="22"/>
        <v>74</v>
      </c>
      <c r="CK166" s="30">
        <f t="shared" si="23"/>
        <v>0</v>
      </c>
      <c r="CL166" s="67">
        <f t="shared" si="24"/>
        <v>1</v>
      </c>
      <c r="CM166" s="30">
        <v>74</v>
      </c>
      <c r="CN166" s="30">
        <v>0</v>
      </c>
      <c r="CO166" s="30">
        <v>0</v>
      </c>
      <c r="CP166" s="30">
        <v>0</v>
      </c>
      <c r="CQ166" s="67">
        <v>1</v>
      </c>
    </row>
    <row r="167" spans="1:95" x14ac:dyDescent="0.3">
      <c r="A167" s="9">
        <v>527</v>
      </c>
      <c r="B167" s="9" t="s">
        <v>3</v>
      </c>
      <c r="C167" s="9" t="s">
        <v>14</v>
      </c>
      <c r="D167" s="9" t="s">
        <v>4</v>
      </c>
      <c r="E167" s="9">
        <v>3</v>
      </c>
      <c r="F167" s="9" t="s">
        <v>6</v>
      </c>
      <c r="G167" s="9">
        <v>7.03</v>
      </c>
      <c r="H167" s="9">
        <v>6</v>
      </c>
      <c r="I167" s="9">
        <v>6.6094999999999997</v>
      </c>
      <c r="J167" s="9">
        <v>5.4108000000000001</v>
      </c>
      <c r="K167" s="9">
        <v>81.863983659883516</v>
      </c>
      <c r="L167" s="9">
        <v>23.032716927453773</v>
      </c>
      <c r="M167" s="7">
        <f t="shared" si="18"/>
        <v>2.0535492188177269</v>
      </c>
      <c r="N167" s="9">
        <v>48.28</v>
      </c>
      <c r="O167" s="9">
        <v>1.044</v>
      </c>
      <c r="P167" s="9">
        <v>6.5250000000000004</v>
      </c>
      <c r="Q167" s="9">
        <v>1.4690000000000001</v>
      </c>
      <c r="R167" s="9">
        <v>1.5589999999999999</v>
      </c>
      <c r="S167" s="2">
        <v>0</v>
      </c>
      <c r="T167" s="2">
        <v>2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1</v>
      </c>
      <c r="AB167" s="2">
        <v>0</v>
      </c>
      <c r="AC167" s="2">
        <v>0</v>
      </c>
      <c r="AD167" s="2">
        <v>0</v>
      </c>
      <c r="AE167" s="2">
        <v>0</v>
      </c>
      <c r="AF167" s="39">
        <v>0</v>
      </c>
      <c r="AG167" s="40">
        <v>3</v>
      </c>
      <c r="AH167" s="2">
        <v>0</v>
      </c>
      <c r="AI167" s="2">
        <v>0</v>
      </c>
      <c r="AJ167" s="39">
        <v>0</v>
      </c>
      <c r="AK167" s="41">
        <v>0</v>
      </c>
      <c r="AL167" s="42">
        <v>0</v>
      </c>
      <c r="AM167" s="42">
        <v>0</v>
      </c>
      <c r="AN167" s="43">
        <v>0</v>
      </c>
      <c r="AO167" s="42">
        <v>0</v>
      </c>
      <c r="AP167" s="39">
        <v>0</v>
      </c>
      <c r="AQ167" s="2">
        <v>0</v>
      </c>
      <c r="AR167" s="39">
        <v>0</v>
      </c>
      <c r="AS167" s="41">
        <v>0</v>
      </c>
      <c r="AT167" s="2">
        <v>0</v>
      </c>
      <c r="AU167" s="2">
        <v>0</v>
      </c>
      <c r="AV167" s="2">
        <v>0</v>
      </c>
      <c r="AW167" s="39">
        <v>0</v>
      </c>
      <c r="AX167" s="2">
        <v>0</v>
      </c>
      <c r="AY167" s="2">
        <v>0</v>
      </c>
      <c r="AZ167" s="39">
        <v>0</v>
      </c>
      <c r="BA167" s="2">
        <v>0</v>
      </c>
      <c r="BB167" s="2">
        <v>0</v>
      </c>
      <c r="BC167" s="39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1</v>
      </c>
      <c r="BI167" s="2">
        <v>0</v>
      </c>
      <c r="BJ167" s="2">
        <v>0</v>
      </c>
      <c r="BK167" s="39">
        <v>0</v>
      </c>
      <c r="BL167" s="39">
        <v>0</v>
      </c>
      <c r="BM167" s="39">
        <v>0</v>
      </c>
      <c r="BN167" s="39">
        <v>0</v>
      </c>
      <c r="BO167" s="39">
        <v>0</v>
      </c>
      <c r="BP167" s="2">
        <v>0</v>
      </c>
      <c r="BQ167" s="2">
        <v>0</v>
      </c>
      <c r="BR167" s="39">
        <v>0</v>
      </c>
      <c r="BS167" s="44">
        <v>0</v>
      </c>
      <c r="BT167" s="2">
        <v>0</v>
      </c>
      <c r="BU167" s="39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45">
        <v>0</v>
      </c>
      <c r="CG167" s="67">
        <f t="shared" si="19"/>
        <v>7</v>
      </c>
      <c r="CH167" s="69">
        <f t="shared" si="20"/>
        <v>4</v>
      </c>
      <c r="CI167" s="30">
        <f t="shared" si="21"/>
        <v>0</v>
      </c>
      <c r="CJ167" s="30">
        <f t="shared" si="22"/>
        <v>6</v>
      </c>
      <c r="CK167" s="30">
        <f t="shared" si="23"/>
        <v>1</v>
      </c>
      <c r="CL167" s="67">
        <f t="shared" si="24"/>
        <v>2</v>
      </c>
      <c r="CM167" s="30">
        <v>7</v>
      </c>
      <c r="CN167" s="30">
        <v>0</v>
      </c>
      <c r="CO167" s="30">
        <v>0</v>
      </c>
      <c r="CP167" s="30">
        <v>0</v>
      </c>
      <c r="CQ167" s="67">
        <v>1</v>
      </c>
    </row>
    <row r="168" spans="1:95" x14ac:dyDescent="0.3">
      <c r="A168" s="9">
        <v>537</v>
      </c>
      <c r="B168" s="9" t="s">
        <v>3</v>
      </c>
      <c r="C168" s="9" t="s">
        <v>1</v>
      </c>
      <c r="D168" s="9" t="s">
        <v>4</v>
      </c>
      <c r="E168" s="9">
        <v>5</v>
      </c>
      <c r="F168" s="9" t="s">
        <v>6</v>
      </c>
      <c r="G168" s="9">
        <v>6.98</v>
      </c>
      <c r="H168" s="9">
        <v>6</v>
      </c>
      <c r="I168" s="9">
        <v>7.1326999999999998</v>
      </c>
      <c r="J168" s="9">
        <v>5.4664999999999999</v>
      </c>
      <c r="K168" s="9">
        <v>76.639982054481465</v>
      </c>
      <c r="L168" s="9">
        <v>21.683381088825222</v>
      </c>
      <c r="M168" s="7">
        <f t="shared" si="18"/>
        <v>2.0361698281099336</v>
      </c>
      <c r="N168" s="9">
        <v>48.69</v>
      </c>
      <c r="O168" s="9">
        <v>1.0189999999999999</v>
      </c>
      <c r="P168" s="9">
        <v>6.3710000000000004</v>
      </c>
      <c r="Q168" s="9">
        <v>1.911</v>
      </c>
      <c r="R168" s="9">
        <v>1.5569999999999999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39">
        <v>0</v>
      </c>
      <c r="AG168" s="40">
        <v>0</v>
      </c>
      <c r="AH168" s="2">
        <v>0</v>
      </c>
      <c r="AI168" s="2">
        <v>0</v>
      </c>
      <c r="AJ168" s="39">
        <v>0</v>
      </c>
      <c r="AK168" s="41">
        <v>0</v>
      </c>
      <c r="AL168" s="42">
        <v>0</v>
      </c>
      <c r="AM168" s="42">
        <v>0</v>
      </c>
      <c r="AN168" s="43">
        <v>0</v>
      </c>
      <c r="AO168" s="42">
        <v>0</v>
      </c>
      <c r="AP168" s="39">
        <v>0</v>
      </c>
      <c r="AQ168" s="2">
        <v>0</v>
      </c>
      <c r="AR168" s="39">
        <v>0</v>
      </c>
      <c r="AS168" s="41">
        <v>0</v>
      </c>
      <c r="AT168" s="2">
        <v>0</v>
      </c>
      <c r="AU168" s="2">
        <v>0</v>
      </c>
      <c r="AV168" s="2">
        <v>0</v>
      </c>
      <c r="AW168" s="39">
        <v>0</v>
      </c>
      <c r="AX168" s="2">
        <v>0</v>
      </c>
      <c r="AY168" s="2">
        <v>0</v>
      </c>
      <c r="AZ168" s="39">
        <v>0</v>
      </c>
      <c r="BA168" s="2">
        <v>0</v>
      </c>
      <c r="BB168" s="2">
        <v>2</v>
      </c>
      <c r="BC168" s="39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1</v>
      </c>
      <c r="BI168" s="2">
        <v>0</v>
      </c>
      <c r="BJ168" s="2">
        <v>0</v>
      </c>
      <c r="BK168" s="39">
        <v>0</v>
      </c>
      <c r="BL168" s="39">
        <v>0</v>
      </c>
      <c r="BM168" s="39">
        <v>0</v>
      </c>
      <c r="BN168" s="39">
        <v>0</v>
      </c>
      <c r="BO168" s="39">
        <v>0</v>
      </c>
      <c r="BP168" s="2">
        <v>0</v>
      </c>
      <c r="BQ168" s="2">
        <v>0</v>
      </c>
      <c r="BR168" s="39">
        <v>0</v>
      </c>
      <c r="BS168" s="44">
        <v>0</v>
      </c>
      <c r="BT168" s="2">
        <v>0</v>
      </c>
      <c r="BU168" s="39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45">
        <v>0</v>
      </c>
      <c r="CG168" s="67">
        <f t="shared" si="19"/>
        <v>3</v>
      </c>
      <c r="CH168" s="69">
        <f t="shared" si="20"/>
        <v>2</v>
      </c>
      <c r="CI168" s="30">
        <f t="shared" si="21"/>
        <v>0</v>
      </c>
      <c r="CJ168" s="30">
        <f t="shared" si="22"/>
        <v>0</v>
      </c>
      <c r="CK168" s="30">
        <f t="shared" si="23"/>
        <v>3</v>
      </c>
      <c r="CL168" s="67">
        <f t="shared" si="24"/>
        <v>1</v>
      </c>
      <c r="CM168" s="30">
        <v>3</v>
      </c>
      <c r="CN168" s="30">
        <v>0</v>
      </c>
      <c r="CO168" s="30">
        <v>0</v>
      </c>
      <c r="CP168" s="30">
        <v>0</v>
      </c>
      <c r="CQ168" s="67">
        <v>1</v>
      </c>
    </row>
    <row r="169" spans="1:95" x14ac:dyDescent="0.3">
      <c r="A169" s="9">
        <v>540</v>
      </c>
      <c r="B169" s="9" t="s">
        <v>3</v>
      </c>
      <c r="C169" s="9" t="s">
        <v>14</v>
      </c>
      <c r="D169" s="9" t="s">
        <v>4</v>
      </c>
      <c r="E169" s="9">
        <v>5</v>
      </c>
      <c r="F169" s="9" t="s">
        <v>6</v>
      </c>
      <c r="G169" s="9">
        <v>6.96</v>
      </c>
      <c r="H169" s="9">
        <v>6</v>
      </c>
      <c r="I169" s="9">
        <v>6.5110000000000001</v>
      </c>
      <c r="J169" s="9">
        <v>5.3838999999999997</v>
      </c>
      <c r="K169" s="9">
        <v>82.689295039164492</v>
      </c>
      <c r="L169" s="9">
        <v>22.645114942528739</v>
      </c>
      <c r="M169" s="7">
        <f t="shared" si="18"/>
        <v>2.04852592495571</v>
      </c>
      <c r="N169" s="9">
        <v>47.5</v>
      </c>
      <c r="O169" s="9">
        <v>1.216</v>
      </c>
      <c r="P169" s="9">
        <v>7.601</v>
      </c>
      <c r="Q169" s="9">
        <v>1.732</v>
      </c>
      <c r="R169" s="9">
        <v>1.6419999999999999</v>
      </c>
      <c r="S169" s="2">
        <v>4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39">
        <v>0</v>
      </c>
      <c r="AG169" s="40">
        <v>0</v>
      </c>
      <c r="AH169" s="2">
        <v>0</v>
      </c>
      <c r="AI169" s="2">
        <v>0</v>
      </c>
      <c r="AJ169" s="39">
        <v>0</v>
      </c>
      <c r="AK169" s="41">
        <v>0</v>
      </c>
      <c r="AL169" s="42">
        <v>0</v>
      </c>
      <c r="AM169" s="42">
        <v>0</v>
      </c>
      <c r="AN169" s="43">
        <v>0</v>
      </c>
      <c r="AO169" s="42">
        <v>0</v>
      </c>
      <c r="AP169" s="39">
        <v>0</v>
      </c>
      <c r="AQ169" s="2">
        <v>0</v>
      </c>
      <c r="AR169" s="39">
        <v>0</v>
      </c>
      <c r="AS169" s="41">
        <v>0</v>
      </c>
      <c r="AT169" s="2">
        <v>0</v>
      </c>
      <c r="AU169" s="2">
        <v>0</v>
      </c>
      <c r="AV169" s="2">
        <v>0</v>
      </c>
      <c r="AW169" s="39">
        <v>0</v>
      </c>
      <c r="AX169" s="2">
        <v>0</v>
      </c>
      <c r="AY169" s="2">
        <v>0</v>
      </c>
      <c r="AZ169" s="39">
        <v>0</v>
      </c>
      <c r="BA169" s="2">
        <v>0</v>
      </c>
      <c r="BB169" s="2">
        <v>0</v>
      </c>
      <c r="BC169" s="39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39">
        <v>0</v>
      </c>
      <c r="BL169" s="39">
        <v>0</v>
      </c>
      <c r="BM169" s="39">
        <v>0</v>
      </c>
      <c r="BN169" s="39">
        <v>0</v>
      </c>
      <c r="BO169" s="39">
        <v>0</v>
      </c>
      <c r="BP169" s="2">
        <v>0</v>
      </c>
      <c r="BQ169" s="2">
        <v>0</v>
      </c>
      <c r="BR169" s="39">
        <v>0</v>
      </c>
      <c r="BS169" s="44">
        <v>0</v>
      </c>
      <c r="BT169" s="2">
        <v>0</v>
      </c>
      <c r="BU169" s="39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45">
        <v>0</v>
      </c>
      <c r="CG169" s="67">
        <f t="shared" si="19"/>
        <v>4</v>
      </c>
      <c r="CH169" s="69">
        <f t="shared" si="20"/>
        <v>1</v>
      </c>
      <c r="CI169" s="30">
        <f t="shared" si="21"/>
        <v>0</v>
      </c>
      <c r="CJ169" s="30">
        <f t="shared" si="22"/>
        <v>4</v>
      </c>
      <c r="CK169" s="30">
        <f t="shared" si="23"/>
        <v>0</v>
      </c>
      <c r="CL169" s="67">
        <f t="shared" si="24"/>
        <v>1</v>
      </c>
      <c r="CM169" s="30">
        <v>4</v>
      </c>
      <c r="CN169" s="30">
        <v>0</v>
      </c>
      <c r="CO169" s="30">
        <v>0</v>
      </c>
      <c r="CP169" s="30">
        <v>0</v>
      </c>
      <c r="CQ169" s="67">
        <v>1</v>
      </c>
    </row>
    <row r="170" spans="1:95" x14ac:dyDescent="0.3">
      <c r="A170" s="9">
        <v>610</v>
      </c>
      <c r="B170" s="9" t="s">
        <v>3</v>
      </c>
      <c r="C170" s="9" t="s">
        <v>1</v>
      </c>
      <c r="D170" s="9" t="s">
        <v>5</v>
      </c>
      <c r="E170" s="9">
        <v>1</v>
      </c>
      <c r="F170" s="9" t="s">
        <v>6</v>
      </c>
      <c r="G170" s="9">
        <v>7.06</v>
      </c>
      <c r="H170" s="9">
        <v>6</v>
      </c>
      <c r="I170" s="9">
        <v>5.9260000000000002</v>
      </c>
      <c r="J170" s="9">
        <v>3.9558</v>
      </c>
      <c r="K170" s="9">
        <v>66.753290583867695</v>
      </c>
      <c r="L170" s="9">
        <v>43.96883852691218</v>
      </c>
      <c r="M170" s="7">
        <f t="shared" si="18"/>
        <v>2.3710216643680337</v>
      </c>
      <c r="N170" s="9">
        <v>49.47</v>
      </c>
      <c r="O170" s="9">
        <v>2.6160000000000001</v>
      </c>
      <c r="P170" s="9">
        <v>16.352</v>
      </c>
      <c r="Q170" s="9">
        <v>0.39</v>
      </c>
      <c r="R170" s="9">
        <v>7.2999999999999995E-2</v>
      </c>
      <c r="S170" s="2">
        <v>6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5</v>
      </c>
      <c r="AB170" s="2">
        <v>0</v>
      </c>
      <c r="AC170" s="2">
        <v>0</v>
      </c>
      <c r="AD170" s="2">
        <v>0</v>
      </c>
      <c r="AE170" s="2">
        <v>0</v>
      </c>
      <c r="AF170" s="39">
        <v>0</v>
      </c>
      <c r="AG170" s="40">
        <v>23</v>
      </c>
      <c r="AH170" s="2">
        <v>0</v>
      </c>
      <c r="AI170" s="2">
        <v>0</v>
      </c>
      <c r="AJ170" s="39">
        <v>0</v>
      </c>
      <c r="AK170" s="41">
        <v>0</v>
      </c>
      <c r="AL170" s="42">
        <v>0</v>
      </c>
      <c r="AM170" s="42">
        <v>0</v>
      </c>
      <c r="AN170" s="43">
        <v>0</v>
      </c>
      <c r="AO170" s="42">
        <v>0</v>
      </c>
      <c r="AP170" s="39">
        <v>0</v>
      </c>
      <c r="AQ170" s="2">
        <v>0</v>
      </c>
      <c r="AR170" s="39">
        <v>0</v>
      </c>
      <c r="AS170" s="41">
        <v>0</v>
      </c>
      <c r="AT170" s="2">
        <v>0</v>
      </c>
      <c r="AU170" s="2">
        <v>0</v>
      </c>
      <c r="AV170" s="2">
        <v>0</v>
      </c>
      <c r="AW170" s="39">
        <v>0</v>
      </c>
      <c r="AX170" s="2">
        <v>0</v>
      </c>
      <c r="AY170" s="2">
        <v>0</v>
      </c>
      <c r="AZ170" s="39">
        <v>0</v>
      </c>
      <c r="BA170" s="2">
        <v>0</v>
      </c>
      <c r="BB170" s="2">
        <v>0</v>
      </c>
      <c r="BC170" s="39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2</v>
      </c>
      <c r="BI170" s="2">
        <v>0</v>
      </c>
      <c r="BJ170" s="2">
        <v>0</v>
      </c>
      <c r="BK170" s="39">
        <v>0</v>
      </c>
      <c r="BL170" s="39">
        <v>0</v>
      </c>
      <c r="BM170" s="39">
        <v>0</v>
      </c>
      <c r="BN170" s="39">
        <v>0</v>
      </c>
      <c r="BO170" s="39">
        <v>0</v>
      </c>
      <c r="BP170" s="2">
        <v>0</v>
      </c>
      <c r="BQ170" s="2">
        <v>0</v>
      </c>
      <c r="BR170" s="39">
        <v>0</v>
      </c>
      <c r="BS170" s="44">
        <v>1</v>
      </c>
      <c r="BT170" s="2">
        <v>0</v>
      </c>
      <c r="BU170" s="39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45">
        <v>0</v>
      </c>
      <c r="CG170" s="67">
        <f t="shared" si="19"/>
        <v>38</v>
      </c>
      <c r="CH170" s="69">
        <f t="shared" si="20"/>
        <v>6</v>
      </c>
      <c r="CI170" s="30">
        <f t="shared" si="21"/>
        <v>0</v>
      </c>
      <c r="CJ170" s="30">
        <f t="shared" si="22"/>
        <v>35</v>
      </c>
      <c r="CK170" s="30">
        <f t="shared" si="23"/>
        <v>3</v>
      </c>
      <c r="CL170" s="67">
        <f t="shared" si="24"/>
        <v>2</v>
      </c>
      <c r="CM170" s="30">
        <v>38</v>
      </c>
      <c r="CN170" s="30">
        <v>0</v>
      </c>
      <c r="CO170" s="30">
        <v>0</v>
      </c>
      <c r="CP170" s="30">
        <v>0</v>
      </c>
      <c r="CQ170" s="67">
        <v>1</v>
      </c>
    </row>
    <row r="171" spans="1:95" x14ac:dyDescent="0.3">
      <c r="A171" s="9">
        <v>612</v>
      </c>
      <c r="B171" s="9" t="s">
        <v>3</v>
      </c>
      <c r="C171" s="9" t="s">
        <v>1</v>
      </c>
      <c r="D171" s="9" t="s">
        <v>5</v>
      </c>
      <c r="E171" s="9">
        <v>1</v>
      </c>
      <c r="F171" s="9" t="s">
        <v>6</v>
      </c>
      <c r="G171" s="9">
        <v>7.04</v>
      </c>
      <c r="H171" s="9">
        <v>6</v>
      </c>
      <c r="I171" s="9">
        <v>6.8170999999999999</v>
      </c>
      <c r="J171" s="9">
        <v>5.1193</v>
      </c>
      <c r="K171" s="9">
        <v>75.094981737102287</v>
      </c>
      <c r="L171" s="9">
        <v>27.282670454545453</v>
      </c>
      <c r="M171" s="7">
        <f t="shared" si="18"/>
        <v>2.1103499284434499</v>
      </c>
      <c r="N171" s="9">
        <v>48.18</v>
      </c>
      <c r="O171" s="9">
        <v>1.2370000000000001</v>
      </c>
      <c r="P171" s="9">
        <v>7.7329999999999997</v>
      </c>
      <c r="Q171" s="9">
        <v>0.76200000000000001</v>
      </c>
      <c r="R171" s="9">
        <v>0.75800000000000001</v>
      </c>
      <c r="S171" s="2">
        <v>5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39">
        <v>0</v>
      </c>
      <c r="AG171" s="40">
        <v>4</v>
      </c>
      <c r="AH171" s="2">
        <v>0</v>
      </c>
      <c r="AI171" s="2">
        <v>0</v>
      </c>
      <c r="AJ171" s="39">
        <v>0</v>
      </c>
      <c r="AK171" s="41">
        <v>0</v>
      </c>
      <c r="AL171" s="42">
        <v>0</v>
      </c>
      <c r="AM171" s="42">
        <v>0</v>
      </c>
      <c r="AN171" s="43">
        <v>0</v>
      </c>
      <c r="AO171" s="42">
        <v>0</v>
      </c>
      <c r="AP171" s="39">
        <v>0</v>
      </c>
      <c r="AQ171" s="2">
        <v>0</v>
      </c>
      <c r="AR171" s="39">
        <v>0</v>
      </c>
      <c r="AS171" s="41">
        <v>0</v>
      </c>
      <c r="AT171" s="2">
        <v>0</v>
      </c>
      <c r="AU171" s="2">
        <v>0</v>
      </c>
      <c r="AV171" s="2">
        <v>0</v>
      </c>
      <c r="AW171" s="39">
        <v>0</v>
      </c>
      <c r="AX171" s="2">
        <v>0</v>
      </c>
      <c r="AY171" s="2">
        <v>0</v>
      </c>
      <c r="AZ171" s="39">
        <v>0</v>
      </c>
      <c r="BA171" s="2">
        <v>0</v>
      </c>
      <c r="BB171" s="2">
        <v>0</v>
      </c>
      <c r="BC171" s="39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39">
        <v>0</v>
      </c>
      <c r="BL171" s="39">
        <v>0</v>
      </c>
      <c r="BM171" s="39">
        <v>0</v>
      </c>
      <c r="BN171" s="39">
        <v>0</v>
      </c>
      <c r="BO171" s="39">
        <v>0</v>
      </c>
      <c r="BP171" s="2">
        <v>0</v>
      </c>
      <c r="BQ171" s="2">
        <v>0</v>
      </c>
      <c r="BR171" s="39">
        <v>0</v>
      </c>
      <c r="BS171" s="44">
        <v>0</v>
      </c>
      <c r="BT171" s="2">
        <v>0</v>
      </c>
      <c r="BU171" s="39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45">
        <v>0</v>
      </c>
      <c r="CG171" s="67">
        <f t="shared" si="19"/>
        <v>9</v>
      </c>
      <c r="CH171" s="69">
        <f t="shared" si="20"/>
        <v>2</v>
      </c>
      <c r="CI171" s="30">
        <f t="shared" si="21"/>
        <v>0</v>
      </c>
      <c r="CJ171" s="30">
        <f t="shared" si="22"/>
        <v>9</v>
      </c>
      <c r="CK171" s="30">
        <f t="shared" si="23"/>
        <v>0</v>
      </c>
      <c r="CL171" s="67">
        <f t="shared" si="24"/>
        <v>1</v>
      </c>
      <c r="CM171" s="30">
        <v>9</v>
      </c>
      <c r="CN171" s="30">
        <v>0</v>
      </c>
      <c r="CO171" s="30">
        <v>0</v>
      </c>
      <c r="CP171" s="30">
        <v>0</v>
      </c>
      <c r="CQ171" s="67">
        <v>1</v>
      </c>
    </row>
    <row r="172" spans="1:95" x14ac:dyDescent="0.3">
      <c r="A172" s="9">
        <v>617</v>
      </c>
      <c r="B172" s="9" t="s">
        <v>3</v>
      </c>
      <c r="C172" s="9" t="s">
        <v>14</v>
      </c>
      <c r="D172" s="9" t="s">
        <v>5</v>
      </c>
      <c r="E172" s="9">
        <v>1</v>
      </c>
      <c r="F172" s="9" t="s">
        <v>6</v>
      </c>
      <c r="G172" s="9">
        <v>7.08</v>
      </c>
      <c r="H172" s="9">
        <v>6</v>
      </c>
      <c r="I172" s="9">
        <v>6.1618000000000004</v>
      </c>
      <c r="J172" s="9">
        <v>4.9916</v>
      </c>
      <c r="K172" s="9">
        <v>81.008796131000679</v>
      </c>
      <c r="L172" s="9">
        <v>29.497175141242938</v>
      </c>
      <c r="M172" s="7">
        <f t="shared" si="18"/>
        <v>2.1412768772821211</v>
      </c>
      <c r="N172" s="9">
        <v>47.14</v>
      </c>
      <c r="O172" s="9">
        <v>1.0960000000000001</v>
      </c>
      <c r="P172" s="9">
        <v>6.8529999999999998</v>
      </c>
      <c r="Q172" s="9">
        <v>0.79700000000000004</v>
      </c>
      <c r="R172" s="9">
        <v>0.80900000000000005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39">
        <v>0</v>
      </c>
      <c r="AG172" s="40">
        <v>2</v>
      </c>
      <c r="AH172" s="2">
        <v>0</v>
      </c>
      <c r="AI172" s="2">
        <v>0</v>
      </c>
      <c r="AJ172" s="39">
        <v>0</v>
      </c>
      <c r="AK172" s="41">
        <v>0</v>
      </c>
      <c r="AL172" s="42">
        <v>0</v>
      </c>
      <c r="AM172" s="42">
        <v>0</v>
      </c>
      <c r="AN172" s="43">
        <v>0</v>
      </c>
      <c r="AO172" s="42">
        <v>0</v>
      </c>
      <c r="AP172" s="39">
        <v>0</v>
      </c>
      <c r="AQ172" s="2">
        <v>0</v>
      </c>
      <c r="AR172" s="39">
        <v>0</v>
      </c>
      <c r="AS172" s="41">
        <v>0</v>
      </c>
      <c r="AT172" s="2">
        <v>0</v>
      </c>
      <c r="AU172" s="2">
        <v>0</v>
      </c>
      <c r="AV172" s="2">
        <v>0</v>
      </c>
      <c r="AW172" s="39">
        <v>0</v>
      </c>
      <c r="AX172" s="2">
        <v>0</v>
      </c>
      <c r="AY172" s="2">
        <v>0</v>
      </c>
      <c r="AZ172" s="39">
        <v>0</v>
      </c>
      <c r="BA172" s="2">
        <v>0</v>
      </c>
      <c r="BB172" s="2">
        <v>0</v>
      </c>
      <c r="BC172" s="39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39">
        <v>0</v>
      </c>
      <c r="BL172" s="39">
        <v>0</v>
      </c>
      <c r="BM172" s="39">
        <v>0</v>
      </c>
      <c r="BN172" s="39">
        <v>0</v>
      </c>
      <c r="BO172" s="39">
        <v>0</v>
      </c>
      <c r="BP172" s="2">
        <v>0</v>
      </c>
      <c r="BQ172" s="2">
        <v>0</v>
      </c>
      <c r="BR172" s="39">
        <v>0</v>
      </c>
      <c r="BS172" s="44">
        <v>0</v>
      </c>
      <c r="BT172" s="2">
        <v>0</v>
      </c>
      <c r="BU172" s="39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45">
        <v>0</v>
      </c>
      <c r="CG172" s="67">
        <f t="shared" si="19"/>
        <v>3</v>
      </c>
      <c r="CH172" s="69">
        <f t="shared" si="20"/>
        <v>2</v>
      </c>
      <c r="CI172" s="30">
        <f t="shared" si="21"/>
        <v>0</v>
      </c>
      <c r="CJ172" s="30">
        <f t="shared" si="22"/>
        <v>3</v>
      </c>
      <c r="CK172" s="30">
        <f t="shared" si="23"/>
        <v>0</v>
      </c>
      <c r="CL172" s="67">
        <f t="shared" si="24"/>
        <v>1</v>
      </c>
      <c r="CM172" s="30">
        <v>3</v>
      </c>
      <c r="CN172" s="30">
        <v>0</v>
      </c>
      <c r="CO172" s="30">
        <v>0</v>
      </c>
      <c r="CP172" s="30">
        <v>0</v>
      </c>
      <c r="CQ172" s="67">
        <v>1</v>
      </c>
    </row>
    <row r="173" spans="1:95" x14ac:dyDescent="0.3">
      <c r="A173" s="9">
        <v>632</v>
      </c>
      <c r="B173" s="9" t="s">
        <v>3</v>
      </c>
      <c r="C173" s="9" t="s">
        <v>1</v>
      </c>
      <c r="D173" s="9" t="s">
        <v>5</v>
      </c>
      <c r="E173" s="9">
        <v>5</v>
      </c>
      <c r="F173" s="9" t="s">
        <v>6</v>
      </c>
      <c r="G173" s="9">
        <v>6.94</v>
      </c>
      <c r="H173" s="9">
        <v>6</v>
      </c>
      <c r="I173" s="9">
        <v>5.9766000000000004</v>
      </c>
      <c r="J173" s="9">
        <v>4.84</v>
      </c>
      <c r="K173" s="9">
        <v>80.982498410467485</v>
      </c>
      <c r="L173" s="9">
        <v>30.259365994236315</v>
      </c>
      <c r="M173" s="7">
        <f t="shared" si="18"/>
        <v>2.152146523018228</v>
      </c>
      <c r="N173" s="9">
        <v>47.8</v>
      </c>
      <c r="O173" s="9">
        <v>1.3149999999999999</v>
      </c>
      <c r="P173" s="9">
        <v>8.2159999999999993</v>
      </c>
      <c r="Q173" s="9">
        <v>0.70199999999999996</v>
      </c>
      <c r="R173" s="9">
        <v>0.95800000000000007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39">
        <v>0</v>
      </c>
      <c r="AG173" s="40">
        <v>0</v>
      </c>
      <c r="AH173" s="2">
        <v>0</v>
      </c>
      <c r="AI173" s="2">
        <v>0</v>
      </c>
      <c r="AJ173" s="39">
        <v>0</v>
      </c>
      <c r="AK173" s="41">
        <v>0</v>
      </c>
      <c r="AL173" s="42">
        <v>0</v>
      </c>
      <c r="AM173" s="42">
        <v>0</v>
      </c>
      <c r="AN173" s="43">
        <v>0</v>
      </c>
      <c r="AO173" s="42">
        <v>0</v>
      </c>
      <c r="AP173" s="39">
        <v>0</v>
      </c>
      <c r="AQ173" s="2">
        <v>0</v>
      </c>
      <c r="AR173" s="39">
        <v>0</v>
      </c>
      <c r="AS173" s="41">
        <v>0</v>
      </c>
      <c r="AT173" s="2">
        <v>0</v>
      </c>
      <c r="AU173" s="2">
        <v>0</v>
      </c>
      <c r="AV173" s="2">
        <v>0</v>
      </c>
      <c r="AW173" s="39">
        <v>0</v>
      </c>
      <c r="AX173" s="2">
        <v>0</v>
      </c>
      <c r="AY173" s="2">
        <v>0</v>
      </c>
      <c r="AZ173" s="39">
        <v>0</v>
      </c>
      <c r="BA173" s="2">
        <v>1</v>
      </c>
      <c r="BB173" s="2">
        <v>0</v>
      </c>
      <c r="BC173" s="39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39">
        <v>0</v>
      </c>
      <c r="BL173" s="39">
        <v>0</v>
      </c>
      <c r="BM173" s="39">
        <v>0</v>
      </c>
      <c r="BN173" s="39">
        <v>0</v>
      </c>
      <c r="BO173" s="39">
        <v>0</v>
      </c>
      <c r="BP173" s="2">
        <v>0</v>
      </c>
      <c r="BQ173" s="2">
        <v>0</v>
      </c>
      <c r="BR173" s="39">
        <v>0</v>
      </c>
      <c r="BS173" s="44">
        <v>0</v>
      </c>
      <c r="BT173" s="2">
        <v>0</v>
      </c>
      <c r="BU173" s="39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45">
        <v>0</v>
      </c>
      <c r="CG173" s="67">
        <f t="shared" si="19"/>
        <v>1</v>
      </c>
      <c r="CH173" s="69">
        <f t="shared" si="20"/>
        <v>1</v>
      </c>
      <c r="CI173" s="30">
        <f t="shared" si="21"/>
        <v>0</v>
      </c>
      <c r="CJ173" s="30">
        <f t="shared" si="22"/>
        <v>0</v>
      </c>
      <c r="CK173" s="30">
        <f t="shared" si="23"/>
        <v>1</v>
      </c>
      <c r="CL173" s="67">
        <f t="shared" si="24"/>
        <v>1</v>
      </c>
      <c r="CM173" s="30">
        <v>1</v>
      </c>
      <c r="CN173" s="30">
        <v>0</v>
      </c>
      <c r="CO173" s="30">
        <v>0</v>
      </c>
      <c r="CP173" s="30">
        <v>0</v>
      </c>
      <c r="CQ173" s="67">
        <v>1</v>
      </c>
    </row>
    <row r="174" spans="1:95" x14ac:dyDescent="0.3">
      <c r="A174" s="9">
        <v>636</v>
      </c>
      <c r="B174" s="9" t="s">
        <v>3</v>
      </c>
      <c r="C174" s="9" t="s">
        <v>14</v>
      </c>
      <c r="D174" s="9" t="s">
        <v>5</v>
      </c>
      <c r="E174" s="9">
        <v>5</v>
      </c>
      <c r="F174" s="9" t="s">
        <v>6</v>
      </c>
      <c r="G174" s="9">
        <v>6.94</v>
      </c>
      <c r="H174" s="9">
        <v>6</v>
      </c>
      <c r="I174" s="9">
        <v>6.1247999999999996</v>
      </c>
      <c r="J174" s="9">
        <v>4.9508000000000001</v>
      </c>
      <c r="K174" s="9">
        <v>80.832027168234063</v>
      </c>
      <c r="L174" s="9">
        <v>28.662824207492797</v>
      </c>
      <c r="M174" s="7">
        <f t="shared" si="18"/>
        <v>2.1295120640630381</v>
      </c>
      <c r="N174" s="9">
        <v>47.51</v>
      </c>
      <c r="O174" s="9">
        <v>1.498</v>
      </c>
      <c r="P174" s="9">
        <v>9.3640000000000008</v>
      </c>
      <c r="Q174" s="9">
        <v>0.68400000000000005</v>
      </c>
      <c r="R174" s="9">
        <v>0.74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39">
        <v>0</v>
      </c>
      <c r="AG174" s="40">
        <v>0</v>
      </c>
      <c r="AH174" s="2">
        <v>0</v>
      </c>
      <c r="AI174" s="2">
        <v>0</v>
      </c>
      <c r="AJ174" s="39">
        <v>0</v>
      </c>
      <c r="AK174" s="41">
        <v>0</v>
      </c>
      <c r="AL174" s="42">
        <v>0</v>
      </c>
      <c r="AM174" s="42">
        <v>0</v>
      </c>
      <c r="AN174" s="43">
        <v>0</v>
      </c>
      <c r="AO174" s="42">
        <v>0</v>
      </c>
      <c r="AP174" s="39">
        <v>0</v>
      </c>
      <c r="AQ174" s="2">
        <v>0</v>
      </c>
      <c r="AR174" s="39">
        <v>0</v>
      </c>
      <c r="AS174" s="41">
        <v>0</v>
      </c>
      <c r="AT174" s="2">
        <v>0</v>
      </c>
      <c r="AU174" s="2">
        <v>0</v>
      </c>
      <c r="AV174" s="2">
        <v>0</v>
      </c>
      <c r="AW174" s="39">
        <v>0</v>
      </c>
      <c r="AX174" s="2">
        <v>0</v>
      </c>
      <c r="AY174" s="2">
        <v>0</v>
      </c>
      <c r="AZ174" s="39">
        <v>0</v>
      </c>
      <c r="BA174" s="2">
        <v>0</v>
      </c>
      <c r="BB174" s="2">
        <v>3</v>
      </c>
      <c r="BC174" s="39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39">
        <v>0</v>
      </c>
      <c r="BL174" s="39">
        <v>0</v>
      </c>
      <c r="BM174" s="39">
        <v>0</v>
      </c>
      <c r="BN174" s="39">
        <v>0</v>
      </c>
      <c r="BO174" s="39">
        <v>0</v>
      </c>
      <c r="BP174" s="2">
        <v>0</v>
      </c>
      <c r="BQ174" s="2">
        <v>0</v>
      </c>
      <c r="BR174" s="39">
        <v>0</v>
      </c>
      <c r="BS174" s="44">
        <v>0</v>
      </c>
      <c r="BT174" s="2">
        <v>0</v>
      </c>
      <c r="BU174" s="39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45">
        <v>0</v>
      </c>
      <c r="CG174" s="67">
        <f t="shared" si="19"/>
        <v>3</v>
      </c>
      <c r="CH174" s="69">
        <f t="shared" si="20"/>
        <v>1</v>
      </c>
      <c r="CI174" s="30">
        <f t="shared" si="21"/>
        <v>0</v>
      </c>
      <c r="CJ174" s="30">
        <f t="shared" si="22"/>
        <v>0</v>
      </c>
      <c r="CK174" s="30">
        <f t="shared" si="23"/>
        <v>3</v>
      </c>
      <c r="CL174" s="67">
        <f t="shared" si="24"/>
        <v>1</v>
      </c>
      <c r="CM174" s="30">
        <v>3</v>
      </c>
      <c r="CN174" s="30">
        <v>0</v>
      </c>
      <c r="CO174" s="30">
        <v>0</v>
      </c>
      <c r="CP174" s="30">
        <v>0</v>
      </c>
      <c r="CQ174" s="67">
        <v>1</v>
      </c>
    </row>
    <row r="175" spans="1:95" x14ac:dyDescent="0.3">
      <c r="A175" s="9">
        <v>638</v>
      </c>
      <c r="B175" s="9" t="s">
        <v>3</v>
      </c>
      <c r="C175" s="9" t="s">
        <v>14</v>
      </c>
      <c r="D175" s="9" t="s">
        <v>5</v>
      </c>
      <c r="E175" s="9">
        <v>3</v>
      </c>
      <c r="F175" s="9" t="s">
        <v>6</v>
      </c>
      <c r="G175" s="9">
        <v>6.99</v>
      </c>
      <c r="H175" s="9">
        <v>6</v>
      </c>
      <c r="I175" s="9">
        <v>6.2432999999999996</v>
      </c>
      <c r="J175" s="9">
        <v>4.7854999999999999</v>
      </c>
      <c r="K175" s="9">
        <v>76.650168981147786</v>
      </c>
      <c r="L175" s="9">
        <v>31.537911301859804</v>
      </c>
      <c r="M175" s="7">
        <f t="shared" si="18"/>
        <v>2.1706495128199497</v>
      </c>
      <c r="N175" s="9">
        <v>46.95</v>
      </c>
      <c r="O175" s="9">
        <v>1.764</v>
      </c>
      <c r="P175" s="9">
        <v>11.026</v>
      </c>
      <c r="Q175" s="9">
        <v>0.56100000000000005</v>
      </c>
      <c r="R175" s="9">
        <v>0.43700000000000006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39">
        <v>0</v>
      </c>
      <c r="AG175" s="40">
        <v>0</v>
      </c>
      <c r="AH175" s="2">
        <v>0</v>
      </c>
      <c r="AI175" s="2">
        <v>0</v>
      </c>
      <c r="AJ175" s="39">
        <v>0</v>
      </c>
      <c r="AK175" s="41">
        <v>0</v>
      </c>
      <c r="AL175" s="42">
        <v>0</v>
      </c>
      <c r="AM175" s="42">
        <v>0</v>
      </c>
      <c r="AN175" s="43">
        <v>0</v>
      </c>
      <c r="AO175" s="42">
        <v>0</v>
      </c>
      <c r="AP175" s="39">
        <v>0</v>
      </c>
      <c r="AQ175" s="2">
        <v>0</v>
      </c>
      <c r="AR175" s="39">
        <v>0</v>
      </c>
      <c r="AS175" s="41">
        <v>0</v>
      </c>
      <c r="AT175" s="2">
        <v>0</v>
      </c>
      <c r="AU175" s="2">
        <v>0</v>
      </c>
      <c r="AV175" s="2">
        <v>0</v>
      </c>
      <c r="AW175" s="39">
        <v>0</v>
      </c>
      <c r="AX175" s="2">
        <v>0</v>
      </c>
      <c r="AY175" s="2">
        <v>0</v>
      </c>
      <c r="AZ175" s="39">
        <v>0</v>
      </c>
      <c r="BA175" s="2">
        <v>0</v>
      </c>
      <c r="BB175" s="2">
        <v>0</v>
      </c>
      <c r="BC175" s="39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39">
        <v>0</v>
      </c>
      <c r="BL175" s="39">
        <v>0</v>
      </c>
      <c r="BM175" s="39">
        <v>0</v>
      </c>
      <c r="BN175" s="39">
        <v>0</v>
      </c>
      <c r="BO175" s="39">
        <v>0</v>
      </c>
      <c r="BP175" s="2">
        <v>0</v>
      </c>
      <c r="BQ175" s="2">
        <v>0</v>
      </c>
      <c r="BR175" s="39">
        <v>0</v>
      </c>
      <c r="BS175" s="44">
        <v>0</v>
      </c>
      <c r="BT175" s="2">
        <v>0</v>
      </c>
      <c r="BU175" s="39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45">
        <v>0</v>
      </c>
      <c r="CG175" s="67">
        <f t="shared" si="19"/>
        <v>0</v>
      </c>
      <c r="CH175" s="69">
        <f t="shared" si="20"/>
        <v>0</v>
      </c>
      <c r="CI175" s="30">
        <f t="shared" si="21"/>
        <v>0</v>
      </c>
      <c r="CJ175" s="30">
        <f t="shared" si="22"/>
        <v>0</v>
      </c>
      <c r="CK175" s="30">
        <f t="shared" si="23"/>
        <v>0</v>
      </c>
      <c r="CL175" s="67">
        <f t="shared" si="24"/>
        <v>0</v>
      </c>
      <c r="CM175" s="30">
        <v>0</v>
      </c>
      <c r="CN175" s="30">
        <v>0</v>
      </c>
      <c r="CO175" s="30">
        <v>0</v>
      </c>
      <c r="CP175" s="30">
        <v>0</v>
      </c>
      <c r="CQ175" s="67">
        <v>0</v>
      </c>
    </row>
    <row r="176" spans="1:95" x14ac:dyDescent="0.3">
      <c r="A176" s="9">
        <v>640</v>
      </c>
      <c r="B176" s="9" t="s">
        <v>3</v>
      </c>
      <c r="C176" s="9" t="s">
        <v>1</v>
      </c>
      <c r="D176" s="9" t="s">
        <v>5</v>
      </c>
      <c r="E176" s="9">
        <v>3</v>
      </c>
      <c r="F176" s="9" t="s">
        <v>6</v>
      </c>
      <c r="G176" s="9">
        <v>6.92</v>
      </c>
      <c r="H176" s="9">
        <v>6</v>
      </c>
      <c r="I176" s="9">
        <v>6.6172000000000004</v>
      </c>
      <c r="J176" s="9">
        <v>4.5377999999999998</v>
      </c>
      <c r="K176" s="9">
        <v>68.575832678474271</v>
      </c>
      <c r="L176" s="9">
        <v>34.424855491329481</v>
      </c>
      <c r="M176" s="7">
        <f t="shared" si="18"/>
        <v>2.2137329257497314</v>
      </c>
      <c r="N176" s="9">
        <v>46.9</v>
      </c>
      <c r="O176" s="9">
        <v>1.9910000000000001</v>
      </c>
      <c r="P176" s="9">
        <v>12.444000000000001</v>
      </c>
      <c r="Q176" s="9">
        <v>0.624</v>
      </c>
      <c r="R176" s="9">
        <v>0.41499999999999998</v>
      </c>
      <c r="S176" s="2">
        <v>0</v>
      </c>
      <c r="T176" s="2">
        <v>0</v>
      </c>
      <c r="U176" s="2">
        <v>0</v>
      </c>
      <c r="V176" s="2">
        <v>0</v>
      </c>
      <c r="W176" s="2">
        <v>19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39">
        <v>0</v>
      </c>
      <c r="AG176" s="40">
        <v>4</v>
      </c>
      <c r="AH176" s="2">
        <v>0</v>
      </c>
      <c r="AI176" s="2">
        <v>0</v>
      </c>
      <c r="AJ176" s="39">
        <v>0</v>
      </c>
      <c r="AK176" s="41">
        <v>0</v>
      </c>
      <c r="AL176" s="42">
        <v>0</v>
      </c>
      <c r="AM176" s="42">
        <v>0</v>
      </c>
      <c r="AN176" s="43">
        <v>0</v>
      </c>
      <c r="AO176" s="42">
        <v>0</v>
      </c>
      <c r="AP176" s="39">
        <v>0</v>
      </c>
      <c r="AQ176" s="2">
        <v>3</v>
      </c>
      <c r="AR176" s="39">
        <v>0</v>
      </c>
      <c r="AS176" s="41">
        <v>0</v>
      </c>
      <c r="AT176" s="2">
        <v>0</v>
      </c>
      <c r="AU176" s="2">
        <v>0</v>
      </c>
      <c r="AV176" s="2">
        <v>0</v>
      </c>
      <c r="AW176" s="39">
        <v>0</v>
      </c>
      <c r="AX176" s="2">
        <v>0</v>
      </c>
      <c r="AY176" s="2">
        <v>0</v>
      </c>
      <c r="AZ176" s="39">
        <v>0</v>
      </c>
      <c r="BA176" s="2">
        <v>0</v>
      </c>
      <c r="BB176" s="2">
        <v>0</v>
      </c>
      <c r="BC176" s="39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39">
        <v>1</v>
      </c>
      <c r="BL176" s="39">
        <v>0</v>
      </c>
      <c r="BM176" s="39">
        <v>0</v>
      </c>
      <c r="BN176" s="39">
        <v>0</v>
      </c>
      <c r="BO176" s="39">
        <v>0</v>
      </c>
      <c r="BP176" s="2">
        <v>0</v>
      </c>
      <c r="BQ176" s="2">
        <v>1</v>
      </c>
      <c r="BR176" s="39">
        <v>0</v>
      </c>
      <c r="BS176" s="44">
        <v>0</v>
      </c>
      <c r="BT176" s="2">
        <v>0</v>
      </c>
      <c r="BU176" s="39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1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45">
        <v>0</v>
      </c>
      <c r="CG176" s="67">
        <f t="shared" si="19"/>
        <v>29</v>
      </c>
      <c r="CH176" s="69">
        <f t="shared" si="20"/>
        <v>6</v>
      </c>
      <c r="CI176" s="30">
        <f t="shared" si="21"/>
        <v>0</v>
      </c>
      <c r="CJ176" s="30">
        <f t="shared" si="22"/>
        <v>26</v>
      </c>
      <c r="CK176" s="30">
        <f t="shared" si="23"/>
        <v>3</v>
      </c>
      <c r="CL176" s="67">
        <f t="shared" si="24"/>
        <v>2</v>
      </c>
      <c r="CM176" s="30">
        <v>26</v>
      </c>
      <c r="CN176" s="30">
        <v>0</v>
      </c>
      <c r="CO176" s="30">
        <v>1</v>
      </c>
      <c r="CP176" s="30">
        <v>2</v>
      </c>
      <c r="CQ176" s="67">
        <v>1</v>
      </c>
    </row>
    <row r="177" spans="1:95" x14ac:dyDescent="0.3">
      <c r="A177" s="9">
        <v>653</v>
      </c>
      <c r="B177" s="9" t="s">
        <v>3</v>
      </c>
      <c r="C177" s="9" t="s">
        <v>14</v>
      </c>
      <c r="D177" s="9" t="s">
        <v>5</v>
      </c>
      <c r="E177" s="9">
        <v>2</v>
      </c>
      <c r="F177" s="9" t="s">
        <v>6</v>
      </c>
      <c r="G177" s="9">
        <v>6.96</v>
      </c>
      <c r="H177" s="9">
        <v>6</v>
      </c>
      <c r="I177" s="9">
        <v>6.3874000000000004</v>
      </c>
      <c r="J177" s="9">
        <v>5.1336000000000004</v>
      </c>
      <c r="K177" s="9">
        <v>80.3707298744403</v>
      </c>
      <c r="L177" s="9">
        <v>26.241379310344819</v>
      </c>
      <c r="M177" s="7">
        <f t="shared" si="18"/>
        <v>2.096131776120215</v>
      </c>
      <c r="N177" s="9">
        <v>47.73</v>
      </c>
      <c r="O177" s="9">
        <v>0.96799999999999997</v>
      </c>
      <c r="P177" s="9">
        <v>6.0529999999999999</v>
      </c>
      <c r="Q177" s="9">
        <v>0.755</v>
      </c>
      <c r="R177" s="9">
        <v>1.252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39">
        <v>0</v>
      </c>
      <c r="AG177" s="40">
        <v>0</v>
      </c>
      <c r="AH177" s="2">
        <v>0</v>
      </c>
      <c r="AI177" s="2">
        <v>0</v>
      </c>
      <c r="AJ177" s="39">
        <v>0</v>
      </c>
      <c r="AK177" s="41">
        <v>1</v>
      </c>
      <c r="AL177" s="42">
        <v>0</v>
      </c>
      <c r="AM177" s="42">
        <v>0</v>
      </c>
      <c r="AN177" s="43">
        <v>0</v>
      </c>
      <c r="AO177" s="42">
        <v>0</v>
      </c>
      <c r="AP177" s="39">
        <v>0</v>
      </c>
      <c r="AQ177" s="2">
        <v>0</v>
      </c>
      <c r="AR177" s="39">
        <v>0</v>
      </c>
      <c r="AS177" s="41">
        <v>0</v>
      </c>
      <c r="AT177" s="2">
        <v>0</v>
      </c>
      <c r="AU177" s="2">
        <v>0</v>
      </c>
      <c r="AV177" s="2">
        <v>0</v>
      </c>
      <c r="AW177" s="39">
        <v>0</v>
      </c>
      <c r="AX177" s="2">
        <v>0</v>
      </c>
      <c r="AY177" s="2">
        <v>0</v>
      </c>
      <c r="AZ177" s="39">
        <v>0</v>
      </c>
      <c r="BA177" s="2">
        <v>0</v>
      </c>
      <c r="BB177" s="2">
        <v>1</v>
      </c>
      <c r="BC177" s="39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39">
        <v>0</v>
      </c>
      <c r="BL177" s="39">
        <v>0</v>
      </c>
      <c r="BM177" s="39">
        <v>0</v>
      </c>
      <c r="BN177" s="39">
        <v>0</v>
      </c>
      <c r="BO177" s="39">
        <v>0</v>
      </c>
      <c r="BP177" s="2">
        <v>0</v>
      </c>
      <c r="BQ177" s="2">
        <v>0</v>
      </c>
      <c r="BR177" s="39">
        <v>0</v>
      </c>
      <c r="BS177" s="44">
        <v>0</v>
      </c>
      <c r="BT177" s="2">
        <v>0</v>
      </c>
      <c r="BU177" s="39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1</v>
      </c>
      <c r="CF177" s="45">
        <v>0</v>
      </c>
      <c r="CG177" s="67">
        <f t="shared" si="19"/>
        <v>3</v>
      </c>
      <c r="CH177" s="69">
        <f t="shared" si="20"/>
        <v>3</v>
      </c>
      <c r="CI177" s="30">
        <f t="shared" si="21"/>
        <v>0</v>
      </c>
      <c r="CJ177" s="30">
        <f t="shared" si="22"/>
        <v>0</v>
      </c>
      <c r="CK177" s="30">
        <f t="shared" si="23"/>
        <v>3</v>
      </c>
      <c r="CL177" s="67">
        <f t="shared" si="24"/>
        <v>1</v>
      </c>
      <c r="CM177" s="30">
        <v>2</v>
      </c>
      <c r="CN177" s="30">
        <v>0</v>
      </c>
      <c r="CO177" s="30">
        <v>0</v>
      </c>
      <c r="CP177" s="30">
        <v>1</v>
      </c>
      <c r="CQ177" s="67">
        <v>1</v>
      </c>
    </row>
    <row r="178" spans="1:95" x14ac:dyDescent="0.3">
      <c r="A178" s="9">
        <v>656</v>
      </c>
      <c r="B178" s="9" t="s">
        <v>3</v>
      </c>
      <c r="C178" s="9" t="s">
        <v>1</v>
      </c>
      <c r="D178" s="9" t="s">
        <v>5</v>
      </c>
      <c r="E178" s="9">
        <v>2</v>
      </c>
      <c r="F178" s="9" t="s">
        <v>6</v>
      </c>
      <c r="G178" s="9">
        <v>7.09</v>
      </c>
      <c r="H178" s="9">
        <v>6</v>
      </c>
      <c r="I178" s="9">
        <v>6.9672000000000001</v>
      </c>
      <c r="J178" s="9">
        <v>5.6102999999999996</v>
      </c>
      <c r="K178" s="9">
        <v>80.524457457802271</v>
      </c>
      <c r="L178" s="9">
        <v>20.870239774330045</v>
      </c>
      <c r="M178" s="7">
        <f t="shared" si="18"/>
        <v>2.0258406157314441</v>
      </c>
      <c r="N178" s="9">
        <v>43.66</v>
      </c>
      <c r="O178" s="9">
        <v>0.83899999999999997</v>
      </c>
      <c r="P178" s="9">
        <v>5.242</v>
      </c>
      <c r="Q178" s="9">
        <v>0.53100000000000003</v>
      </c>
      <c r="R178" s="9">
        <v>0.80400000000000005</v>
      </c>
      <c r="S178" s="2">
        <v>6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</v>
      </c>
      <c r="Z178" s="2">
        <v>0</v>
      </c>
      <c r="AA178" s="2">
        <v>0</v>
      </c>
      <c r="AB178" s="2">
        <v>31</v>
      </c>
      <c r="AC178" s="2">
        <v>0</v>
      </c>
      <c r="AD178" s="2">
        <v>0</v>
      </c>
      <c r="AE178" s="2">
        <v>0</v>
      </c>
      <c r="AF178" s="39">
        <v>0</v>
      </c>
      <c r="AG178" s="40">
        <v>0</v>
      </c>
      <c r="AH178" s="2">
        <v>0</v>
      </c>
      <c r="AI178" s="2">
        <v>0</v>
      </c>
      <c r="AJ178" s="39">
        <v>0</v>
      </c>
      <c r="AK178" s="41">
        <v>0</v>
      </c>
      <c r="AL178" s="42">
        <v>2</v>
      </c>
      <c r="AM178" s="42">
        <v>0</v>
      </c>
      <c r="AN178" s="43">
        <v>0</v>
      </c>
      <c r="AO178" s="42">
        <v>0</v>
      </c>
      <c r="AP178" s="39">
        <v>0</v>
      </c>
      <c r="AQ178" s="2">
        <v>0</v>
      </c>
      <c r="AR178" s="39">
        <v>0</v>
      </c>
      <c r="AS178" s="41">
        <v>0</v>
      </c>
      <c r="AT178" s="2">
        <v>0</v>
      </c>
      <c r="AU178" s="2">
        <v>0</v>
      </c>
      <c r="AV178" s="2">
        <v>0</v>
      </c>
      <c r="AW178" s="39">
        <v>0</v>
      </c>
      <c r="AX178" s="2">
        <v>0</v>
      </c>
      <c r="AY178" s="2">
        <v>2</v>
      </c>
      <c r="AZ178" s="39">
        <v>0</v>
      </c>
      <c r="BA178" s="2">
        <v>0</v>
      </c>
      <c r="BB178" s="2">
        <v>0</v>
      </c>
      <c r="BC178" s="39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39">
        <v>0</v>
      </c>
      <c r="BL178" s="39">
        <v>0</v>
      </c>
      <c r="BM178" s="39">
        <v>0</v>
      </c>
      <c r="BN178" s="39">
        <v>0</v>
      </c>
      <c r="BO178" s="39">
        <v>0</v>
      </c>
      <c r="BP178" s="2">
        <v>0</v>
      </c>
      <c r="BQ178" s="2">
        <v>0</v>
      </c>
      <c r="BR178" s="39">
        <v>0</v>
      </c>
      <c r="BS178" s="44">
        <v>0</v>
      </c>
      <c r="BT178" s="2">
        <v>0</v>
      </c>
      <c r="BU178" s="39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45">
        <v>0</v>
      </c>
      <c r="CG178" s="67">
        <f t="shared" si="19"/>
        <v>42</v>
      </c>
      <c r="CH178" s="69">
        <f t="shared" si="20"/>
        <v>5</v>
      </c>
      <c r="CI178" s="30">
        <f t="shared" si="21"/>
        <v>0</v>
      </c>
      <c r="CJ178" s="30">
        <f t="shared" si="22"/>
        <v>40</v>
      </c>
      <c r="CK178" s="30">
        <f t="shared" si="23"/>
        <v>2</v>
      </c>
      <c r="CL178" s="67">
        <f t="shared" si="24"/>
        <v>2</v>
      </c>
      <c r="CM178" s="30">
        <v>40</v>
      </c>
      <c r="CN178" s="30">
        <v>0</v>
      </c>
      <c r="CO178" s="30">
        <v>0</v>
      </c>
      <c r="CP178" s="30">
        <v>0</v>
      </c>
      <c r="CQ178" s="67">
        <v>1</v>
      </c>
    </row>
    <row r="179" spans="1:95" x14ac:dyDescent="0.3">
      <c r="A179" s="9">
        <v>658</v>
      </c>
      <c r="B179" s="9" t="s">
        <v>3</v>
      </c>
      <c r="C179" s="9" t="s">
        <v>1</v>
      </c>
      <c r="D179" s="9" t="s">
        <v>5</v>
      </c>
      <c r="E179" s="9">
        <v>4</v>
      </c>
      <c r="F179" s="9" t="s">
        <v>6</v>
      </c>
      <c r="G179" s="9">
        <v>6.94</v>
      </c>
      <c r="H179" s="9">
        <v>6</v>
      </c>
      <c r="I179" s="9">
        <v>6.2596999999999996</v>
      </c>
      <c r="J179" s="9">
        <v>4.9962999999999997</v>
      </c>
      <c r="K179" s="9">
        <v>79.816924133744422</v>
      </c>
      <c r="L179" s="9">
        <v>28.007204610951014</v>
      </c>
      <c r="M179" s="7">
        <f t="shared" si="18"/>
        <v>2.1203636052478174</v>
      </c>
      <c r="N179" s="9">
        <v>47.63</v>
      </c>
      <c r="O179" s="9">
        <v>1.0369999999999999</v>
      </c>
      <c r="P179" s="9">
        <v>6.4779999999999998</v>
      </c>
      <c r="Q179" s="9">
        <v>0.64700000000000002</v>
      </c>
      <c r="R179" s="9">
        <v>0.82099999999999995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39">
        <v>0</v>
      </c>
      <c r="AG179" s="40">
        <v>0</v>
      </c>
      <c r="AH179" s="2">
        <v>0</v>
      </c>
      <c r="AI179" s="2">
        <v>0</v>
      </c>
      <c r="AJ179" s="39">
        <v>0</v>
      </c>
      <c r="AK179" s="41">
        <v>0</v>
      </c>
      <c r="AL179" s="42">
        <v>0</v>
      </c>
      <c r="AM179" s="42">
        <v>0</v>
      </c>
      <c r="AN179" s="43">
        <v>0</v>
      </c>
      <c r="AO179" s="42">
        <v>0</v>
      </c>
      <c r="AP179" s="39">
        <v>0</v>
      </c>
      <c r="AQ179" s="2">
        <v>0</v>
      </c>
      <c r="AR179" s="39">
        <v>0</v>
      </c>
      <c r="AS179" s="41">
        <v>0</v>
      </c>
      <c r="AT179" s="2">
        <v>0</v>
      </c>
      <c r="AU179" s="2">
        <v>0</v>
      </c>
      <c r="AV179" s="2">
        <v>0</v>
      </c>
      <c r="AW179" s="39">
        <v>0</v>
      </c>
      <c r="AX179" s="2">
        <v>0</v>
      </c>
      <c r="AY179" s="2">
        <v>0</v>
      </c>
      <c r="AZ179" s="39">
        <v>0</v>
      </c>
      <c r="BA179" s="2">
        <v>1</v>
      </c>
      <c r="BB179" s="2">
        <v>0</v>
      </c>
      <c r="BC179" s="39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39">
        <v>0</v>
      </c>
      <c r="BL179" s="39">
        <v>0</v>
      </c>
      <c r="BM179" s="39">
        <v>0</v>
      </c>
      <c r="BN179" s="39">
        <v>0</v>
      </c>
      <c r="BO179" s="39">
        <v>0</v>
      </c>
      <c r="BP179" s="2">
        <v>0</v>
      </c>
      <c r="BQ179" s="2">
        <v>0</v>
      </c>
      <c r="BR179" s="39">
        <v>0</v>
      </c>
      <c r="BS179" s="44">
        <v>0</v>
      </c>
      <c r="BT179" s="2">
        <v>0</v>
      </c>
      <c r="BU179" s="39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45">
        <v>0</v>
      </c>
      <c r="CG179" s="67">
        <f t="shared" si="19"/>
        <v>1</v>
      </c>
      <c r="CH179" s="69">
        <f t="shared" si="20"/>
        <v>1</v>
      </c>
      <c r="CI179" s="30">
        <f t="shared" si="21"/>
        <v>0</v>
      </c>
      <c r="CJ179" s="30">
        <f t="shared" si="22"/>
        <v>0</v>
      </c>
      <c r="CK179" s="30">
        <f t="shared" si="23"/>
        <v>1</v>
      </c>
      <c r="CL179" s="67">
        <f t="shared" si="24"/>
        <v>1</v>
      </c>
      <c r="CM179" s="30">
        <v>1</v>
      </c>
      <c r="CN179" s="30">
        <v>0</v>
      </c>
      <c r="CO179" s="30">
        <v>0</v>
      </c>
      <c r="CP179" s="30">
        <v>0</v>
      </c>
      <c r="CQ179" s="67">
        <v>1</v>
      </c>
    </row>
    <row r="180" spans="1:95" x14ac:dyDescent="0.3">
      <c r="A180" s="9" t="s">
        <v>16</v>
      </c>
      <c r="B180" s="9" t="s">
        <v>0</v>
      </c>
      <c r="C180" s="9" t="s">
        <v>1</v>
      </c>
      <c r="D180" s="9" t="s">
        <v>4</v>
      </c>
      <c r="E180" s="9">
        <v>3</v>
      </c>
      <c r="F180" s="9" t="s">
        <v>6</v>
      </c>
      <c r="G180" s="9">
        <v>7</v>
      </c>
      <c r="H180" s="9">
        <v>6</v>
      </c>
      <c r="I180" s="9">
        <v>6.7169999999999996</v>
      </c>
      <c r="J180" s="9">
        <v>5.3750999999999998</v>
      </c>
      <c r="K180" s="9">
        <v>19.977668602054489</v>
      </c>
      <c r="L180" s="9">
        <v>23.212857142857146</v>
      </c>
      <c r="M180" s="7">
        <f t="shared" si="18"/>
        <v>2.0558924397915437</v>
      </c>
      <c r="N180" s="9">
        <v>46.37</v>
      </c>
      <c r="O180" s="9">
        <v>1.169</v>
      </c>
      <c r="P180" s="9">
        <v>7.3040000000000003</v>
      </c>
      <c r="Q180" s="9">
        <v>1.4470000000000001</v>
      </c>
      <c r="R180" s="9">
        <v>1.0879999999999999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39">
        <v>0</v>
      </c>
      <c r="AG180" s="40">
        <v>0</v>
      </c>
      <c r="AH180" s="2">
        <v>0</v>
      </c>
      <c r="AI180" s="2">
        <v>0</v>
      </c>
      <c r="AJ180" s="39">
        <v>0</v>
      </c>
      <c r="AK180" s="41">
        <v>0</v>
      </c>
      <c r="AL180" s="42">
        <v>0</v>
      </c>
      <c r="AM180" s="42">
        <v>0</v>
      </c>
      <c r="AN180" s="43">
        <v>0</v>
      </c>
      <c r="AO180" s="42">
        <v>0</v>
      </c>
      <c r="AP180" s="39">
        <v>0</v>
      </c>
      <c r="AQ180" s="2">
        <v>0</v>
      </c>
      <c r="AR180" s="39">
        <v>0</v>
      </c>
      <c r="AS180" s="41">
        <v>0</v>
      </c>
      <c r="AT180" s="2">
        <v>0</v>
      </c>
      <c r="AU180" s="2">
        <v>0</v>
      </c>
      <c r="AV180" s="2">
        <v>0</v>
      </c>
      <c r="AW180" s="39">
        <v>0</v>
      </c>
      <c r="AX180" s="2">
        <v>0</v>
      </c>
      <c r="AY180" s="2">
        <v>0</v>
      </c>
      <c r="AZ180" s="39">
        <v>0</v>
      </c>
      <c r="BA180" s="2">
        <v>0</v>
      </c>
      <c r="BB180" s="2">
        <v>0</v>
      </c>
      <c r="BC180" s="39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39">
        <v>0</v>
      </c>
      <c r="BL180" s="39">
        <v>0</v>
      </c>
      <c r="BM180" s="39">
        <v>0</v>
      </c>
      <c r="BN180" s="39">
        <v>0</v>
      </c>
      <c r="BO180" s="39">
        <v>0</v>
      </c>
      <c r="BP180" s="2">
        <v>0</v>
      </c>
      <c r="BQ180" s="2">
        <v>0</v>
      </c>
      <c r="BR180" s="39">
        <v>0</v>
      </c>
      <c r="BS180" s="44">
        <v>0</v>
      </c>
      <c r="BT180" s="2">
        <v>0</v>
      </c>
      <c r="BU180" s="39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1</v>
      </c>
      <c r="CF180" s="45">
        <v>0</v>
      </c>
      <c r="CG180" s="67">
        <f t="shared" si="19"/>
        <v>1</v>
      </c>
      <c r="CH180" s="69">
        <f t="shared" si="20"/>
        <v>1</v>
      </c>
      <c r="CI180" s="30">
        <f t="shared" si="21"/>
        <v>0</v>
      </c>
      <c r="CJ180" s="30">
        <f t="shared" si="22"/>
        <v>0</v>
      </c>
      <c r="CK180" s="30">
        <f t="shared" si="23"/>
        <v>1</v>
      </c>
      <c r="CL180" s="67">
        <f t="shared" si="24"/>
        <v>1</v>
      </c>
      <c r="CM180" s="30">
        <v>0</v>
      </c>
      <c r="CN180" s="30">
        <v>0</v>
      </c>
      <c r="CO180" s="30">
        <v>0</v>
      </c>
      <c r="CP180" s="30">
        <v>1</v>
      </c>
      <c r="CQ180" s="67">
        <v>0</v>
      </c>
    </row>
    <row r="181" spans="1:95" x14ac:dyDescent="0.3">
      <c r="A181" s="10">
        <v>11</v>
      </c>
      <c r="B181" s="10" t="s">
        <v>0</v>
      </c>
      <c r="C181" s="10" t="s">
        <v>14</v>
      </c>
      <c r="D181" s="10" t="s">
        <v>4</v>
      </c>
      <c r="E181" s="10">
        <v>3</v>
      </c>
      <c r="F181" s="10" t="s">
        <v>6</v>
      </c>
      <c r="G181" s="10">
        <v>7.07</v>
      </c>
      <c r="H181" s="10">
        <v>12</v>
      </c>
      <c r="I181" s="10">
        <v>13.567399999999999</v>
      </c>
      <c r="J181" s="10">
        <v>3.5796999999999999</v>
      </c>
      <c r="K181" s="10">
        <v>73.615431106918066</v>
      </c>
      <c r="L181" s="10">
        <v>49.367751060820368</v>
      </c>
      <c r="M181" s="7">
        <f t="shared" si="18"/>
        <v>3.1654881316778769</v>
      </c>
      <c r="N181" s="10">
        <v>47.02</v>
      </c>
      <c r="O181" s="10">
        <v>1.548</v>
      </c>
      <c r="P181" s="10">
        <v>9.6739999999999995</v>
      </c>
      <c r="Q181" s="10">
        <v>0.73</v>
      </c>
      <c r="R181" s="10">
        <v>0.45086999999999999</v>
      </c>
      <c r="S181" s="4">
        <v>2</v>
      </c>
      <c r="T181" s="4">
        <v>2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1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6">
        <v>0</v>
      </c>
      <c r="AG181" s="47">
        <v>6</v>
      </c>
      <c r="AH181" s="4">
        <v>1</v>
      </c>
      <c r="AI181" s="4">
        <v>0</v>
      </c>
      <c r="AJ181" s="46">
        <v>0</v>
      </c>
      <c r="AK181" s="48">
        <v>0</v>
      </c>
      <c r="AL181" s="49">
        <v>0</v>
      </c>
      <c r="AM181" s="49">
        <v>0</v>
      </c>
      <c r="AN181" s="50">
        <v>0</v>
      </c>
      <c r="AO181" s="49">
        <v>0</v>
      </c>
      <c r="AP181" s="46">
        <v>0</v>
      </c>
      <c r="AQ181" s="4">
        <v>1</v>
      </c>
      <c r="AR181" s="46">
        <v>0</v>
      </c>
      <c r="AS181" s="48">
        <v>0</v>
      </c>
      <c r="AT181" s="4">
        <v>0</v>
      </c>
      <c r="AU181" s="4">
        <v>0</v>
      </c>
      <c r="AV181" s="4">
        <v>0</v>
      </c>
      <c r="AW181" s="46">
        <v>0</v>
      </c>
      <c r="AX181" s="4">
        <v>0</v>
      </c>
      <c r="AY181" s="4">
        <v>0</v>
      </c>
      <c r="AZ181" s="46">
        <v>0</v>
      </c>
      <c r="BA181" s="4">
        <v>0</v>
      </c>
      <c r="BB181" s="4">
        <v>0</v>
      </c>
      <c r="BC181" s="46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6">
        <v>0</v>
      </c>
      <c r="BL181" s="46">
        <v>0</v>
      </c>
      <c r="BM181" s="46">
        <v>0</v>
      </c>
      <c r="BN181" s="46">
        <v>0</v>
      </c>
      <c r="BO181" s="46">
        <v>0</v>
      </c>
      <c r="BP181" s="4">
        <v>0</v>
      </c>
      <c r="BQ181" s="4">
        <v>0</v>
      </c>
      <c r="BR181" s="46">
        <v>0</v>
      </c>
      <c r="BS181" s="51">
        <v>0</v>
      </c>
      <c r="BT181" s="4">
        <v>0</v>
      </c>
      <c r="BU181" s="46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52">
        <v>0</v>
      </c>
      <c r="CG181" s="67">
        <f t="shared" si="19"/>
        <v>13</v>
      </c>
      <c r="CH181" s="69">
        <f t="shared" si="20"/>
        <v>6</v>
      </c>
      <c r="CI181" s="30">
        <f t="shared" si="21"/>
        <v>0</v>
      </c>
      <c r="CJ181" s="30">
        <f t="shared" si="22"/>
        <v>13</v>
      </c>
      <c r="CK181" s="30">
        <f t="shared" si="23"/>
        <v>0</v>
      </c>
      <c r="CL181" s="67">
        <f t="shared" si="24"/>
        <v>1</v>
      </c>
      <c r="CM181" s="30">
        <v>13</v>
      </c>
      <c r="CN181" s="30">
        <v>0</v>
      </c>
      <c r="CO181" s="30">
        <v>0</v>
      </c>
      <c r="CP181" s="30">
        <v>0</v>
      </c>
      <c r="CQ181" s="67">
        <v>1</v>
      </c>
    </row>
    <row r="182" spans="1:95" x14ac:dyDescent="0.3">
      <c r="A182" s="10">
        <v>18</v>
      </c>
      <c r="B182" s="10" t="s">
        <v>0</v>
      </c>
      <c r="C182" s="10" t="s">
        <v>1</v>
      </c>
      <c r="D182" s="10" t="s">
        <v>4</v>
      </c>
      <c r="E182" s="10">
        <v>2</v>
      </c>
      <c r="F182" s="10" t="s">
        <v>6</v>
      </c>
      <c r="G182" s="10">
        <v>7</v>
      </c>
      <c r="H182" s="10">
        <v>12</v>
      </c>
      <c r="I182" s="10">
        <v>19.3688</v>
      </c>
      <c r="J182" s="10">
        <v>3.8382000000000001</v>
      </c>
      <c r="K182" s="10">
        <v>80.183594234025861</v>
      </c>
      <c r="L182" s="10">
        <v>45.168571428571433</v>
      </c>
      <c r="M182" s="7">
        <f t="shared" si="18"/>
        <v>3.0858132921413035</v>
      </c>
      <c r="N182" s="10">
        <v>47.66</v>
      </c>
      <c r="O182" s="10">
        <v>1.655</v>
      </c>
      <c r="P182" s="10">
        <v>10.342000000000001</v>
      </c>
      <c r="Q182" s="10">
        <v>0.71499999999999997</v>
      </c>
      <c r="R182" s="10">
        <v>0.67800000000000005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</v>
      </c>
      <c r="AC182" s="4">
        <v>0</v>
      </c>
      <c r="AD182" s="4">
        <v>1</v>
      </c>
      <c r="AE182" s="4">
        <v>0</v>
      </c>
      <c r="AF182" s="46">
        <v>0</v>
      </c>
      <c r="AG182" s="47">
        <v>1</v>
      </c>
      <c r="AH182" s="4">
        <v>1</v>
      </c>
      <c r="AI182" s="4">
        <v>0</v>
      </c>
      <c r="AJ182" s="46">
        <v>1</v>
      </c>
      <c r="AK182" s="48">
        <v>0</v>
      </c>
      <c r="AL182" s="49">
        <v>0</v>
      </c>
      <c r="AM182" s="49">
        <v>0</v>
      </c>
      <c r="AN182" s="50">
        <v>0</v>
      </c>
      <c r="AO182" s="49">
        <v>0</v>
      </c>
      <c r="AP182" s="46">
        <v>0</v>
      </c>
      <c r="AQ182" s="4">
        <v>1</v>
      </c>
      <c r="AR182" s="46">
        <v>0</v>
      </c>
      <c r="AS182" s="48">
        <v>0</v>
      </c>
      <c r="AT182" s="4">
        <v>0</v>
      </c>
      <c r="AU182" s="4">
        <v>0</v>
      </c>
      <c r="AV182" s="4">
        <v>0</v>
      </c>
      <c r="AW182" s="46">
        <v>0</v>
      </c>
      <c r="AX182" s="4">
        <v>0</v>
      </c>
      <c r="AY182" s="4">
        <v>0</v>
      </c>
      <c r="AZ182" s="46">
        <v>0</v>
      </c>
      <c r="BA182" s="4">
        <v>0</v>
      </c>
      <c r="BB182" s="4">
        <v>0</v>
      </c>
      <c r="BC182" s="46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6">
        <v>0</v>
      </c>
      <c r="BL182" s="46">
        <v>0</v>
      </c>
      <c r="BM182" s="46">
        <v>0</v>
      </c>
      <c r="BN182" s="46">
        <v>0</v>
      </c>
      <c r="BO182" s="46">
        <v>0</v>
      </c>
      <c r="BP182" s="4">
        <v>0</v>
      </c>
      <c r="BQ182" s="4">
        <v>0</v>
      </c>
      <c r="BR182" s="46">
        <v>0</v>
      </c>
      <c r="BS182" s="51">
        <v>0</v>
      </c>
      <c r="BT182" s="4">
        <v>0</v>
      </c>
      <c r="BU182" s="46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52">
        <v>0</v>
      </c>
      <c r="CG182" s="67">
        <f t="shared" si="19"/>
        <v>7</v>
      </c>
      <c r="CH182" s="69">
        <f t="shared" si="20"/>
        <v>6</v>
      </c>
      <c r="CI182" s="30">
        <f t="shared" si="21"/>
        <v>0</v>
      </c>
      <c r="CJ182" s="30">
        <f t="shared" si="22"/>
        <v>7</v>
      </c>
      <c r="CK182" s="30">
        <f t="shared" si="23"/>
        <v>0</v>
      </c>
      <c r="CL182" s="67">
        <f t="shared" si="24"/>
        <v>1</v>
      </c>
      <c r="CM182" s="30">
        <v>6</v>
      </c>
      <c r="CN182" s="30">
        <v>0</v>
      </c>
      <c r="CO182" s="30">
        <v>0</v>
      </c>
      <c r="CP182" s="30">
        <v>1</v>
      </c>
      <c r="CQ182" s="67">
        <v>1</v>
      </c>
    </row>
    <row r="183" spans="1:95" x14ac:dyDescent="0.3">
      <c r="A183" s="10">
        <v>24</v>
      </c>
      <c r="B183" s="10" t="s">
        <v>0</v>
      </c>
      <c r="C183" s="10" t="s">
        <v>1</v>
      </c>
      <c r="D183" s="10" t="s">
        <v>4</v>
      </c>
      <c r="E183" s="10">
        <v>1</v>
      </c>
      <c r="F183" s="10" t="s">
        <v>6</v>
      </c>
      <c r="G183" s="10">
        <v>7.0499999999999989</v>
      </c>
      <c r="H183" s="10">
        <v>12</v>
      </c>
      <c r="I183" s="10">
        <v>15.951599999999999</v>
      </c>
      <c r="J183" s="10">
        <v>2.6318000000000001</v>
      </c>
      <c r="K183" s="10">
        <v>83.501341558213596</v>
      </c>
      <c r="L183" s="10">
        <v>62.669503546099278</v>
      </c>
      <c r="M183" s="7">
        <f t="shared" si="18"/>
        <v>3.4702662438782741</v>
      </c>
      <c r="N183" s="10">
        <v>44.89</v>
      </c>
      <c r="O183" s="10">
        <v>1.484</v>
      </c>
      <c r="P183" s="10">
        <v>9.2750000000000004</v>
      </c>
      <c r="Q183" s="10">
        <v>0.35799999999999998</v>
      </c>
      <c r="R183" s="10">
        <v>2.5869999999999997E-2</v>
      </c>
      <c r="S183" s="4">
        <v>2</v>
      </c>
      <c r="T183" s="4">
        <v>0</v>
      </c>
      <c r="U183" s="4">
        <v>0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0</v>
      </c>
      <c r="AE183" s="4">
        <v>0</v>
      </c>
      <c r="AF183" s="46">
        <v>0</v>
      </c>
      <c r="AG183" s="47">
        <v>2</v>
      </c>
      <c r="AH183" s="4">
        <v>0</v>
      </c>
      <c r="AI183" s="4">
        <v>0</v>
      </c>
      <c r="AJ183" s="46">
        <v>0</v>
      </c>
      <c r="AK183" s="48">
        <v>0</v>
      </c>
      <c r="AL183" s="49">
        <v>0</v>
      </c>
      <c r="AM183" s="49">
        <v>0</v>
      </c>
      <c r="AN183" s="50">
        <v>0</v>
      </c>
      <c r="AO183" s="49">
        <v>0</v>
      </c>
      <c r="AP183" s="46">
        <v>0</v>
      </c>
      <c r="AQ183" s="4">
        <v>4</v>
      </c>
      <c r="AR183" s="46">
        <v>0</v>
      </c>
      <c r="AS183" s="48">
        <v>3</v>
      </c>
      <c r="AT183" s="4">
        <v>0</v>
      </c>
      <c r="AU183" s="4">
        <v>0</v>
      </c>
      <c r="AV183" s="4">
        <v>0</v>
      </c>
      <c r="AW183" s="46">
        <v>0</v>
      </c>
      <c r="AX183" s="4">
        <v>0</v>
      </c>
      <c r="AY183" s="4">
        <v>0</v>
      </c>
      <c r="AZ183" s="46">
        <v>0</v>
      </c>
      <c r="BA183" s="4">
        <v>0</v>
      </c>
      <c r="BB183" s="4">
        <v>0</v>
      </c>
      <c r="BC183" s="46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6">
        <v>0</v>
      </c>
      <c r="BL183" s="46">
        <v>0</v>
      </c>
      <c r="BM183" s="46">
        <v>0</v>
      </c>
      <c r="BN183" s="46">
        <v>0</v>
      </c>
      <c r="BO183" s="46">
        <v>0</v>
      </c>
      <c r="BP183" s="4">
        <v>0</v>
      </c>
      <c r="BQ183" s="4">
        <v>0</v>
      </c>
      <c r="BR183" s="46">
        <v>0</v>
      </c>
      <c r="BS183" s="51">
        <v>0</v>
      </c>
      <c r="BT183" s="4">
        <v>0</v>
      </c>
      <c r="BU183" s="46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52">
        <v>0</v>
      </c>
      <c r="CG183" s="67">
        <f t="shared" si="19"/>
        <v>13</v>
      </c>
      <c r="CH183" s="69">
        <f t="shared" si="20"/>
        <v>6</v>
      </c>
      <c r="CI183" s="30">
        <f t="shared" si="21"/>
        <v>3</v>
      </c>
      <c r="CJ183" s="30">
        <f t="shared" si="22"/>
        <v>10</v>
      </c>
      <c r="CK183" s="30">
        <f t="shared" si="23"/>
        <v>0</v>
      </c>
      <c r="CL183" s="67">
        <f t="shared" si="24"/>
        <v>2</v>
      </c>
      <c r="CM183" s="30">
        <v>13</v>
      </c>
      <c r="CN183" s="30">
        <v>0</v>
      </c>
      <c r="CO183" s="30">
        <v>0</v>
      </c>
      <c r="CP183" s="30">
        <v>0</v>
      </c>
      <c r="CQ183" s="67">
        <v>1</v>
      </c>
    </row>
    <row r="184" spans="1:95" x14ac:dyDescent="0.3">
      <c r="A184" s="10">
        <v>29</v>
      </c>
      <c r="B184" s="10" t="s">
        <v>0</v>
      </c>
      <c r="C184" s="10" t="s">
        <v>14</v>
      </c>
      <c r="D184" s="10" t="s">
        <v>4</v>
      </c>
      <c r="E184" s="10">
        <v>2</v>
      </c>
      <c r="F184" s="10" t="s">
        <v>6</v>
      </c>
      <c r="G184" s="10">
        <v>6.84</v>
      </c>
      <c r="H184" s="10">
        <v>12</v>
      </c>
      <c r="I184" s="10">
        <v>13.091100000000001</v>
      </c>
      <c r="J184" s="10">
        <v>3.4125000000000001</v>
      </c>
      <c r="K184" s="10">
        <v>73.932671815202696</v>
      </c>
      <c r="L184" s="10">
        <v>50.109649122807021</v>
      </c>
      <c r="M184" s="7">
        <f t="shared" si="18"/>
        <v>3.1802492209113811</v>
      </c>
      <c r="N184" s="10">
        <v>46.53</v>
      </c>
      <c r="O184" s="10">
        <v>1.6339999999999999</v>
      </c>
      <c r="P184" s="10">
        <v>10.211</v>
      </c>
      <c r="Q184" s="10">
        <v>0.69899999999999995</v>
      </c>
      <c r="R184" s="10">
        <v>0.26186999999999999</v>
      </c>
      <c r="S184" s="4">
        <v>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6">
        <v>0</v>
      </c>
      <c r="AG184" s="47">
        <v>3</v>
      </c>
      <c r="AH184" s="4">
        <v>0</v>
      </c>
      <c r="AI184" s="4">
        <v>0</v>
      </c>
      <c r="AJ184" s="46">
        <v>0</v>
      </c>
      <c r="AK184" s="48">
        <v>0</v>
      </c>
      <c r="AL184" s="49">
        <v>0</v>
      </c>
      <c r="AM184" s="49">
        <v>0</v>
      </c>
      <c r="AN184" s="50">
        <v>0</v>
      </c>
      <c r="AO184" s="49">
        <v>0</v>
      </c>
      <c r="AP184" s="46">
        <v>0</v>
      </c>
      <c r="AQ184" s="4">
        <v>0</v>
      </c>
      <c r="AR184" s="46">
        <v>0</v>
      </c>
      <c r="AS184" s="48">
        <v>0</v>
      </c>
      <c r="AT184" s="4">
        <v>0</v>
      </c>
      <c r="AU184" s="4">
        <v>0</v>
      </c>
      <c r="AV184" s="4">
        <v>0</v>
      </c>
      <c r="AW184" s="46">
        <v>0</v>
      </c>
      <c r="AX184" s="4">
        <v>0</v>
      </c>
      <c r="AY184" s="4">
        <v>0</v>
      </c>
      <c r="AZ184" s="46">
        <v>0</v>
      </c>
      <c r="BA184" s="4">
        <v>0</v>
      </c>
      <c r="BB184" s="4">
        <v>0</v>
      </c>
      <c r="BC184" s="46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6">
        <v>0</v>
      </c>
      <c r="BL184" s="46">
        <v>0</v>
      </c>
      <c r="BM184" s="46">
        <v>0</v>
      </c>
      <c r="BN184" s="46">
        <v>0</v>
      </c>
      <c r="BO184" s="46">
        <v>0</v>
      </c>
      <c r="BP184" s="4">
        <v>0</v>
      </c>
      <c r="BQ184" s="4">
        <v>0</v>
      </c>
      <c r="BR184" s="46">
        <v>0</v>
      </c>
      <c r="BS184" s="51">
        <v>0</v>
      </c>
      <c r="BT184" s="4">
        <v>0</v>
      </c>
      <c r="BU184" s="46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52">
        <v>0</v>
      </c>
      <c r="CG184" s="67">
        <f t="shared" si="19"/>
        <v>6</v>
      </c>
      <c r="CH184" s="69">
        <f t="shared" si="20"/>
        <v>2</v>
      </c>
      <c r="CI184" s="30">
        <f t="shared" si="21"/>
        <v>0</v>
      </c>
      <c r="CJ184" s="30">
        <f t="shared" si="22"/>
        <v>6</v>
      </c>
      <c r="CK184" s="30">
        <f t="shared" si="23"/>
        <v>0</v>
      </c>
      <c r="CL184" s="67">
        <f t="shared" si="24"/>
        <v>1</v>
      </c>
      <c r="CM184" s="30">
        <v>6</v>
      </c>
      <c r="CN184" s="30">
        <v>0</v>
      </c>
      <c r="CO184" s="30">
        <v>0</v>
      </c>
      <c r="CP184" s="30">
        <v>0</v>
      </c>
      <c r="CQ184" s="67">
        <v>1</v>
      </c>
    </row>
    <row r="185" spans="1:95" x14ac:dyDescent="0.3">
      <c r="A185" s="10">
        <v>31</v>
      </c>
      <c r="B185" s="10" t="s">
        <v>0</v>
      </c>
      <c r="C185" s="10" t="s">
        <v>14</v>
      </c>
      <c r="D185" s="10" t="s">
        <v>4</v>
      </c>
      <c r="E185" s="10">
        <v>4</v>
      </c>
      <c r="F185" s="10" t="s">
        <v>6</v>
      </c>
      <c r="G185" s="10">
        <v>7.05</v>
      </c>
      <c r="H185" s="10">
        <v>12</v>
      </c>
      <c r="I185" s="10">
        <v>17.513200000000001</v>
      </c>
      <c r="J185" s="10">
        <v>3.3472</v>
      </c>
      <c r="K185" s="10">
        <v>80.88755909828015</v>
      </c>
      <c r="L185" s="10">
        <v>52.521985815602832</v>
      </c>
      <c r="M185" s="7">
        <f t="shared" si="18"/>
        <v>3.2298100911637655</v>
      </c>
      <c r="N185" s="10">
        <v>46.32</v>
      </c>
      <c r="O185" s="10">
        <v>1.7509999999999999</v>
      </c>
      <c r="P185" s="10">
        <v>10.941000000000001</v>
      </c>
      <c r="Q185" s="10">
        <v>0.46400000000000002</v>
      </c>
      <c r="R185" s="10">
        <v>0.38200000000000001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6">
        <v>0</v>
      </c>
      <c r="AG185" s="47">
        <v>16</v>
      </c>
      <c r="AH185" s="4">
        <v>0</v>
      </c>
      <c r="AI185" s="4">
        <v>0</v>
      </c>
      <c r="AJ185" s="46">
        <v>0</v>
      </c>
      <c r="AK185" s="48">
        <v>0</v>
      </c>
      <c r="AL185" s="49">
        <v>0</v>
      </c>
      <c r="AM185" s="49">
        <v>0</v>
      </c>
      <c r="AN185" s="50">
        <v>0</v>
      </c>
      <c r="AO185" s="49">
        <v>0</v>
      </c>
      <c r="AP185" s="46">
        <v>0</v>
      </c>
      <c r="AQ185" s="4">
        <v>0</v>
      </c>
      <c r="AR185" s="46">
        <v>0</v>
      </c>
      <c r="AS185" s="48">
        <v>0</v>
      </c>
      <c r="AT185" s="4">
        <v>0</v>
      </c>
      <c r="AU185" s="4">
        <v>0</v>
      </c>
      <c r="AV185" s="4">
        <v>0</v>
      </c>
      <c r="AW185" s="46">
        <v>0</v>
      </c>
      <c r="AX185" s="4">
        <v>0</v>
      </c>
      <c r="AY185" s="4">
        <v>0</v>
      </c>
      <c r="AZ185" s="46">
        <v>0</v>
      </c>
      <c r="BA185" s="4">
        <v>0</v>
      </c>
      <c r="BB185" s="4">
        <v>0</v>
      </c>
      <c r="BC185" s="46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6">
        <v>0</v>
      </c>
      <c r="BL185" s="46">
        <v>0</v>
      </c>
      <c r="BM185" s="46">
        <v>0</v>
      </c>
      <c r="BN185" s="46">
        <v>0</v>
      </c>
      <c r="BO185" s="46">
        <v>0</v>
      </c>
      <c r="BP185" s="4">
        <v>0</v>
      </c>
      <c r="BQ185" s="4">
        <v>0</v>
      </c>
      <c r="BR185" s="46">
        <v>0</v>
      </c>
      <c r="BS185" s="51">
        <v>0</v>
      </c>
      <c r="BT185" s="4">
        <v>0</v>
      </c>
      <c r="BU185" s="46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52">
        <v>0</v>
      </c>
      <c r="CG185" s="67">
        <f t="shared" si="19"/>
        <v>16</v>
      </c>
      <c r="CH185" s="69">
        <f t="shared" si="20"/>
        <v>1</v>
      </c>
      <c r="CI185" s="30">
        <f t="shared" si="21"/>
        <v>0</v>
      </c>
      <c r="CJ185" s="30">
        <f t="shared" si="22"/>
        <v>16</v>
      </c>
      <c r="CK185" s="30">
        <f t="shared" si="23"/>
        <v>0</v>
      </c>
      <c r="CL185" s="67">
        <f t="shared" si="24"/>
        <v>1</v>
      </c>
      <c r="CM185" s="30">
        <v>16</v>
      </c>
      <c r="CN185" s="30">
        <v>0</v>
      </c>
      <c r="CO185" s="30">
        <v>0</v>
      </c>
      <c r="CP185" s="30">
        <v>0</v>
      </c>
      <c r="CQ185" s="67">
        <v>1</v>
      </c>
    </row>
    <row r="186" spans="1:95" x14ac:dyDescent="0.3">
      <c r="A186" s="10">
        <v>45</v>
      </c>
      <c r="B186" s="10" t="s">
        <v>0</v>
      </c>
      <c r="C186" s="10" t="s">
        <v>1</v>
      </c>
      <c r="D186" s="10" t="s">
        <v>4</v>
      </c>
      <c r="E186" s="10">
        <v>5</v>
      </c>
      <c r="F186" s="10" t="s">
        <v>6</v>
      </c>
      <c r="G186" s="10">
        <v>7.12</v>
      </c>
      <c r="H186" s="10">
        <v>12</v>
      </c>
      <c r="I186" s="10">
        <v>23.743300000000001</v>
      </c>
      <c r="J186" s="10">
        <v>1.5018</v>
      </c>
      <c r="K186" s="10">
        <v>93.67484722005787</v>
      </c>
      <c r="L186" s="10">
        <v>78.907303370786522</v>
      </c>
      <c r="M186" s="7">
        <f t="shared" si="18"/>
        <v>4.0411499865282385</v>
      </c>
      <c r="N186" s="10">
        <v>36.51</v>
      </c>
      <c r="O186" s="10">
        <v>1.5880000000000001</v>
      </c>
      <c r="P186" s="10">
        <v>9.9280000000000008</v>
      </c>
      <c r="Q186" s="10">
        <v>0.46700000000000003</v>
      </c>
      <c r="R186" s="10">
        <v>0.34100000000000008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6">
        <v>0</v>
      </c>
      <c r="AG186" s="47">
        <v>0</v>
      </c>
      <c r="AH186" s="4">
        <v>0</v>
      </c>
      <c r="AI186" s="4">
        <v>0</v>
      </c>
      <c r="AJ186" s="46">
        <v>0</v>
      </c>
      <c r="AK186" s="48">
        <v>0</v>
      </c>
      <c r="AL186" s="49">
        <v>0</v>
      </c>
      <c r="AM186" s="49">
        <v>0</v>
      </c>
      <c r="AN186" s="50">
        <v>0</v>
      </c>
      <c r="AO186" s="49">
        <v>0</v>
      </c>
      <c r="AP186" s="46">
        <v>0</v>
      </c>
      <c r="AQ186" s="4">
        <v>0</v>
      </c>
      <c r="AR186" s="46">
        <v>0</v>
      </c>
      <c r="AS186" s="48">
        <v>0</v>
      </c>
      <c r="AT186" s="4">
        <v>0</v>
      </c>
      <c r="AU186" s="4">
        <v>0</v>
      </c>
      <c r="AV186" s="4">
        <v>0</v>
      </c>
      <c r="AW186" s="46">
        <v>0</v>
      </c>
      <c r="AX186" s="4">
        <v>0</v>
      </c>
      <c r="AY186" s="4">
        <v>0</v>
      </c>
      <c r="AZ186" s="46">
        <v>0</v>
      </c>
      <c r="BA186" s="4">
        <v>0</v>
      </c>
      <c r="BB186" s="4">
        <v>0</v>
      </c>
      <c r="BC186" s="46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6">
        <v>0</v>
      </c>
      <c r="BL186" s="46">
        <v>0</v>
      </c>
      <c r="BM186" s="46">
        <v>0</v>
      </c>
      <c r="BN186" s="46">
        <v>0</v>
      </c>
      <c r="BO186" s="46">
        <v>0</v>
      </c>
      <c r="BP186" s="4">
        <v>0</v>
      </c>
      <c r="BQ186" s="4">
        <v>0</v>
      </c>
      <c r="BR186" s="46">
        <v>0</v>
      </c>
      <c r="BS186" s="51">
        <v>0</v>
      </c>
      <c r="BT186" s="4">
        <v>0</v>
      </c>
      <c r="BU186" s="46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52">
        <v>0</v>
      </c>
      <c r="CG186" s="67">
        <f t="shared" si="19"/>
        <v>0</v>
      </c>
      <c r="CH186" s="69">
        <f t="shared" si="20"/>
        <v>0</v>
      </c>
      <c r="CI186" s="30">
        <f t="shared" si="21"/>
        <v>0</v>
      </c>
      <c r="CJ186" s="30">
        <f t="shared" si="22"/>
        <v>0</v>
      </c>
      <c r="CK186" s="30">
        <f t="shared" si="23"/>
        <v>0</v>
      </c>
      <c r="CL186" s="67">
        <f t="shared" si="24"/>
        <v>0</v>
      </c>
      <c r="CM186" s="30">
        <v>0</v>
      </c>
      <c r="CN186" s="30">
        <v>0</v>
      </c>
      <c r="CO186" s="30">
        <v>0</v>
      </c>
      <c r="CP186" s="30">
        <v>0</v>
      </c>
      <c r="CQ186" s="67">
        <v>0</v>
      </c>
    </row>
    <row r="187" spans="1:95" x14ac:dyDescent="0.3">
      <c r="A187" s="10">
        <v>59</v>
      </c>
      <c r="B187" s="10" t="s">
        <v>0</v>
      </c>
      <c r="C187" s="10" t="s">
        <v>14</v>
      </c>
      <c r="D187" s="10" t="s">
        <v>4</v>
      </c>
      <c r="E187" s="10">
        <v>5</v>
      </c>
      <c r="F187" s="10" t="s">
        <v>6</v>
      </c>
      <c r="G187" s="10">
        <v>6.97</v>
      </c>
      <c r="H187" s="10">
        <v>12</v>
      </c>
      <c r="I187" s="10">
        <v>17.6935</v>
      </c>
      <c r="J187" s="10">
        <v>2.2808999999999999</v>
      </c>
      <c r="K187" s="10">
        <v>87.108825274818443</v>
      </c>
      <c r="L187" s="10">
        <v>67.275466284074597</v>
      </c>
      <c r="M187" s="7">
        <f t="shared" si="18"/>
        <v>3.6019517726400694</v>
      </c>
      <c r="N187" s="10">
        <v>46.75</v>
      </c>
      <c r="O187" s="10">
        <v>1.694</v>
      </c>
      <c r="P187" s="10">
        <v>10.586</v>
      </c>
      <c r="Q187" s="10">
        <v>0.316</v>
      </c>
      <c r="R187" s="10">
        <v>3.8870000000000002E-2</v>
      </c>
      <c r="S187" s="4">
        <v>1</v>
      </c>
      <c r="T187" s="4">
        <v>0</v>
      </c>
      <c r="U187" s="4">
        <v>0</v>
      </c>
      <c r="V187" s="4">
        <v>1</v>
      </c>
      <c r="W187" s="4">
        <v>4</v>
      </c>
      <c r="X187" s="4">
        <v>1</v>
      </c>
      <c r="Y187" s="4">
        <v>0</v>
      </c>
      <c r="Z187" s="4">
        <v>0</v>
      </c>
      <c r="AA187" s="4">
        <v>0</v>
      </c>
      <c r="AB187" s="4">
        <v>4</v>
      </c>
      <c r="AC187" s="4">
        <v>0</v>
      </c>
      <c r="AD187" s="4">
        <v>0</v>
      </c>
      <c r="AE187" s="4">
        <v>0</v>
      </c>
      <c r="AF187" s="46">
        <v>0</v>
      </c>
      <c r="AG187" s="47">
        <v>4</v>
      </c>
      <c r="AH187" s="4">
        <v>2</v>
      </c>
      <c r="AI187" s="4">
        <v>0</v>
      </c>
      <c r="AJ187" s="46">
        <v>0</v>
      </c>
      <c r="AK187" s="48">
        <v>0</v>
      </c>
      <c r="AL187" s="49">
        <v>0</v>
      </c>
      <c r="AM187" s="49">
        <v>0</v>
      </c>
      <c r="AN187" s="50">
        <v>0</v>
      </c>
      <c r="AO187" s="49">
        <v>0</v>
      </c>
      <c r="AP187" s="46">
        <v>0</v>
      </c>
      <c r="AQ187" s="4">
        <v>0</v>
      </c>
      <c r="AR187" s="46">
        <v>0</v>
      </c>
      <c r="AS187" s="48">
        <v>0</v>
      </c>
      <c r="AT187" s="4">
        <v>0</v>
      </c>
      <c r="AU187" s="4">
        <v>0</v>
      </c>
      <c r="AV187" s="4">
        <v>0</v>
      </c>
      <c r="AW187" s="46">
        <v>0</v>
      </c>
      <c r="AX187" s="4">
        <v>0</v>
      </c>
      <c r="AY187" s="4">
        <v>0</v>
      </c>
      <c r="AZ187" s="46">
        <v>0</v>
      </c>
      <c r="BA187" s="4">
        <v>0</v>
      </c>
      <c r="BB187" s="4">
        <v>0</v>
      </c>
      <c r="BC187" s="46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6">
        <v>0</v>
      </c>
      <c r="BL187" s="46">
        <v>0</v>
      </c>
      <c r="BM187" s="46">
        <v>0</v>
      </c>
      <c r="BN187" s="46">
        <v>0</v>
      </c>
      <c r="BO187" s="46">
        <v>0</v>
      </c>
      <c r="BP187" s="4">
        <v>0</v>
      </c>
      <c r="BQ187" s="4">
        <v>0</v>
      </c>
      <c r="BR187" s="46">
        <v>0</v>
      </c>
      <c r="BS187" s="51">
        <v>0</v>
      </c>
      <c r="BT187" s="4">
        <v>0</v>
      </c>
      <c r="BU187" s="46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52">
        <v>0</v>
      </c>
      <c r="CG187" s="67">
        <f t="shared" si="19"/>
        <v>17</v>
      </c>
      <c r="CH187" s="69">
        <f t="shared" si="20"/>
        <v>7</v>
      </c>
      <c r="CI187" s="30">
        <f t="shared" si="21"/>
        <v>0</v>
      </c>
      <c r="CJ187" s="30">
        <f t="shared" si="22"/>
        <v>17</v>
      </c>
      <c r="CK187" s="30">
        <f t="shared" si="23"/>
        <v>0</v>
      </c>
      <c r="CL187" s="67">
        <f t="shared" si="24"/>
        <v>1</v>
      </c>
      <c r="CM187" s="30">
        <v>17</v>
      </c>
      <c r="CN187" s="30">
        <v>0</v>
      </c>
      <c r="CO187" s="30">
        <v>0</v>
      </c>
      <c r="CP187" s="30">
        <v>0</v>
      </c>
      <c r="CQ187" s="67">
        <v>1</v>
      </c>
    </row>
    <row r="188" spans="1:95" x14ac:dyDescent="0.3">
      <c r="A188" s="10">
        <v>60</v>
      </c>
      <c r="B188" s="10" t="s">
        <v>0</v>
      </c>
      <c r="C188" s="10" t="s">
        <v>14</v>
      </c>
      <c r="D188" s="10" t="s">
        <v>4</v>
      </c>
      <c r="E188" s="10">
        <v>1</v>
      </c>
      <c r="F188" s="10" t="s">
        <v>6</v>
      </c>
      <c r="G188" s="10">
        <v>6.97</v>
      </c>
      <c r="H188" s="10">
        <v>12</v>
      </c>
      <c r="I188" s="10">
        <v>19.230599999999999</v>
      </c>
      <c r="J188" s="10">
        <v>3.5104000000000002</v>
      </c>
      <c r="K188" s="10">
        <v>81.745759362682392</v>
      </c>
      <c r="L188" s="10">
        <v>49.63558106169296</v>
      </c>
      <c r="M188" s="7">
        <f t="shared" si="18"/>
        <v>3.1707918834616589</v>
      </c>
      <c r="N188" s="10">
        <v>46.1</v>
      </c>
      <c r="O188" s="10">
        <v>1.5329999999999999</v>
      </c>
      <c r="P188" s="10">
        <v>9.5809999999999995</v>
      </c>
      <c r="Q188" s="10">
        <v>0.58699999999999997</v>
      </c>
      <c r="R188" s="10">
        <v>0.25900000000000001</v>
      </c>
      <c r="S188" s="4">
        <v>7</v>
      </c>
      <c r="T188" s="4">
        <v>3</v>
      </c>
      <c r="U188" s="4">
        <v>0</v>
      </c>
      <c r="V188" s="4">
        <v>0</v>
      </c>
      <c r="W188" s="4">
        <v>0</v>
      </c>
      <c r="X188" s="4">
        <v>1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6">
        <v>0</v>
      </c>
      <c r="AG188" s="47">
        <v>27</v>
      </c>
      <c r="AH188" s="4">
        <v>0</v>
      </c>
      <c r="AI188" s="4">
        <v>0</v>
      </c>
      <c r="AJ188" s="46">
        <v>0</v>
      </c>
      <c r="AK188" s="48">
        <v>0</v>
      </c>
      <c r="AL188" s="49">
        <v>0</v>
      </c>
      <c r="AM188" s="49">
        <v>0</v>
      </c>
      <c r="AN188" s="50">
        <v>0</v>
      </c>
      <c r="AO188" s="49">
        <v>0</v>
      </c>
      <c r="AP188" s="46">
        <v>0</v>
      </c>
      <c r="AQ188" s="4">
        <v>0</v>
      </c>
      <c r="AR188" s="46">
        <v>0</v>
      </c>
      <c r="AS188" s="48">
        <v>6</v>
      </c>
      <c r="AT188" s="4">
        <v>0</v>
      </c>
      <c r="AU188" s="4">
        <v>0</v>
      </c>
      <c r="AV188" s="4">
        <v>0</v>
      </c>
      <c r="AW188" s="46">
        <v>0</v>
      </c>
      <c r="AX188" s="4">
        <v>0</v>
      </c>
      <c r="AY188" s="4">
        <v>0</v>
      </c>
      <c r="AZ188" s="46">
        <v>0</v>
      </c>
      <c r="BA188" s="4">
        <v>0</v>
      </c>
      <c r="BB188" s="4">
        <v>0</v>
      </c>
      <c r="BC188" s="46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6">
        <v>0</v>
      </c>
      <c r="BL188" s="46">
        <v>0</v>
      </c>
      <c r="BM188" s="46">
        <v>0</v>
      </c>
      <c r="BN188" s="46">
        <v>0</v>
      </c>
      <c r="BO188" s="46">
        <v>0</v>
      </c>
      <c r="BP188" s="4">
        <v>0</v>
      </c>
      <c r="BQ188" s="4">
        <v>0</v>
      </c>
      <c r="BR188" s="46">
        <v>0</v>
      </c>
      <c r="BS188" s="51">
        <v>0</v>
      </c>
      <c r="BT188" s="4">
        <v>0</v>
      </c>
      <c r="BU188" s="46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52">
        <v>0</v>
      </c>
      <c r="CG188" s="67">
        <f t="shared" si="19"/>
        <v>44</v>
      </c>
      <c r="CH188" s="69">
        <f t="shared" si="20"/>
        <v>5</v>
      </c>
      <c r="CI188" s="30">
        <f t="shared" si="21"/>
        <v>6</v>
      </c>
      <c r="CJ188" s="30">
        <f t="shared" si="22"/>
        <v>38</v>
      </c>
      <c r="CK188" s="30">
        <f t="shared" si="23"/>
        <v>0</v>
      </c>
      <c r="CL188" s="67">
        <f t="shared" si="24"/>
        <v>2</v>
      </c>
      <c r="CM188" s="30">
        <v>44</v>
      </c>
      <c r="CN188" s="30">
        <v>0</v>
      </c>
      <c r="CO188" s="30">
        <v>0</v>
      </c>
      <c r="CP188" s="30">
        <v>0</v>
      </c>
      <c r="CQ188" s="67">
        <v>1</v>
      </c>
    </row>
    <row r="189" spans="1:95" x14ac:dyDescent="0.3">
      <c r="A189" s="10">
        <v>123</v>
      </c>
      <c r="B189" s="10" t="s">
        <v>0</v>
      </c>
      <c r="C189" s="10" t="s">
        <v>1</v>
      </c>
      <c r="D189" s="10" t="s">
        <v>5</v>
      </c>
      <c r="E189" s="10">
        <v>4</v>
      </c>
      <c r="F189" s="10" t="s">
        <v>6</v>
      </c>
      <c r="G189" s="10">
        <v>7.08</v>
      </c>
      <c r="H189" s="10">
        <v>12</v>
      </c>
      <c r="I189" s="10">
        <v>16.367599999999999</v>
      </c>
      <c r="J189" s="10">
        <v>3.4882</v>
      </c>
      <c r="K189" s="10">
        <v>78.688384369119476</v>
      </c>
      <c r="L189" s="10">
        <v>50.731638418079093</v>
      </c>
      <c r="M189" s="7">
        <f t="shared" si="18"/>
        <v>3.1927947136411978</v>
      </c>
      <c r="N189" s="10">
        <v>46.41</v>
      </c>
      <c r="O189" s="10">
        <v>1.514</v>
      </c>
      <c r="P189" s="10">
        <v>9.4619999999999997</v>
      </c>
      <c r="Q189" s="10">
        <v>0.39300000000000002</v>
      </c>
      <c r="R189" s="10">
        <v>0.29100000000000004</v>
      </c>
      <c r="S189" s="4">
        <v>0</v>
      </c>
      <c r="T189" s="4">
        <v>2</v>
      </c>
      <c r="U189" s="4">
        <v>0</v>
      </c>
      <c r="V189" s="4">
        <v>1</v>
      </c>
      <c r="W189" s="4">
        <v>0</v>
      </c>
      <c r="X189" s="4">
        <v>0</v>
      </c>
      <c r="Y189" s="4">
        <v>1</v>
      </c>
      <c r="Z189" s="4">
        <v>0</v>
      </c>
      <c r="AA189" s="4">
        <v>2</v>
      </c>
      <c r="AB189" s="4">
        <v>0</v>
      </c>
      <c r="AC189" s="4">
        <v>0</v>
      </c>
      <c r="AD189" s="4">
        <v>0</v>
      </c>
      <c r="AE189" s="4">
        <v>0</v>
      </c>
      <c r="AF189" s="46">
        <v>0</v>
      </c>
      <c r="AG189" s="47">
        <v>14</v>
      </c>
      <c r="AH189" s="4">
        <v>0</v>
      </c>
      <c r="AI189" s="4">
        <v>0</v>
      </c>
      <c r="AJ189" s="46">
        <v>0</v>
      </c>
      <c r="AK189" s="48">
        <v>0</v>
      </c>
      <c r="AL189" s="49">
        <v>0</v>
      </c>
      <c r="AM189" s="49">
        <v>0</v>
      </c>
      <c r="AN189" s="50">
        <v>0</v>
      </c>
      <c r="AO189" s="49">
        <v>0</v>
      </c>
      <c r="AP189" s="46">
        <v>0</v>
      </c>
      <c r="AQ189" s="4">
        <v>0</v>
      </c>
      <c r="AR189" s="46">
        <v>0</v>
      </c>
      <c r="AS189" s="48">
        <v>0</v>
      </c>
      <c r="AT189" s="4">
        <v>0</v>
      </c>
      <c r="AU189" s="4">
        <v>0</v>
      </c>
      <c r="AV189" s="4">
        <v>0</v>
      </c>
      <c r="AW189" s="46">
        <v>0</v>
      </c>
      <c r="AX189" s="4">
        <v>0</v>
      </c>
      <c r="AY189" s="4">
        <v>0</v>
      </c>
      <c r="AZ189" s="46">
        <v>0</v>
      </c>
      <c r="BA189" s="4">
        <v>0</v>
      </c>
      <c r="BB189" s="4">
        <v>0</v>
      </c>
      <c r="BC189" s="46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6">
        <v>0</v>
      </c>
      <c r="BL189" s="46">
        <v>0</v>
      </c>
      <c r="BM189" s="46">
        <v>0</v>
      </c>
      <c r="BN189" s="46">
        <v>0</v>
      </c>
      <c r="BO189" s="46">
        <v>0</v>
      </c>
      <c r="BP189" s="4">
        <v>0</v>
      </c>
      <c r="BQ189" s="4">
        <v>1</v>
      </c>
      <c r="BR189" s="46">
        <v>0</v>
      </c>
      <c r="BS189" s="51">
        <v>0</v>
      </c>
      <c r="BT189" s="4">
        <v>0</v>
      </c>
      <c r="BU189" s="46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52">
        <v>0</v>
      </c>
      <c r="CG189" s="67">
        <f t="shared" si="19"/>
        <v>21</v>
      </c>
      <c r="CH189" s="69">
        <f t="shared" si="20"/>
        <v>6</v>
      </c>
      <c r="CI189" s="30">
        <f t="shared" si="21"/>
        <v>0</v>
      </c>
      <c r="CJ189" s="30">
        <f t="shared" si="22"/>
        <v>20</v>
      </c>
      <c r="CK189" s="30">
        <f t="shared" si="23"/>
        <v>1</v>
      </c>
      <c r="CL189" s="67">
        <f t="shared" si="24"/>
        <v>2</v>
      </c>
      <c r="CM189" s="30">
        <v>20</v>
      </c>
      <c r="CN189" s="30">
        <v>0</v>
      </c>
      <c r="CO189" s="30">
        <v>0</v>
      </c>
      <c r="CP189" s="30">
        <v>1</v>
      </c>
      <c r="CQ189" s="67">
        <v>1</v>
      </c>
    </row>
    <row r="190" spans="1:95" x14ac:dyDescent="0.3">
      <c r="A190" s="10">
        <v>124</v>
      </c>
      <c r="B190" s="10" t="s">
        <v>0</v>
      </c>
      <c r="C190" s="10" t="s">
        <v>14</v>
      </c>
      <c r="D190" s="10" t="s">
        <v>5</v>
      </c>
      <c r="E190" s="10">
        <v>4</v>
      </c>
      <c r="F190" s="10" t="s">
        <v>6</v>
      </c>
      <c r="G190" s="10">
        <v>7.01</v>
      </c>
      <c r="H190" s="10">
        <v>12</v>
      </c>
      <c r="I190" s="10">
        <v>16.9072</v>
      </c>
      <c r="J190" s="10">
        <v>3.6884000000000001</v>
      </c>
      <c r="K190" s="10">
        <v>78.184442131163053</v>
      </c>
      <c r="L190" s="10">
        <v>47.383737517831662</v>
      </c>
      <c r="M190" s="7">
        <f t="shared" si="18"/>
        <v>3.1270515911516497</v>
      </c>
      <c r="N190" s="10">
        <v>49</v>
      </c>
      <c r="O190" s="10">
        <v>1.395</v>
      </c>
      <c r="P190" s="10">
        <v>8.7210000000000001</v>
      </c>
      <c r="Q190" s="10">
        <v>0.377</v>
      </c>
      <c r="R190" s="10">
        <v>0.36099999999999999</v>
      </c>
      <c r="S190" s="4">
        <v>5</v>
      </c>
      <c r="T190" s="4">
        <v>1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</v>
      </c>
      <c r="AC190" s="4">
        <v>0</v>
      </c>
      <c r="AD190" s="4">
        <v>0</v>
      </c>
      <c r="AE190" s="4">
        <v>0</v>
      </c>
      <c r="AF190" s="46">
        <v>0</v>
      </c>
      <c r="AG190" s="47">
        <v>20</v>
      </c>
      <c r="AH190" s="4">
        <v>0</v>
      </c>
      <c r="AI190" s="4">
        <v>0</v>
      </c>
      <c r="AJ190" s="46">
        <v>0</v>
      </c>
      <c r="AK190" s="48">
        <v>0</v>
      </c>
      <c r="AL190" s="49">
        <v>0</v>
      </c>
      <c r="AM190" s="49">
        <v>0</v>
      </c>
      <c r="AN190" s="50">
        <v>0</v>
      </c>
      <c r="AO190" s="49">
        <v>0</v>
      </c>
      <c r="AP190" s="46">
        <v>0</v>
      </c>
      <c r="AQ190" s="4">
        <v>0</v>
      </c>
      <c r="AR190" s="46">
        <v>0</v>
      </c>
      <c r="AS190" s="48">
        <v>0</v>
      </c>
      <c r="AT190" s="4">
        <v>0</v>
      </c>
      <c r="AU190" s="4">
        <v>0</v>
      </c>
      <c r="AV190" s="4">
        <v>0</v>
      </c>
      <c r="AW190" s="46">
        <v>0</v>
      </c>
      <c r="AX190" s="4">
        <v>0</v>
      </c>
      <c r="AY190" s="4">
        <v>0</v>
      </c>
      <c r="AZ190" s="46">
        <v>0</v>
      </c>
      <c r="BA190" s="4">
        <v>0</v>
      </c>
      <c r="BB190" s="4">
        <v>0</v>
      </c>
      <c r="BC190" s="46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6">
        <v>0</v>
      </c>
      <c r="BL190" s="46">
        <v>0</v>
      </c>
      <c r="BM190" s="46">
        <v>0</v>
      </c>
      <c r="BN190" s="46">
        <v>0</v>
      </c>
      <c r="BO190" s="46">
        <v>0</v>
      </c>
      <c r="BP190" s="4">
        <v>0</v>
      </c>
      <c r="BQ190" s="4">
        <v>0</v>
      </c>
      <c r="BR190" s="46">
        <v>0</v>
      </c>
      <c r="BS190" s="51">
        <v>0</v>
      </c>
      <c r="BT190" s="4">
        <v>0</v>
      </c>
      <c r="BU190" s="46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52">
        <v>0</v>
      </c>
      <c r="CG190" s="67">
        <f t="shared" si="19"/>
        <v>28</v>
      </c>
      <c r="CH190" s="69">
        <f t="shared" si="20"/>
        <v>5</v>
      </c>
      <c r="CI190" s="30">
        <f t="shared" si="21"/>
        <v>0</v>
      </c>
      <c r="CJ190" s="30">
        <f t="shared" si="22"/>
        <v>28</v>
      </c>
      <c r="CK190" s="30">
        <f t="shared" si="23"/>
        <v>0</v>
      </c>
      <c r="CL190" s="67">
        <f t="shared" si="24"/>
        <v>1</v>
      </c>
      <c r="CM190" s="30">
        <v>28</v>
      </c>
      <c r="CN190" s="30">
        <v>0</v>
      </c>
      <c r="CO190" s="30">
        <v>0</v>
      </c>
      <c r="CP190" s="30">
        <v>0</v>
      </c>
      <c r="CQ190" s="67">
        <v>1</v>
      </c>
    </row>
    <row r="191" spans="1:95" x14ac:dyDescent="0.3">
      <c r="A191" s="10">
        <v>130</v>
      </c>
      <c r="B191" s="10" t="s">
        <v>0</v>
      </c>
      <c r="C191" s="10" t="s">
        <v>1</v>
      </c>
      <c r="D191" s="10" t="s">
        <v>5</v>
      </c>
      <c r="E191" s="10">
        <v>5</v>
      </c>
      <c r="F191" s="10" t="s">
        <v>6</v>
      </c>
      <c r="G191" s="10">
        <v>7.01</v>
      </c>
      <c r="H191" s="10">
        <v>12</v>
      </c>
      <c r="I191" s="10">
        <v>9.8849</v>
      </c>
      <c r="J191" s="10">
        <v>1.2487999999999999</v>
      </c>
      <c r="K191" s="10">
        <v>87.366589444506275</v>
      </c>
      <c r="L191" s="10">
        <v>82.185449358059913</v>
      </c>
      <c r="M191" s="7">
        <f t="shared" si="18"/>
        <v>4.2100612606154142</v>
      </c>
      <c r="N191" s="10">
        <v>40.81</v>
      </c>
      <c r="O191" s="10">
        <v>1.774</v>
      </c>
      <c r="P191" s="10">
        <v>11.087</v>
      </c>
      <c r="Q191" s="10">
        <v>0.39200000000000002</v>
      </c>
      <c r="R191" s="10">
        <v>0.81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6">
        <v>0</v>
      </c>
      <c r="AG191" s="47">
        <v>1</v>
      </c>
      <c r="AH191" s="4">
        <v>0</v>
      </c>
      <c r="AI191" s="4">
        <v>0</v>
      </c>
      <c r="AJ191" s="46">
        <v>0</v>
      </c>
      <c r="AK191" s="48">
        <v>0</v>
      </c>
      <c r="AL191" s="49">
        <v>0</v>
      </c>
      <c r="AM191" s="49">
        <v>0</v>
      </c>
      <c r="AN191" s="50">
        <v>0</v>
      </c>
      <c r="AO191" s="49">
        <v>0</v>
      </c>
      <c r="AP191" s="46">
        <v>0</v>
      </c>
      <c r="AQ191" s="4">
        <v>0</v>
      </c>
      <c r="AR191" s="46">
        <v>0</v>
      </c>
      <c r="AS191" s="48">
        <v>0</v>
      </c>
      <c r="AT191" s="4">
        <v>0</v>
      </c>
      <c r="AU191" s="4">
        <v>0</v>
      </c>
      <c r="AV191" s="4">
        <v>0</v>
      </c>
      <c r="AW191" s="46">
        <v>0</v>
      </c>
      <c r="AX191" s="4">
        <v>0</v>
      </c>
      <c r="AY191" s="4">
        <v>0</v>
      </c>
      <c r="AZ191" s="46">
        <v>0</v>
      </c>
      <c r="BA191" s="4">
        <v>0</v>
      </c>
      <c r="BB191" s="4">
        <v>1</v>
      </c>
      <c r="BC191" s="46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6">
        <v>0</v>
      </c>
      <c r="BL191" s="46">
        <v>0</v>
      </c>
      <c r="BM191" s="46">
        <v>0</v>
      </c>
      <c r="BN191" s="46">
        <v>0</v>
      </c>
      <c r="BO191" s="46">
        <v>0</v>
      </c>
      <c r="BP191" s="4">
        <v>0</v>
      </c>
      <c r="BQ191" s="4">
        <v>0</v>
      </c>
      <c r="BR191" s="46">
        <v>0</v>
      </c>
      <c r="BS191" s="51">
        <v>0</v>
      </c>
      <c r="BT191" s="4">
        <v>0</v>
      </c>
      <c r="BU191" s="46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52">
        <v>0</v>
      </c>
      <c r="CG191" s="67">
        <f t="shared" si="19"/>
        <v>2</v>
      </c>
      <c r="CH191" s="69">
        <f t="shared" si="20"/>
        <v>2</v>
      </c>
      <c r="CI191" s="30">
        <f t="shared" si="21"/>
        <v>0</v>
      </c>
      <c r="CJ191" s="30">
        <f t="shared" si="22"/>
        <v>1</v>
      </c>
      <c r="CK191" s="30">
        <f t="shared" si="23"/>
        <v>1</v>
      </c>
      <c r="CL191" s="67">
        <f t="shared" si="24"/>
        <v>2</v>
      </c>
      <c r="CM191" s="30">
        <v>2</v>
      </c>
      <c r="CN191" s="30">
        <v>0</v>
      </c>
      <c r="CO191" s="30">
        <v>0</v>
      </c>
      <c r="CP191" s="30">
        <v>0</v>
      </c>
      <c r="CQ191" s="67">
        <v>1</v>
      </c>
    </row>
    <row r="192" spans="1:95" x14ac:dyDescent="0.3">
      <c r="A192" s="10">
        <v>133</v>
      </c>
      <c r="B192" s="10" t="s">
        <v>0</v>
      </c>
      <c r="C192" s="10" t="s">
        <v>14</v>
      </c>
      <c r="D192" s="10" t="s">
        <v>5</v>
      </c>
      <c r="E192" s="10">
        <v>5</v>
      </c>
      <c r="F192" s="10" t="s">
        <v>6</v>
      </c>
      <c r="G192" s="10">
        <v>7.06</v>
      </c>
      <c r="H192" s="10">
        <v>12</v>
      </c>
      <c r="I192" s="10">
        <v>22.1922</v>
      </c>
      <c r="J192" s="10">
        <v>3.6634000000000002</v>
      </c>
      <c r="K192" s="10">
        <v>83.492398230008746</v>
      </c>
      <c r="L192" s="10">
        <v>48.110481586402258</v>
      </c>
      <c r="M192" s="7">
        <f t="shared" si="18"/>
        <v>3.1409600233491717</v>
      </c>
      <c r="N192" s="10">
        <v>48.78</v>
      </c>
      <c r="O192" s="10">
        <v>0.86799999999999999</v>
      </c>
      <c r="P192" s="10">
        <v>5.4279999999999999</v>
      </c>
      <c r="Q192" s="10">
        <v>0.39700000000000002</v>
      </c>
      <c r="R192" s="10">
        <v>5.1869999999999999E-2</v>
      </c>
      <c r="S192" s="4">
        <v>2</v>
      </c>
      <c r="T192" s="4">
        <v>1</v>
      </c>
      <c r="U192" s="4">
        <v>0</v>
      </c>
      <c r="V192" s="4">
        <v>0</v>
      </c>
      <c r="W192" s="4">
        <v>0</v>
      </c>
      <c r="X192" s="4">
        <v>1</v>
      </c>
      <c r="Y192" s="4">
        <v>0</v>
      </c>
      <c r="Z192" s="4">
        <v>0</v>
      </c>
      <c r="AA192" s="4">
        <v>0</v>
      </c>
      <c r="AB192" s="4">
        <v>13</v>
      </c>
      <c r="AC192" s="4">
        <v>0</v>
      </c>
      <c r="AD192" s="4">
        <v>0</v>
      </c>
      <c r="AE192" s="4">
        <v>0</v>
      </c>
      <c r="AF192" s="46">
        <v>0</v>
      </c>
      <c r="AG192" s="47">
        <v>3</v>
      </c>
      <c r="AH192" s="4">
        <v>0</v>
      </c>
      <c r="AI192" s="4">
        <v>0</v>
      </c>
      <c r="AJ192" s="46">
        <v>0</v>
      </c>
      <c r="AK192" s="48">
        <v>0</v>
      </c>
      <c r="AL192" s="49">
        <v>0</v>
      </c>
      <c r="AM192" s="49">
        <v>0</v>
      </c>
      <c r="AN192" s="50">
        <v>0</v>
      </c>
      <c r="AO192" s="49">
        <v>0</v>
      </c>
      <c r="AP192" s="46">
        <v>0</v>
      </c>
      <c r="AQ192" s="4">
        <v>0</v>
      </c>
      <c r="AR192" s="46">
        <v>0</v>
      </c>
      <c r="AS192" s="48">
        <v>0</v>
      </c>
      <c r="AT192" s="4">
        <v>0</v>
      </c>
      <c r="AU192" s="4">
        <v>0</v>
      </c>
      <c r="AV192" s="4">
        <v>0</v>
      </c>
      <c r="AW192" s="46">
        <v>0</v>
      </c>
      <c r="AX192" s="4">
        <v>0</v>
      </c>
      <c r="AY192" s="4">
        <v>0</v>
      </c>
      <c r="AZ192" s="46">
        <v>0</v>
      </c>
      <c r="BA192" s="4">
        <v>0</v>
      </c>
      <c r="BB192" s="4">
        <v>0</v>
      </c>
      <c r="BC192" s="46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6">
        <v>0</v>
      </c>
      <c r="BL192" s="46">
        <v>0</v>
      </c>
      <c r="BM192" s="46">
        <v>0</v>
      </c>
      <c r="BN192" s="46">
        <v>0</v>
      </c>
      <c r="BO192" s="46">
        <v>0</v>
      </c>
      <c r="BP192" s="4">
        <v>0</v>
      </c>
      <c r="BQ192" s="4">
        <v>0</v>
      </c>
      <c r="BR192" s="46">
        <v>0</v>
      </c>
      <c r="BS192" s="51">
        <v>0</v>
      </c>
      <c r="BT192" s="4">
        <v>0</v>
      </c>
      <c r="BU192" s="46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52">
        <v>0</v>
      </c>
      <c r="CG192" s="67">
        <f t="shared" si="19"/>
        <v>20</v>
      </c>
      <c r="CH192" s="69">
        <f t="shared" si="20"/>
        <v>5</v>
      </c>
      <c r="CI192" s="30">
        <f t="shared" si="21"/>
        <v>0</v>
      </c>
      <c r="CJ192" s="30">
        <f t="shared" si="22"/>
        <v>20</v>
      </c>
      <c r="CK192" s="30">
        <f t="shared" si="23"/>
        <v>0</v>
      </c>
      <c r="CL192" s="67">
        <f t="shared" si="24"/>
        <v>1</v>
      </c>
      <c r="CM192" s="30">
        <v>20</v>
      </c>
      <c r="CN192" s="30">
        <v>0</v>
      </c>
      <c r="CO192" s="30">
        <v>0</v>
      </c>
      <c r="CP192" s="30">
        <v>0</v>
      </c>
      <c r="CQ192" s="67">
        <v>1</v>
      </c>
    </row>
    <row r="193" spans="1:95" x14ac:dyDescent="0.3">
      <c r="A193" s="10">
        <v>143</v>
      </c>
      <c r="B193" s="10" t="s">
        <v>0</v>
      </c>
      <c r="C193" s="10" t="s">
        <v>1</v>
      </c>
      <c r="D193" s="10" t="s">
        <v>5</v>
      </c>
      <c r="E193" s="10">
        <v>3</v>
      </c>
      <c r="F193" s="10" t="s">
        <v>6</v>
      </c>
      <c r="G193" s="10">
        <v>6.98</v>
      </c>
      <c r="H193" s="10">
        <v>12</v>
      </c>
      <c r="I193" s="10">
        <v>16.150500000000001</v>
      </c>
      <c r="J193" s="10">
        <v>3.3746999999999998</v>
      </c>
      <c r="K193" s="10">
        <v>79.104671681991263</v>
      </c>
      <c r="L193" s="10">
        <v>51.651862464183381</v>
      </c>
      <c r="M193" s="7">
        <f t="shared" si="18"/>
        <v>3.2116491350775287</v>
      </c>
      <c r="N193" s="10">
        <v>44.68</v>
      </c>
      <c r="O193" s="10">
        <v>1.548</v>
      </c>
      <c r="P193" s="10">
        <v>9.6750000000000007</v>
      </c>
      <c r="Q193" s="10">
        <v>0.33600000000000002</v>
      </c>
      <c r="R193" s="10">
        <v>0.30199999999999999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6">
        <v>0</v>
      </c>
      <c r="AG193" s="47">
        <v>3</v>
      </c>
      <c r="AH193" s="4">
        <v>0</v>
      </c>
      <c r="AI193" s="4">
        <v>0</v>
      </c>
      <c r="AJ193" s="46">
        <v>0</v>
      </c>
      <c r="AK193" s="48">
        <v>0</v>
      </c>
      <c r="AL193" s="49">
        <v>0</v>
      </c>
      <c r="AM193" s="49">
        <v>0</v>
      </c>
      <c r="AN193" s="50">
        <v>0</v>
      </c>
      <c r="AO193" s="49">
        <v>0</v>
      </c>
      <c r="AP193" s="46">
        <v>0</v>
      </c>
      <c r="AQ193" s="4">
        <v>0</v>
      </c>
      <c r="AR193" s="46">
        <v>0</v>
      </c>
      <c r="AS193" s="48">
        <v>1</v>
      </c>
      <c r="AT193" s="4">
        <v>0</v>
      </c>
      <c r="AU193" s="4">
        <v>0</v>
      </c>
      <c r="AV193" s="4">
        <v>0</v>
      </c>
      <c r="AW193" s="46">
        <v>0</v>
      </c>
      <c r="AX193" s="4">
        <v>0</v>
      </c>
      <c r="AY193" s="4">
        <v>0</v>
      </c>
      <c r="AZ193" s="46">
        <v>0</v>
      </c>
      <c r="BA193" s="4">
        <v>0</v>
      </c>
      <c r="BB193" s="4">
        <v>0</v>
      </c>
      <c r="BC193" s="46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6">
        <v>0</v>
      </c>
      <c r="BL193" s="46">
        <v>0</v>
      </c>
      <c r="BM193" s="46">
        <v>0</v>
      </c>
      <c r="BN193" s="46">
        <v>0</v>
      </c>
      <c r="BO193" s="46">
        <v>0</v>
      </c>
      <c r="BP193" s="4">
        <v>0</v>
      </c>
      <c r="BQ193" s="4">
        <v>0</v>
      </c>
      <c r="BR193" s="46">
        <v>0</v>
      </c>
      <c r="BS193" s="51">
        <v>0</v>
      </c>
      <c r="BT193" s="4">
        <v>0</v>
      </c>
      <c r="BU193" s="46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52">
        <v>0</v>
      </c>
      <c r="CG193" s="67">
        <f t="shared" si="19"/>
        <v>5</v>
      </c>
      <c r="CH193" s="69">
        <f t="shared" si="20"/>
        <v>3</v>
      </c>
      <c r="CI193" s="30">
        <f t="shared" si="21"/>
        <v>1</v>
      </c>
      <c r="CJ193" s="30">
        <f t="shared" si="22"/>
        <v>4</v>
      </c>
      <c r="CK193" s="30">
        <f t="shared" si="23"/>
        <v>0</v>
      </c>
      <c r="CL193" s="67">
        <f t="shared" si="24"/>
        <v>2</v>
      </c>
      <c r="CM193" s="30">
        <v>5</v>
      </c>
      <c r="CN193" s="30">
        <v>0</v>
      </c>
      <c r="CO193" s="30">
        <v>0</v>
      </c>
      <c r="CP193" s="30">
        <v>0</v>
      </c>
      <c r="CQ193" s="67">
        <v>1</v>
      </c>
    </row>
    <row r="194" spans="1:95" x14ac:dyDescent="0.3">
      <c r="A194" s="10">
        <v>153</v>
      </c>
      <c r="B194" s="10" t="s">
        <v>0</v>
      </c>
      <c r="C194" s="10" t="s">
        <v>14</v>
      </c>
      <c r="D194" s="10" t="s">
        <v>5</v>
      </c>
      <c r="E194" s="10">
        <v>2</v>
      </c>
      <c r="F194" s="10" t="s">
        <v>6</v>
      </c>
      <c r="G194" s="10">
        <v>6.98</v>
      </c>
      <c r="H194" s="10">
        <v>12</v>
      </c>
      <c r="I194" s="10">
        <v>18.575199999999999</v>
      </c>
      <c r="J194" s="10">
        <v>3.7075</v>
      </c>
      <c r="K194" s="10">
        <v>80.040591756750928</v>
      </c>
      <c r="L194" s="10">
        <v>46.883954154727796</v>
      </c>
      <c r="M194" s="7">
        <f t="shared" ref="M194:M225" si="25">-LN((J194/G194)/H194)</f>
        <v>3.1175977715323313</v>
      </c>
      <c r="N194" s="10">
        <v>45.72</v>
      </c>
      <c r="O194" s="10">
        <v>1.6060000000000001</v>
      </c>
      <c r="P194" s="10">
        <v>10.038</v>
      </c>
      <c r="Q194" s="10">
        <v>0.35699999999999998</v>
      </c>
      <c r="R194" s="10">
        <v>0.36399999999999999</v>
      </c>
      <c r="S194" s="4">
        <v>2</v>
      </c>
      <c r="T194" s="4">
        <v>1</v>
      </c>
      <c r="U194" s="4">
        <v>0</v>
      </c>
      <c r="V194" s="4">
        <v>0</v>
      </c>
      <c r="W194" s="4">
        <v>0</v>
      </c>
      <c r="X194" s="4">
        <v>1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6">
        <v>0</v>
      </c>
      <c r="AG194" s="47">
        <v>23</v>
      </c>
      <c r="AH194" s="4">
        <v>0</v>
      </c>
      <c r="AI194" s="4">
        <v>0</v>
      </c>
      <c r="AJ194" s="46">
        <v>0</v>
      </c>
      <c r="AK194" s="48">
        <v>0</v>
      </c>
      <c r="AL194" s="49">
        <v>0</v>
      </c>
      <c r="AM194" s="49">
        <v>0</v>
      </c>
      <c r="AN194" s="50">
        <v>0</v>
      </c>
      <c r="AO194" s="49">
        <v>0</v>
      </c>
      <c r="AP194" s="46">
        <v>0</v>
      </c>
      <c r="AQ194" s="4">
        <v>1</v>
      </c>
      <c r="AR194" s="46">
        <v>0</v>
      </c>
      <c r="AS194" s="48">
        <v>5</v>
      </c>
      <c r="AT194" s="4">
        <v>0</v>
      </c>
      <c r="AU194" s="4">
        <v>0</v>
      </c>
      <c r="AV194" s="4">
        <v>0</v>
      </c>
      <c r="AW194" s="46">
        <v>0</v>
      </c>
      <c r="AX194" s="4">
        <v>0</v>
      </c>
      <c r="AY194" s="4">
        <v>0</v>
      </c>
      <c r="AZ194" s="46">
        <v>0</v>
      </c>
      <c r="BA194" s="4">
        <v>0</v>
      </c>
      <c r="BB194" s="4">
        <v>0</v>
      </c>
      <c r="BC194" s="46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6">
        <v>0</v>
      </c>
      <c r="BL194" s="46">
        <v>0</v>
      </c>
      <c r="BM194" s="46">
        <v>0</v>
      </c>
      <c r="BN194" s="46">
        <v>0</v>
      </c>
      <c r="BO194" s="46">
        <v>0</v>
      </c>
      <c r="BP194" s="4">
        <v>0</v>
      </c>
      <c r="BQ194" s="4">
        <v>0</v>
      </c>
      <c r="BR194" s="46">
        <v>0</v>
      </c>
      <c r="BS194" s="51">
        <v>0</v>
      </c>
      <c r="BT194" s="4">
        <v>0</v>
      </c>
      <c r="BU194" s="46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52">
        <v>0</v>
      </c>
      <c r="CG194" s="67">
        <f t="shared" ref="CG194:CG257" si="26">SUM(S194:CF194)</f>
        <v>33</v>
      </c>
      <c r="CH194" s="69">
        <f t="shared" ref="CH194:CH257" si="27">COUNTIF(S194:CF194,"&gt;0")</f>
        <v>6</v>
      </c>
      <c r="CI194" s="30">
        <f t="shared" ref="CI194:CI257" si="28">SUM(AS194)</f>
        <v>5</v>
      </c>
      <c r="CJ194" s="30">
        <f t="shared" ref="CJ194:CJ257" si="29">SUM(S194:AH194,AJ194,AL194:AO194,AQ194:AR194,BL194:BM194)</f>
        <v>28</v>
      </c>
      <c r="CK194" s="30">
        <f t="shared" ref="CK194:CK257" si="30">SUM(AI194,AK194,AT194:BK194,BN194:CF194)</f>
        <v>0</v>
      </c>
      <c r="CL194" s="67">
        <f t="shared" ref="CL194:CL257" si="31">COUNTIF(CI194:CK194,"&gt;0")</f>
        <v>2</v>
      </c>
      <c r="CM194" s="30">
        <v>33</v>
      </c>
      <c r="CN194" s="30">
        <v>0</v>
      </c>
      <c r="CO194" s="30">
        <v>0</v>
      </c>
      <c r="CP194" s="30">
        <v>0</v>
      </c>
      <c r="CQ194" s="67">
        <v>1</v>
      </c>
    </row>
    <row r="195" spans="1:95" x14ac:dyDescent="0.3">
      <c r="A195" s="10">
        <v>166</v>
      </c>
      <c r="B195" s="10" t="s">
        <v>0</v>
      </c>
      <c r="C195" s="10" t="s">
        <v>14</v>
      </c>
      <c r="D195" s="10" t="s">
        <v>5</v>
      </c>
      <c r="E195" s="10">
        <v>1</v>
      </c>
      <c r="F195" s="10" t="s">
        <v>6</v>
      </c>
      <c r="G195" s="10">
        <v>6.97</v>
      </c>
      <c r="H195" s="10">
        <v>12</v>
      </c>
      <c r="I195" s="10">
        <v>17.677900000000001</v>
      </c>
      <c r="J195" s="10">
        <v>3.6364999999999998</v>
      </c>
      <c r="K195" s="10">
        <v>79.429117711945423</v>
      </c>
      <c r="L195" s="10">
        <v>47.826398852223818</v>
      </c>
      <c r="M195" s="7">
        <f t="shared" si="25"/>
        <v>3.1355001939479745</v>
      </c>
      <c r="N195" s="10">
        <v>44.39</v>
      </c>
      <c r="O195" s="10">
        <v>1.3879999999999999</v>
      </c>
      <c r="P195" s="10">
        <v>8.673</v>
      </c>
      <c r="Q195" s="10">
        <v>0.317</v>
      </c>
      <c r="R195" s="10">
        <v>0.29186999999999996</v>
      </c>
      <c r="S195" s="4">
        <v>6</v>
      </c>
      <c r="T195" s="4">
        <v>1</v>
      </c>
      <c r="U195" s="4">
        <v>0</v>
      </c>
      <c r="V195" s="4">
        <v>0</v>
      </c>
      <c r="W195" s="4">
        <v>0</v>
      </c>
      <c r="X195" s="4">
        <v>1</v>
      </c>
      <c r="Y195" s="4">
        <v>0</v>
      </c>
      <c r="Z195" s="4">
        <v>0</v>
      </c>
      <c r="AA195" s="4">
        <v>0</v>
      </c>
      <c r="AB195" s="4">
        <v>2</v>
      </c>
      <c r="AC195" s="4">
        <v>0</v>
      </c>
      <c r="AD195" s="4">
        <v>0</v>
      </c>
      <c r="AE195" s="4">
        <v>0</v>
      </c>
      <c r="AF195" s="46">
        <v>0</v>
      </c>
      <c r="AG195" s="47">
        <v>19</v>
      </c>
      <c r="AH195" s="4">
        <v>0</v>
      </c>
      <c r="AI195" s="4">
        <v>0</v>
      </c>
      <c r="AJ195" s="46">
        <v>0</v>
      </c>
      <c r="AK195" s="48">
        <v>0</v>
      </c>
      <c r="AL195" s="49">
        <v>0</v>
      </c>
      <c r="AM195" s="49">
        <v>0</v>
      </c>
      <c r="AN195" s="50">
        <v>0</v>
      </c>
      <c r="AO195" s="49">
        <v>0</v>
      </c>
      <c r="AP195" s="46">
        <v>0</v>
      </c>
      <c r="AQ195" s="4">
        <v>0</v>
      </c>
      <c r="AR195" s="46">
        <v>0</v>
      </c>
      <c r="AS195" s="48">
        <v>7</v>
      </c>
      <c r="AT195" s="4">
        <v>0</v>
      </c>
      <c r="AU195" s="4">
        <v>0</v>
      </c>
      <c r="AV195" s="4">
        <v>0</v>
      </c>
      <c r="AW195" s="46">
        <v>0</v>
      </c>
      <c r="AX195" s="4">
        <v>0</v>
      </c>
      <c r="AY195" s="4">
        <v>0</v>
      </c>
      <c r="AZ195" s="46">
        <v>0</v>
      </c>
      <c r="BA195" s="4">
        <v>0</v>
      </c>
      <c r="BB195" s="4">
        <v>0</v>
      </c>
      <c r="BC195" s="46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6">
        <v>0</v>
      </c>
      <c r="BL195" s="46">
        <v>0</v>
      </c>
      <c r="BM195" s="46">
        <v>0</v>
      </c>
      <c r="BN195" s="46">
        <v>0</v>
      </c>
      <c r="BO195" s="46">
        <v>0</v>
      </c>
      <c r="BP195" s="4">
        <v>0</v>
      </c>
      <c r="BQ195" s="4">
        <v>0</v>
      </c>
      <c r="BR195" s="46">
        <v>0</v>
      </c>
      <c r="BS195" s="51">
        <v>0</v>
      </c>
      <c r="BT195" s="4">
        <v>0</v>
      </c>
      <c r="BU195" s="46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52">
        <v>0</v>
      </c>
      <c r="CG195" s="67">
        <f t="shared" si="26"/>
        <v>36</v>
      </c>
      <c r="CH195" s="69">
        <f t="shared" si="27"/>
        <v>6</v>
      </c>
      <c r="CI195" s="30">
        <f t="shared" si="28"/>
        <v>7</v>
      </c>
      <c r="CJ195" s="30">
        <f t="shared" si="29"/>
        <v>29</v>
      </c>
      <c r="CK195" s="30">
        <f t="shared" si="30"/>
        <v>0</v>
      </c>
      <c r="CL195" s="67">
        <f t="shared" si="31"/>
        <v>2</v>
      </c>
      <c r="CM195" s="30">
        <v>36</v>
      </c>
      <c r="CN195" s="30">
        <v>0</v>
      </c>
      <c r="CO195" s="30">
        <v>0</v>
      </c>
      <c r="CP195" s="30">
        <v>0</v>
      </c>
      <c r="CQ195" s="67">
        <v>1</v>
      </c>
    </row>
    <row r="196" spans="1:95" x14ac:dyDescent="0.3">
      <c r="A196" s="10">
        <v>168</v>
      </c>
      <c r="B196" s="10" t="s">
        <v>0</v>
      </c>
      <c r="C196" s="10" t="s">
        <v>1</v>
      </c>
      <c r="D196" s="10" t="s">
        <v>5</v>
      </c>
      <c r="E196" s="10">
        <v>1</v>
      </c>
      <c r="F196" s="10" t="s">
        <v>6</v>
      </c>
      <c r="G196" s="10">
        <v>7</v>
      </c>
      <c r="H196" s="10">
        <v>12</v>
      </c>
      <c r="I196" s="10">
        <v>17.553999999999998</v>
      </c>
      <c r="J196" s="10">
        <v>2.9552</v>
      </c>
      <c r="K196" s="10">
        <v>83.165090577646112</v>
      </c>
      <c r="L196" s="10">
        <v>57.782857142857146</v>
      </c>
      <c r="M196" s="7">
        <f t="shared" si="25"/>
        <v>3.3472504683804751</v>
      </c>
      <c r="N196" s="10">
        <v>45.85</v>
      </c>
      <c r="O196" s="10">
        <v>1.288</v>
      </c>
      <c r="P196" s="10">
        <v>8.048</v>
      </c>
      <c r="Q196" s="10">
        <v>0.36799999999999999</v>
      </c>
      <c r="R196" s="10">
        <v>0.38</v>
      </c>
      <c r="S196" s="4">
        <v>3</v>
      </c>
      <c r="T196" s="4">
        <v>1</v>
      </c>
      <c r="U196" s="4">
        <v>0</v>
      </c>
      <c r="V196" s="4">
        <v>1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0</v>
      </c>
      <c r="AE196" s="4">
        <v>0</v>
      </c>
      <c r="AF196" s="46">
        <v>0</v>
      </c>
      <c r="AG196" s="47">
        <v>3</v>
      </c>
      <c r="AH196" s="4">
        <v>1</v>
      </c>
      <c r="AI196" s="4">
        <v>0</v>
      </c>
      <c r="AJ196" s="46">
        <v>3</v>
      </c>
      <c r="AK196" s="48">
        <v>0</v>
      </c>
      <c r="AL196" s="49">
        <v>0</v>
      </c>
      <c r="AM196" s="49">
        <v>0</v>
      </c>
      <c r="AN196" s="50">
        <v>0</v>
      </c>
      <c r="AO196" s="49">
        <v>0</v>
      </c>
      <c r="AP196" s="46">
        <v>0</v>
      </c>
      <c r="AQ196" s="4">
        <v>1</v>
      </c>
      <c r="AR196" s="46">
        <v>0</v>
      </c>
      <c r="AS196" s="48">
        <v>10</v>
      </c>
      <c r="AT196" s="4">
        <v>0</v>
      </c>
      <c r="AU196" s="4">
        <v>0</v>
      </c>
      <c r="AV196" s="4">
        <v>0</v>
      </c>
      <c r="AW196" s="46">
        <v>0</v>
      </c>
      <c r="AX196" s="4">
        <v>0</v>
      </c>
      <c r="AY196" s="4">
        <v>0</v>
      </c>
      <c r="AZ196" s="46">
        <v>0</v>
      </c>
      <c r="BA196" s="4">
        <v>0</v>
      </c>
      <c r="BB196" s="4">
        <v>0</v>
      </c>
      <c r="BC196" s="46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6">
        <v>0</v>
      </c>
      <c r="BL196" s="46">
        <v>0</v>
      </c>
      <c r="BM196" s="46">
        <v>0</v>
      </c>
      <c r="BN196" s="46">
        <v>0</v>
      </c>
      <c r="BO196" s="46">
        <v>0</v>
      </c>
      <c r="BP196" s="4">
        <v>0</v>
      </c>
      <c r="BQ196" s="4">
        <v>0</v>
      </c>
      <c r="BR196" s="46">
        <v>0</v>
      </c>
      <c r="BS196" s="51">
        <v>0</v>
      </c>
      <c r="BT196" s="4">
        <v>0</v>
      </c>
      <c r="BU196" s="46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52">
        <v>0</v>
      </c>
      <c r="CG196" s="67">
        <f t="shared" si="26"/>
        <v>25</v>
      </c>
      <c r="CH196" s="69">
        <f t="shared" si="27"/>
        <v>9</v>
      </c>
      <c r="CI196" s="30">
        <f t="shared" si="28"/>
        <v>10</v>
      </c>
      <c r="CJ196" s="30">
        <f t="shared" si="29"/>
        <v>15</v>
      </c>
      <c r="CK196" s="30">
        <f t="shared" si="30"/>
        <v>0</v>
      </c>
      <c r="CL196" s="67">
        <f t="shared" si="31"/>
        <v>2</v>
      </c>
      <c r="CM196" s="30">
        <v>25</v>
      </c>
      <c r="CN196" s="30">
        <v>0</v>
      </c>
      <c r="CO196" s="30">
        <v>0</v>
      </c>
      <c r="CP196" s="30">
        <v>0</v>
      </c>
      <c r="CQ196" s="67">
        <v>1</v>
      </c>
    </row>
    <row r="197" spans="1:95" x14ac:dyDescent="0.3">
      <c r="A197" s="10">
        <v>176</v>
      </c>
      <c r="B197" s="10" t="s">
        <v>0</v>
      </c>
      <c r="C197" s="10" t="s">
        <v>14</v>
      </c>
      <c r="D197" s="10" t="s">
        <v>5</v>
      </c>
      <c r="E197" s="10">
        <v>3</v>
      </c>
      <c r="F197" s="10" t="s">
        <v>6</v>
      </c>
      <c r="G197" s="10">
        <v>6.94</v>
      </c>
      <c r="H197" s="10">
        <v>12</v>
      </c>
      <c r="I197" s="10">
        <v>12.4863</v>
      </c>
      <c r="J197" s="10">
        <v>3.8689</v>
      </c>
      <c r="K197" s="10">
        <v>69.01484026493037</v>
      </c>
      <c r="L197" s="10">
        <v>44.252161383285305</v>
      </c>
      <c r="M197" s="7">
        <f t="shared" si="25"/>
        <v>3.0692381953943197</v>
      </c>
      <c r="N197" s="10">
        <v>45.45</v>
      </c>
      <c r="O197" s="10">
        <v>1.5489999999999999</v>
      </c>
      <c r="P197" s="10">
        <v>9.6790000000000003</v>
      </c>
      <c r="Q197" s="10">
        <v>0.52</v>
      </c>
      <c r="R197" s="10">
        <v>0.35599999999999998</v>
      </c>
      <c r="S197" s="4">
        <v>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6">
        <v>0</v>
      </c>
      <c r="AG197" s="47">
        <v>10</v>
      </c>
      <c r="AH197" s="4">
        <v>0</v>
      </c>
      <c r="AI197" s="4">
        <v>0</v>
      </c>
      <c r="AJ197" s="46">
        <v>0</v>
      </c>
      <c r="AK197" s="48">
        <v>0</v>
      </c>
      <c r="AL197" s="49">
        <v>0</v>
      </c>
      <c r="AM197" s="49">
        <v>0</v>
      </c>
      <c r="AN197" s="50">
        <v>0</v>
      </c>
      <c r="AO197" s="49">
        <v>0</v>
      </c>
      <c r="AP197" s="46">
        <v>0</v>
      </c>
      <c r="AQ197" s="4">
        <v>0</v>
      </c>
      <c r="AR197" s="46">
        <v>0</v>
      </c>
      <c r="AS197" s="48">
        <v>4</v>
      </c>
      <c r="AT197" s="4">
        <v>0</v>
      </c>
      <c r="AU197" s="4">
        <v>0</v>
      </c>
      <c r="AV197" s="4">
        <v>0</v>
      </c>
      <c r="AW197" s="46">
        <v>0</v>
      </c>
      <c r="AX197" s="4">
        <v>0</v>
      </c>
      <c r="AY197" s="4">
        <v>0</v>
      </c>
      <c r="AZ197" s="46">
        <v>0</v>
      </c>
      <c r="BA197" s="4">
        <v>0</v>
      </c>
      <c r="BB197" s="4">
        <v>0</v>
      </c>
      <c r="BC197" s="46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6">
        <v>0</v>
      </c>
      <c r="BL197" s="46">
        <v>0</v>
      </c>
      <c r="BM197" s="46">
        <v>0</v>
      </c>
      <c r="BN197" s="46">
        <v>0</v>
      </c>
      <c r="BO197" s="46">
        <v>0</v>
      </c>
      <c r="BP197" s="4">
        <v>0</v>
      </c>
      <c r="BQ197" s="4">
        <v>0</v>
      </c>
      <c r="BR197" s="46">
        <v>0</v>
      </c>
      <c r="BS197" s="51">
        <v>0</v>
      </c>
      <c r="BT197" s="4">
        <v>0</v>
      </c>
      <c r="BU197" s="46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52">
        <v>0</v>
      </c>
      <c r="CG197" s="67">
        <f t="shared" si="26"/>
        <v>16</v>
      </c>
      <c r="CH197" s="69">
        <f t="shared" si="27"/>
        <v>3</v>
      </c>
      <c r="CI197" s="30">
        <f t="shared" si="28"/>
        <v>4</v>
      </c>
      <c r="CJ197" s="30">
        <f t="shared" si="29"/>
        <v>12</v>
      </c>
      <c r="CK197" s="30">
        <f t="shared" si="30"/>
        <v>0</v>
      </c>
      <c r="CL197" s="67">
        <f t="shared" si="31"/>
        <v>2</v>
      </c>
      <c r="CM197" s="30">
        <v>16</v>
      </c>
      <c r="CN197" s="30">
        <v>0</v>
      </c>
      <c r="CO197" s="30">
        <v>0</v>
      </c>
      <c r="CP197" s="30">
        <v>0</v>
      </c>
      <c r="CQ197" s="67">
        <v>1</v>
      </c>
    </row>
    <row r="198" spans="1:95" x14ac:dyDescent="0.3">
      <c r="A198" s="10">
        <v>177</v>
      </c>
      <c r="B198" s="10" t="s">
        <v>0</v>
      </c>
      <c r="C198" s="10" t="s">
        <v>1</v>
      </c>
      <c r="D198" s="10" t="s">
        <v>5</v>
      </c>
      <c r="E198" s="10">
        <v>2</v>
      </c>
      <c r="F198" s="10" t="s">
        <v>6</v>
      </c>
      <c r="G198" s="10">
        <v>6.97</v>
      </c>
      <c r="H198" s="10">
        <v>12</v>
      </c>
      <c r="I198" s="10">
        <v>19.336400000000001</v>
      </c>
      <c r="J198" s="10">
        <v>3.7934999999999999</v>
      </c>
      <c r="K198" s="10">
        <v>80.381560166318451</v>
      </c>
      <c r="L198" s="10">
        <v>45.573888091822099</v>
      </c>
      <c r="M198" s="7">
        <f t="shared" si="25"/>
        <v>3.0932327987644403</v>
      </c>
      <c r="N198" s="10">
        <v>45.5</v>
      </c>
      <c r="O198" s="10">
        <v>2.032</v>
      </c>
      <c r="P198" s="10">
        <v>12.7</v>
      </c>
      <c r="Q198" s="10">
        <v>0.37</v>
      </c>
      <c r="R198" s="10">
        <v>0.16400000000000001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6">
        <v>0</v>
      </c>
      <c r="AG198" s="47">
        <v>9</v>
      </c>
      <c r="AH198" s="4">
        <v>0</v>
      </c>
      <c r="AI198" s="4">
        <v>0</v>
      </c>
      <c r="AJ198" s="46">
        <v>0</v>
      </c>
      <c r="AK198" s="48">
        <v>0</v>
      </c>
      <c r="AL198" s="49">
        <v>0</v>
      </c>
      <c r="AM198" s="49">
        <v>0</v>
      </c>
      <c r="AN198" s="50">
        <v>0</v>
      </c>
      <c r="AO198" s="49">
        <v>0</v>
      </c>
      <c r="AP198" s="46">
        <v>1</v>
      </c>
      <c r="AQ198" s="4">
        <v>0</v>
      </c>
      <c r="AR198" s="46">
        <v>0</v>
      </c>
      <c r="AS198" s="48">
        <v>0</v>
      </c>
      <c r="AT198" s="4">
        <v>0</v>
      </c>
      <c r="AU198" s="4">
        <v>0</v>
      </c>
      <c r="AV198" s="4">
        <v>0</v>
      </c>
      <c r="AW198" s="46">
        <v>0</v>
      </c>
      <c r="AX198" s="4">
        <v>0</v>
      </c>
      <c r="AY198" s="4">
        <v>0</v>
      </c>
      <c r="AZ198" s="46">
        <v>0</v>
      </c>
      <c r="BA198" s="4">
        <v>0</v>
      </c>
      <c r="BB198" s="4">
        <v>0</v>
      </c>
      <c r="BC198" s="46">
        <v>0</v>
      </c>
      <c r="BD198" s="4">
        <v>0</v>
      </c>
      <c r="BE198" s="4">
        <v>0</v>
      </c>
      <c r="BF198" s="4">
        <v>0</v>
      </c>
      <c r="BG198" s="4">
        <v>1</v>
      </c>
      <c r="BH198" s="4">
        <v>1</v>
      </c>
      <c r="BI198" s="4">
        <v>0</v>
      </c>
      <c r="BJ198" s="4">
        <v>0</v>
      </c>
      <c r="BK198" s="46">
        <v>0</v>
      </c>
      <c r="BL198" s="46">
        <v>0</v>
      </c>
      <c r="BM198" s="46">
        <v>0</v>
      </c>
      <c r="BN198" s="46">
        <v>0</v>
      </c>
      <c r="BO198" s="46">
        <v>0</v>
      </c>
      <c r="BP198" s="4">
        <v>0</v>
      </c>
      <c r="BQ198" s="4">
        <v>0</v>
      </c>
      <c r="BR198" s="46">
        <v>0</v>
      </c>
      <c r="BS198" s="51">
        <v>0</v>
      </c>
      <c r="BT198" s="4">
        <v>0</v>
      </c>
      <c r="BU198" s="46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52">
        <v>0</v>
      </c>
      <c r="CG198" s="67">
        <f t="shared" si="26"/>
        <v>12</v>
      </c>
      <c r="CH198" s="69">
        <f t="shared" si="27"/>
        <v>4</v>
      </c>
      <c r="CI198" s="30">
        <f t="shared" si="28"/>
        <v>0</v>
      </c>
      <c r="CJ198" s="30">
        <f t="shared" si="29"/>
        <v>9</v>
      </c>
      <c r="CK198" s="30">
        <f t="shared" si="30"/>
        <v>2</v>
      </c>
      <c r="CL198" s="67">
        <f t="shared" si="31"/>
        <v>2</v>
      </c>
      <c r="CM198" s="30">
        <v>12</v>
      </c>
      <c r="CN198" s="30">
        <v>0</v>
      </c>
      <c r="CO198" s="30">
        <v>0</v>
      </c>
      <c r="CP198" s="30">
        <v>0</v>
      </c>
      <c r="CQ198" s="67">
        <v>1</v>
      </c>
    </row>
    <row r="199" spans="1:95" x14ac:dyDescent="0.3">
      <c r="A199" s="10">
        <v>247</v>
      </c>
      <c r="B199" s="10" t="s">
        <v>2</v>
      </c>
      <c r="C199" s="10" t="s">
        <v>14</v>
      </c>
      <c r="D199" s="10" t="s">
        <v>4</v>
      </c>
      <c r="E199" s="10">
        <v>3</v>
      </c>
      <c r="F199" s="10" t="s">
        <v>6</v>
      </c>
      <c r="G199" s="10">
        <v>7.120000000000001</v>
      </c>
      <c r="H199" s="10">
        <v>12</v>
      </c>
      <c r="I199" s="10">
        <v>26.378599999999999</v>
      </c>
      <c r="J199" s="10">
        <v>3.8003</v>
      </c>
      <c r="K199" s="10">
        <v>85.593246040350891</v>
      </c>
      <c r="L199" s="10">
        <v>46.625000000000007</v>
      </c>
      <c r="M199" s="7">
        <f t="shared" si="25"/>
        <v>3.1127343642273031</v>
      </c>
      <c r="N199" s="10">
        <v>47.75</v>
      </c>
      <c r="O199" s="10">
        <v>1.7330000000000001</v>
      </c>
      <c r="P199" s="10">
        <v>10.834</v>
      </c>
      <c r="Q199" s="10">
        <v>0.59399999999999997</v>
      </c>
      <c r="R199" s="10">
        <v>0.23287000000000002</v>
      </c>
      <c r="S199" s="4">
        <v>4</v>
      </c>
      <c r="T199" s="4">
        <v>0</v>
      </c>
      <c r="U199" s="4">
        <v>0</v>
      </c>
      <c r="V199" s="4">
        <v>0</v>
      </c>
      <c r="W199" s="4">
        <v>1</v>
      </c>
      <c r="X199" s="4">
        <v>3</v>
      </c>
      <c r="Y199" s="4">
        <v>0</v>
      </c>
      <c r="Z199" s="4">
        <v>0</v>
      </c>
      <c r="AA199" s="4">
        <v>0</v>
      </c>
      <c r="AB199" s="4">
        <v>9</v>
      </c>
      <c r="AC199" s="4">
        <v>0</v>
      </c>
      <c r="AD199" s="4">
        <v>0</v>
      </c>
      <c r="AE199" s="4">
        <v>0</v>
      </c>
      <c r="AF199" s="46">
        <v>0</v>
      </c>
      <c r="AG199" s="47">
        <v>18</v>
      </c>
      <c r="AH199" s="4">
        <v>3</v>
      </c>
      <c r="AI199" s="4">
        <v>0</v>
      </c>
      <c r="AJ199" s="46">
        <v>0</v>
      </c>
      <c r="AK199" s="48">
        <v>0</v>
      </c>
      <c r="AL199" s="49">
        <v>0</v>
      </c>
      <c r="AM199" s="49">
        <v>0</v>
      </c>
      <c r="AN199" s="50">
        <v>0</v>
      </c>
      <c r="AO199" s="49">
        <v>0</v>
      </c>
      <c r="AP199" s="46">
        <v>0</v>
      </c>
      <c r="AQ199" s="4">
        <v>0</v>
      </c>
      <c r="AR199" s="46">
        <v>0</v>
      </c>
      <c r="AS199" s="48">
        <v>3</v>
      </c>
      <c r="AT199" s="4">
        <v>0</v>
      </c>
      <c r="AU199" s="4">
        <v>0</v>
      </c>
      <c r="AV199" s="4">
        <v>0</v>
      </c>
      <c r="AW199" s="46">
        <v>0</v>
      </c>
      <c r="AX199" s="4">
        <v>0</v>
      </c>
      <c r="AY199" s="4">
        <v>0</v>
      </c>
      <c r="AZ199" s="46">
        <v>0</v>
      </c>
      <c r="BA199" s="4">
        <v>0</v>
      </c>
      <c r="BB199" s="4">
        <v>0</v>
      </c>
      <c r="BC199" s="46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6">
        <v>0</v>
      </c>
      <c r="BL199" s="46">
        <v>0</v>
      </c>
      <c r="BM199" s="46">
        <v>0</v>
      </c>
      <c r="BN199" s="46">
        <v>0</v>
      </c>
      <c r="BO199" s="46">
        <v>0</v>
      </c>
      <c r="BP199" s="4">
        <v>0</v>
      </c>
      <c r="BQ199" s="4">
        <v>0</v>
      </c>
      <c r="BR199" s="46">
        <v>0</v>
      </c>
      <c r="BS199" s="51">
        <v>0</v>
      </c>
      <c r="BT199" s="4">
        <v>0</v>
      </c>
      <c r="BU199" s="46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52">
        <v>0</v>
      </c>
      <c r="CG199" s="67">
        <f t="shared" si="26"/>
        <v>41</v>
      </c>
      <c r="CH199" s="69">
        <f t="shared" si="27"/>
        <v>7</v>
      </c>
      <c r="CI199" s="30">
        <f t="shared" si="28"/>
        <v>3</v>
      </c>
      <c r="CJ199" s="30">
        <f t="shared" si="29"/>
        <v>38</v>
      </c>
      <c r="CK199" s="30">
        <f t="shared" si="30"/>
        <v>0</v>
      </c>
      <c r="CL199" s="67">
        <f t="shared" si="31"/>
        <v>2</v>
      </c>
      <c r="CM199" s="30">
        <v>41</v>
      </c>
      <c r="CN199" s="30">
        <v>0</v>
      </c>
      <c r="CO199" s="30">
        <v>0</v>
      </c>
      <c r="CP199" s="30">
        <v>0</v>
      </c>
      <c r="CQ199" s="67">
        <v>1</v>
      </c>
    </row>
    <row r="200" spans="1:95" x14ac:dyDescent="0.3">
      <c r="A200" s="10">
        <v>250</v>
      </c>
      <c r="B200" s="10" t="s">
        <v>2</v>
      </c>
      <c r="C200" s="10" t="s">
        <v>1</v>
      </c>
      <c r="D200" s="10" t="s">
        <v>4</v>
      </c>
      <c r="E200" s="10">
        <v>5</v>
      </c>
      <c r="F200" s="10" t="s">
        <v>6</v>
      </c>
      <c r="G200" s="10">
        <v>6.9600000000000009</v>
      </c>
      <c r="H200" s="10">
        <v>12</v>
      </c>
      <c r="I200" s="10">
        <v>27.3367</v>
      </c>
      <c r="J200" s="10">
        <v>3.7645</v>
      </c>
      <c r="K200" s="10">
        <v>86.229135191884907</v>
      </c>
      <c r="L200" s="10">
        <v>45.912356321839084</v>
      </c>
      <c r="M200" s="7">
        <f t="shared" si="25"/>
        <v>3.0994710738262889</v>
      </c>
      <c r="N200" s="10">
        <v>45.75</v>
      </c>
      <c r="O200" s="10">
        <v>1.7549999999999999</v>
      </c>
      <c r="P200" s="10">
        <v>10.965999999999999</v>
      </c>
      <c r="Q200" s="10">
        <v>0.32800000000000001</v>
      </c>
      <c r="R200" s="10">
        <v>0.39187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0</v>
      </c>
      <c r="AF200" s="46">
        <v>0</v>
      </c>
      <c r="AG200" s="47">
        <v>21</v>
      </c>
      <c r="AH200" s="4">
        <v>0</v>
      </c>
      <c r="AI200" s="4">
        <v>0</v>
      </c>
      <c r="AJ200" s="46">
        <v>0</v>
      </c>
      <c r="AK200" s="48">
        <v>0</v>
      </c>
      <c r="AL200" s="49">
        <v>0</v>
      </c>
      <c r="AM200" s="49">
        <v>0</v>
      </c>
      <c r="AN200" s="50">
        <v>0</v>
      </c>
      <c r="AO200" s="49">
        <v>0</v>
      </c>
      <c r="AP200" s="46">
        <v>0</v>
      </c>
      <c r="AQ200" s="4">
        <v>1</v>
      </c>
      <c r="AR200" s="46">
        <v>0</v>
      </c>
      <c r="AS200" s="48">
        <v>0</v>
      </c>
      <c r="AT200" s="4">
        <v>0</v>
      </c>
      <c r="AU200" s="4">
        <v>0</v>
      </c>
      <c r="AV200" s="4">
        <v>0</v>
      </c>
      <c r="AW200" s="46">
        <v>0</v>
      </c>
      <c r="AX200" s="4">
        <v>0</v>
      </c>
      <c r="AY200" s="4">
        <v>0</v>
      </c>
      <c r="AZ200" s="46">
        <v>0</v>
      </c>
      <c r="BA200" s="4">
        <v>0</v>
      </c>
      <c r="BB200" s="4">
        <v>0</v>
      </c>
      <c r="BC200" s="46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6">
        <v>0</v>
      </c>
      <c r="BL200" s="46">
        <v>0</v>
      </c>
      <c r="BM200" s="46">
        <v>0</v>
      </c>
      <c r="BN200" s="46">
        <v>0</v>
      </c>
      <c r="BO200" s="46">
        <v>0</v>
      </c>
      <c r="BP200" s="4">
        <v>0</v>
      </c>
      <c r="BQ200" s="4">
        <v>0</v>
      </c>
      <c r="BR200" s="46">
        <v>0</v>
      </c>
      <c r="BS200" s="51">
        <v>0</v>
      </c>
      <c r="BT200" s="4">
        <v>1</v>
      </c>
      <c r="BU200" s="46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52">
        <v>0</v>
      </c>
      <c r="CG200" s="67">
        <f t="shared" si="26"/>
        <v>27</v>
      </c>
      <c r="CH200" s="69">
        <f t="shared" si="27"/>
        <v>6</v>
      </c>
      <c r="CI200" s="30">
        <f t="shared" si="28"/>
        <v>0</v>
      </c>
      <c r="CJ200" s="30">
        <f t="shared" si="29"/>
        <v>26</v>
      </c>
      <c r="CK200" s="30">
        <f t="shared" si="30"/>
        <v>1</v>
      </c>
      <c r="CL200" s="67">
        <f t="shared" si="31"/>
        <v>2</v>
      </c>
      <c r="CM200" s="30">
        <v>25</v>
      </c>
      <c r="CN200" s="30">
        <v>0</v>
      </c>
      <c r="CO200" s="30">
        <v>0</v>
      </c>
      <c r="CP200" s="30">
        <v>2</v>
      </c>
      <c r="CQ200" s="67">
        <v>1</v>
      </c>
    </row>
    <row r="201" spans="1:95" x14ac:dyDescent="0.3">
      <c r="A201" s="10">
        <v>253</v>
      </c>
      <c r="B201" s="10" t="s">
        <v>2</v>
      </c>
      <c r="C201" s="10" t="s">
        <v>14</v>
      </c>
      <c r="D201" s="10" t="s">
        <v>4</v>
      </c>
      <c r="E201" s="10">
        <v>5</v>
      </c>
      <c r="F201" s="10" t="s">
        <v>6</v>
      </c>
      <c r="G201" s="10">
        <v>6.9799999999999995</v>
      </c>
      <c r="H201" s="10">
        <v>12</v>
      </c>
      <c r="I201" s="10">
        <v>19.825800000000001</v>
      </c>
      <c r="J201" s="10">
        <v>3.0655999999999999</v>
      </c>
      <c r="K201" s="10">
        <v>84.537320057702587</v>
      </c>
      <c r="L201" s="10">
        <v>56.080229226361034</v>
      </c>
      <c r="M201" s="7">
        <f t="shared" si="25"/>
        <v>3.3077122577678768</v>
      </c>
      <c r="N201" s="10">
        <v>46.98</v>
      </c>
      <c r="O201" s="10">
        <v>1.7689999999999999</v>
      </c>
      <c r="P201" s="10">
        <v>11.058999999999999</v>
      </c>
      <c r="Q201" s="10">
        <v>0.51100000000000001</v>
      </c>
      <c r="R201" s="10">
        <v>0.42786999999999997</v>
      </c>
      <c r="S201" s="4">
        <v>4</v>
      </c>
      <c r="T201" s="4">
        <v>0</v>
      </c>
      <c r="U201" s="4">
        <v>0</v>
      </c>
      <c r="V201" s="4">
        <v>5</v>
      </c>
      <c r="W201" s="4">
        <v>0</v>
      </c>
      <c r="X201" s="4">
        <v>0</v>
      </c>
      <c r="Y201" s="4">
        <v>0</v>
      </c>
      <c r="Z201" s="4">
        <v>0</v>
      </c>
      <c r="AA201" s="4">
        <v>7</v>
      </c>
      <c r="AB201" s="4">
        <v>0</v>
      </c>
      <c r="AC201" s="4">
        <v>0</v>
      </c>
      <c r="AD201" s="4">
        <v>0</v>
      </c>
      <c r="AE201" s="4">
        <v>0</v>
      </c>
      <c r="AF201" s="46">
        <v>1</v>
      </c>
      <c r="AG201" s="47">
        <v>44</v>
      </c>
      <c r="AH201" s="4">
        <v>3</v>
      </c>
      <c r="AI201" s="4">
        <v>0</v>
      </c>
      <c r="AJ201" s="46">
        <v>0</v>
      </c>
      <c r="AK201" s="48">
        <v>1</v>
      </c>
      <c r="AL201" s="49">
        <v>0</v>
      </c>
      <c r="AM201" s="49">
        <v>0</v>
      </c>
      <c r="AN201" s="50">
        <v>0</v>
      </c>
      <c r="AO201" s="49">
        <v>0</v>
      </c>
      <c r="AP201" s="46">
        <v>0</v>
      </c>
      <c r="AQ201" s="4">
        <v>7</v>
      </c>
      <c r="AR201" s="46">
        <v>0</v>
      </c>
      <c r="AS201" s="48">
        <v>12</v>
      </c>
      <c r="AT201" s="4">
        <v>0</v>
      </c>
      <c r="AU201" s="4">
        <v>0</v>
      </c>
      <c r="AV201" s="4">
        <v>0</v>
      </c>
      <c r="AW201" s="46">
        <v>0</v>
      </c>
      <c r="AX201" s="4">
        <v>0</v>
      </c>
      <c r="AY201" s="4">
        <v>0</v>
      </c>
      <c r="AZ201" s="46">
        <v>0</v>
      </c>
      <c r="BA201" s="4">
        <v>0</v>
      </c>
      <c r="BB201" s="4">
        <v>0</v>
      </c>
      <c r="BC201" s="46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0</v>
      </c>
      <c r="BJ201" s="4">
        <v>0</v>
      </c>
      <c r="BK201" s="46">
        <v>0</v>
      </c>
      <c r="BL201" s="46">
        <v>0</v>
      </c>
      <c r="BM201" s="46">
        <v>0</v>
      </c>
      <c r="BN201" s="46">
        <v>0</v>
      </c>
      <c r="BO201" s="46">
        <v>0</v>
      </c>
      <c r="BP201" s="4">
        <v>0</v>
      </c>
      <c r="BQ201" s="4">
        <v>0</v>
      </c>
      <c r="BR201" s="46">
        <v>0</v>
      </c>
      <c r="BS201" s="51">
        <v>0</v>
      </c>
      <c r="BT201" s="4">
        <v>0</v>
      </c>
      <c r="BU201" s="46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52">
        <v>0</v>
      </c>
      <c r="CG201" s="67">
        <f t="shared" si="26"/>
        <v>85</v>
      </c>
      <c r="CH201" s="69">
        <f t="shared" si="27"/>
        <v>10</v>
      </c>
      <c r="CI201" s="30">
        <f t="shared" si="28"/>
        <v>12</v>
      </c>
      <c r="CJ201" s="30">
        <f t="shared" si="29"/>
        <v>71</v>
      </c>
      <c r="CK201" s="30">
        <f t="shared" si="30"/>
        <v>2</v>
      </c>
      <c r="CL201" s="67">
        <f t="shared" si="31"/>
        <v>3</v>
      </c>
      <c r="CM201" s="30">
        <v>84</v>
      </c>
      <c r="CN201" s="30">
        <v>0</v>
      </c>
      <c r="CO201" s="30">
        <v>0</v>
      </c>
      <c r="CP201" s="30">
        <v>1</v>
      </c>
      <c r="CQ201" s="67">
        <v>1</v>
      </c>
    </row>
    <row r="202" spans="1:95" x14ac:dyDescent="0.3">
      <c r="A202" s="10">
        <v>257</v>
      </c>
      <c r="B202" s="10" t="s">
        <v>2</v>
      </c>
      <c r="C202" s="10" t="s">
        <v>14</v>
      </c>
      <c r="D202" s="10" t="s">
        <v>4</v>
      </c>
      <c r="E202" s="10">
        <v>4</v>
      </c>
      <c r="F202" s="10" t="s">
        <v>6</v>
      </c>
      <c r="G202" s="10">
        <v>7.0000000000000009</v>
      </c>
      <c r="H202" s="10">
        <v>12</v>
      </c>
      <c r="I202" s="10">
        <v>24.6676</v>
      </c>
      <c r="J202" s="10">
        <v>2.851</v>
      </c>
      <c r="K202" s="10">
        <v>88.442329209165067</v>
      </c>
      <c r="L202" s="10">
        <v>59.271428571428572</v>
      </c>
      <c r="M202" s="7">
        <f t="shared" si="25"/>
        <v>3.3831469889127788</v>
      </c>
      <c r="N202" s="10">
        <v>47.25</v>
      </c>
      <c r="O202" s="10">
        <v>1.907</v>
      </c>
      <c r="P202" s="10">
        <v>11.92</v>
      </c>
      <c r="Q202" s="10">
        <v>0.39900000000000002</v>
      </c>
      <c r="R202" s="10">
        <v>0.19399999999999998</v>
      </c>
      <c r="S202" s="4">
        <v>0</v>
      </c>
      <c r="T202" s="4">
        <v>3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6">
        <v>0</v>
      </c>
      <c r="AG202" s="47">
        <v>8</v>
      </c>
      <c r="AH202" s="4">
        <v>0</v>
      </c>
      <c r="AI202" s="4">
        <v>0</v>
      </c>
      <c r="AJ202" s="46">
        <v>0</v>
      </c>
      <c r="AK202" s="48">
        <v>0</v>
      </c>
      <c r="AL202" s="49">
        <v>0</v>
      </c>
      <c r="AM202" s="49">
        <v>0</v>
      </c>
      <c r="AN202" s="50">
        <v>0</v>
      </c>
      <c r="AO202" s="49">
        <v>0</v>
      </c>
      <c r="AP202" s="46">
        <v>0</v>
      </c>
      <c r="AQ202" s="4">
        <v>1</v>
      </c>
      <c r="AR202" s="46">
        <v>0</v>
      </c>
      <c r="AS202" s="48">
        <v>0</v>
      </c>
      <c r="AT202" s="4">
        <v>0</v>
      </c>
      <c r="AU202" s="4">
        <v>0</v>
      </c>
      <c r="AV202" s="4">
        <v>0</v>
      </c>
      <c r="AW202" s="46">
        <v>0</v>
      </c>
      <c r="AX202" s="4">
        <v>0</v>
      </c>
      <c r="AY202" s="4">
        <v>0</v>
      </c>
      <c r="AZ202" s="46">
        <v>0</v>
      </c>
      <c r="BA202" s="4">
        <v>0</v>
      </c>
      <c r="BB202" s="4">
        <v>0</v>
      </c>
      <c r="BC202" s="46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6">
        <v>0</v>
      </c>
      <c r="BL202" s="46">
        <v>0</v>
      </c>
      <c r="BM202" s="46">
        <v>0</v>
      </c>
      <c r="BN202" s="46">
        <v>0</v>
      </c>
      <c r="BO202" s="46">
        <v>0</v>
      </c>
      <c r="BP202" s="4">
        <v>0</v>
      </c>
      <c r="BQ202" s="4">
        <v>0</v>
      </c>
      <c r="BR202" s="46">
        <v>0</v>
      </c>
      <c r="BS202" s="51">
        <v>0</v>
      </c>
      <c r="BT202" s="4">
        <v>0</v>
      </c>
      <c r="BU202" s="46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52">
        <v>0</v>
      </c>
      <c r="CG202" s="67">
        <f t="shared" si="26"/>
        <v>12</v>
      </c>
      <c r="CH202" s="69">
        <f t="shared" si="27"/>
        <v>3</v>
      </c>
      <c r="CI202" s="30">
        <f t="shared" si="28"/>
        <v>0</v>
      </c>
      <c r="CJ202" s="30">
        <f t="shared" si="29"/>
        <v>12</v>
      </c>
      <c r="CK202" s="30">
        <f t="shared" si="30"/>
        <v>0</v>
      </c>
      <c r="CL202" s="67">
        <f t="shared" si="31"/>
        <v>1</v>
      </c>
      <c r="CM202" s="30">
        <v>12</v>
      </c>
      <c r="CN202" s="30">
        <v>0</v>
      </c>
      <c r="CO202" s="30">
        <v>0</v>
      </c>
      <c r="CP202" s="30">
        <v>0</v>
      </c>
      <c r="CQ202" s="67">
        <v>1</v>
      </c>
    </row>
    <row r="203" spans="1:95" x14ac:dyDescent="0.3">
      <c r="A203" s="10">
        <v>273</v>
      </c>
      <c r="B203" s="10" t="s">
        <v>2</v>
      </c>
      <c r="C203" s="10" t="s">
        <v>1</v>
      </c>
      <c r="D203" s="10" t="s">
        <v>4</v>
      </c>
      <c r="E203" s="10">
        <v>3</v>
      </c>
      <c r="F203" s="10" t="s">
        <v>6</v>
      </c>
      <c r="G203" s="10">
        <v>7.0600000000000005</v>
      </c>
      <c r="H203" s="10">
        <v>12</v>
      </c>
      <c r="I203" s="10">
        <v>17.583100000000002</v>
      </c>
      <c r="J203" s="10">
        <v>2.9018999999999999</v>
      </c>
      <c r="K203" s="10">
        <v>83.496084308227793</v>
      </c>
      <c r="L203" s="10">
        <v>58.896600566572246</v>
      </c>
      <c r="M203" s="7">
        <f t="shared" si="25"/>
        <v>3.3739860064186771</v>
      </c>
      <c r="N203" s="10">
        <v>46.06</v>
      </c>
      <c r="O203" s="10">
        <v>1.093</v>
      </c>
      <c r="P203" s="10">
        <v>6.8319999999999999</v>
      </c>
      <c r="Q203" s="10">
        <v>0.40899999999999997</v>
      </c>
      <c r="R203" s="10">
        <v>0.24087</v>
      </c>
      <c r="S203" s="4">
        <v>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</v>
      </c>
      <c r="AB203" s="4">
        <v>7</v>
      </c>
      <c r="AC203" s="4">
        <v>0</v>
      </c>
      <c r="AD203" s="4">
        <v>0</v>
      </c>
      <c r="AE203" s="4">
        <v>0</v>
      </c>
      <c r="AF203" s="46">
        <v>0</v>
      </c>
      <c r="AG203" s="47">
        <v>16</v>
      </c>
      <c r="AH203" s="4">
        <v>5</v>
      </c>
      <c r="AI203" s="4">
        <v>0</v>
      </c>
      <c r="AJ203" s="46">
        <v>0</v>
      </c>
      <c r="AK203" s="48">
        <v>0</v>
      </c>
      <c r="AL203" s="49">
        <v>0</v>
      </c>
      <c r="AM203" s="49">
        <v>0</v>
      </c>
      <c r="AN203" s="50">
        <v>0</v>
      </c>
      <c r="AO203" s="49">
        <v>0</v>
      </c>
      <c r="AP203" s="46">
        <v>0</v>
      </c>
      <c r="AQ203" s="4">
        <v>1</v>
      </c>
      <c r="AR203" s="46">
        <v>0</v>
      </c>
      <c r="AS203" s="48">
        <v>0</v>
      </c>
      <c r="AT203" s="4">
        <v>0</v>
      </c>
      <c r="AU203" s="4">
        <v>0</v>
      </c>
      <c r="AV203" s="4">
        <v>0</v>
      </c>
      <c r="AW203" s="46">
        <v>0</v>
      </c>
      <c r="AX203" s="4">
        <v>0</v>
      </c>
      <c r="AY203" s="4">
        <v>0</v>
      </c>
      <c r="AZ203" s="46">
        <v>0</v>
      </c>
      <c r="BA203" s="4">
        <v>0</v>
      </c>
      <c r="BB203" s="4">
        <v>0</v>
      </c>
      <c r="BC203" s="46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1</v>
      </c>
      <c r="BI203" s="4">
        <v>0</v>
      </c>
      <c r="BJ203" s="4">
        <v>0</v>
      </c>
      <c r="BK203" s="46">
        <v>0</v>
      </c>
      <c r="BL203" s="46">
        <v>0</v>
      </c>
      <c r="BM203" s="46">
        <v>0</v>
      </c>
      <c r="BN203" s="46">
        <v>0</v>
      </c>
      <c r="BO203" s="46">
        <v>0</v>
      </c>
      <c r="BP203" s="4">
        <v>0</v>
      </c>
      <c r="BQ203" s="4">
        <v>0</v>
      </c>
      <c r="BR203" s="46">
        <v>0</v>
      </c>
      <c r="BS203" s="51">
        <v>0</v>
      </c>
      <c r="BT203" s="4">
        <v>0</v>
      </c>
      <c r="BU203" s="46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52">
        <v>0</v>
      </c>
      <c r="CG203" s="67">
        <f t="shared" si="26"/>
        <v>35</v>
      </c>
      <c r="CH203" s="69">
        <f t="shared" si="27"/>
        <v>7</v>
      </c>
      <c r="CI203" s="30">
        <f t="shared" si="28"/>
        <v>0</v>
      </c>
      <c r="CJ203" s="30">
        <f t="shared" si="29"/>
        <v>34</v>
      </c>
      <c r="CK203" s="30">
        <f t="shared" si="30"/>
        <v>1</v>
      </c>
      <c r="CL203" s="67">
        <f t="shared" si="31"/>
        <v>2</v>
      </c>
      <c r="CM203" s="30">
        <v>35</v>
      </c>
      <c r="CN203" s="30">
        <v>0</v>
      </c>
      <c r="CO203" s="30">
        <v>0</v>
      </c>
      <c r="CP203" s="30">
        <v>0</v>
      </c>
      <c r="CQ203" s="67">
        <v>1</v>
      </c>
    </row>
    <row r="204" spans="1:95" x14ac:dyDescent="0.3">
      <c r="A204" s="10">
        <v>274</v>
      </c>
      <c r="B204" s="10" t="s">
        <v>2</v>
      </c>
      <c r="C204" s="10" t="s">
        <v>1</v>
      </c>
      <c r="D204" s="10" t="s">
        <v>4</v>
      </c>
      <c r="E204" s="10">
        <v>4</v>
      </c>
      <c r="F204" s="10" t="s">
        <v>6</v>
      </c>
      <c r="G204" s="10">
        <v>6.98</v>
      </c>
      <c r="H204" s="10">
        <v>12</v>
      </c>
      <c r="I204" s="10">
        <v>24.948899999999998</v>
      </c>
      <c r="J204" s="10">
        <v>3.6545000000000001</v>
      </c>
      <c r="K204" s="10">
        <v>85.352059609842527</v>
      </c>
      <c r="L204" s="10">
        <v>47.643266475644701</v>
      </c>
      <c r="M204" s="7">
        <f t="shared" si="25"/>
        <v>3.1319962816239721</v>
      </c>
      <c r="N204" s="10">
        <v>46.63</v>
      </c>
      <c r="O204" s="10">
        <v>1.784</v>
      </c>
      <c r="P204" s="10">
        <v>11.151</v>
      </c>
      <c r="Q204" s="10">
        <v>0.45</v>
      </c>
      <c r="R204" s="10">
        <v>0.378</v>
      </c>
      <c r="S204" s="4">
        <v>19</v>
      </c>
      <c r="T204" s="4">
        <v>0</v>
      </c>
      <c r="U204" s="4">
        <v>0</v>
      </c>
      <c r="V204" s="4">
        <v>7</v>
      </c>
      <c r="W204" s="4">
        <v>0</v>
      </c>
      <c r="X204" s="4">
        <v>1</v>
      </c>
      <c r="Y204" s="4">
        <v>0</v>
      </c>
      <c r="Z204" s="4">
        <v>0</v>
      </c>
      <c r="AA204" s="4">
        <v>4</v>
      </c>
      <c r="AB204" s="4">
        <v>0</v>
      </c>
      <c r="AC204" s="4">
        <v>0</v>
      </c>
      <c r="AD204" s="4">
        <v>1</v>
      </c>
      <c r="AE204" s="4">
        <v>0</v>
      </c>
      <c r="AF204" s="46">
        <v>0</v>
      </c>
      <c r="AG204" s="47">
        <v>30</v>
      </c>
      <c r="AH204" s="4">
        <v>1</v>
      </c>
      <c r="AI204" s="4">
        <v>0</v>
      </c>
      <c r="AJ204" s="46">
        <v>0</v>
      </c>
      <c r="AK204" s="48">
        <v>0</v>
      </c>
      <c r="AL204" s="49">
        <v>0</v>
      </c>
      <c r="AM204" s="49">
        <v>0</v>
      </c>
      <c r="AN204" s="50">
        <v>0</v>
      </c>
      <c r="AO204" s="49">
        <v>0</v>
      </c>
      <c r="AP204" s="46">
        <v>0</v>
      </c>
      <c r="AQ204" s="4">
        <v>8</v>
      </c>
      <c r="AR204" s="46">
        <v>0</v>
      </c>
      <c r="AS204" s="48">
        <v>0</v>
      </c>
      <c r="AT204" s="4">
        <v>0</v>
      </c>
      <c r="AU204" s="4">
        <v>0</v>
      </c>
      <c r="AV204" s="4">
        <v>0</v>
      </c>
      <c r="AW204" s="46">
        <v>0</v>
      </c>
      <c r="AX204" s="4">
        <v>0</v>
      </c>
      <c r="AY204" s="4">
        <v>0</v>
      </c>
      <c r="AZ204" s="46">
        <v>0</v>
      </c>
      <c r="BA204" s="4">
        <v>0</v>
      </c>
      <c r="BB204" s="4">
        <v>0</v>
      </c>
      <c r="BC204" s="46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6">
        <v>0</v>
      </c>
      <c r="BL204" s="46">
        <v>0</v>
      </c>
      <c r="BM204" s="46">
        <v>0</v>
      </c>
      <c r="BN204" s="46">
        <v>0</v>
      </c>
      <c r="BO204" s="46">
        <v>0</v>
      </c>
      <c r="BP204" s="4">
        <v>0</v>
      </c>
      <c r="BQ204" s="4">
        <v>0</v>
      </c>
      <c r="BR204" s="46">
        <v>1</v>
      </c>
      <c r="BS204" s="51">
        <v>0</v>
      </c>
      <c r="BT204" s="4">
        <v>0</v>
      </c>
      <c r="BU204" s="46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52">
        <v>0</v>
      </c>
      <c r="CG204" s="67">
        <f t="shared" si="26"/>
        <v>72</v>
      </c>
      <c r="CH204" s="69">
        <f t="shared" si="27"/>
        <v>9</v>
      </c>
      <c r="CI204" s="30">
        <f t="shared" si="28"/>
        <v>0</v>
      </c>
      <c r="CJ204" s="30">
        <f t="shared" si="29"/>
        <v>71</v>
      </c>
      <c r="CK204" s="30">
        <f t="shared" si="30"/>
        <v>1</v>
      </c>
      <c r="CL204" s="67">
        <f t="shared" si="31"/>
        <v>2</v>
      </c>
      <c r="CM204" s="30">
        <v>70</v>
      </c>
      <c r="CN204" s="30">
        <v>0</v>
      </c>
      <c r="CO204" s="30">
        <v>0</v>
      </c>
      <c r="CP204" s="30">
        <v>2</v>
      </c>
      <c r="CQ204" s="67">
        <v>1</v>
      </c>
    </row>
    <row r="205" spans="1:95" x14ac:dyDescent="0.3">
      <c r="A205" s="10">
        <v>275</v>
      </c>
      <c r="B205" s="10" t="s">
        <v>2</v>
      </c>
      <c r="C205" s="10" t="s">
        <v>1</v>
      </c>
      <c r="D205" s="10" t="s">
        <v>4</v>
      </c>
      <c r="E205" s="10">
        <v>2</v>
      </c>
      <c r="F205" s="10" t="s">
        <v>6</v>
      </c>
      <c r="G205" s="10">
        <v>7.0499999999999989</v>
      </c>
      <c r="H205" s="10">
        <v>12</v>
      </c>
      <c r="I205" s="10">
        <v>26.678999999999998</v>
      </c>
      <c r="J205" s="10">
        <v>4.0998999999999999</v>
      </c>
      <c r="K205" s="10">
        <v>84.632482476854449</v>
      </c>
      <c r="L205" s="10">
        <v>41.845390070921979</v>
      </c>
      <c r="M205" s="7">
        <f t="shared" si="25"/>
        <v>3.0269716834432647</v>
      </c>
      <c r="N205" s="10">
        <v>47.05</v>
      </c>
      <c r="O205" s="10">
        <v>1.8839999999999999</v>
      </c>
      <c r="P205" s="10">
        <v>11.773999999999999</v>
      </c>
      <c r="Q205" s="10">
        <v>0.52700000000000002</v>
      </c>
      <c r="R205" s="10">
        <v>0.26086999999999999</v>
      </c>
      <c r="S205" s="4">
        <v>3</v>
      </c>
      <c r="T205" s="4">
        <v>0</v>
      </c>
      <c r="U205" s="4">
        <v>0</v>
      </c>
      <c r="V205" s="4">
        <v>0</v>
      </c>
      <c r="W205" s="4">
        <v>0</v>
      </c>
      <c r="X205" s="4">
        <v>3</v>
      </c>
      <c r="Y205" s="4">
        <v>0</v>
      </c>
      <c r="Z205" s="4">
        <v>0</v>
      </c>
      <c r="AA205" s="4">
        <v>0</v>
      </c>
      <c r="AB205" s="4">
        <v>1</v>
      </c>
      <c r="AC205" s="4">
        <v>0</v>
      </c>
      <c r="AD205" s="4">
        <v>0</v>
      </c>
      <c r="AE205" s="4">
        <v>0</v>
      </c>
      <c r="AF205" s="46">
        <v>0</v>
      </c>
      <c r="AG205" s="47">
        <v>22</v>
      </c>
      <c r="AH205" s="4">
        <v>0</v>
      </c>
      <c r="AI205" s="4">
        <v>0</v>
      </c>
      <c r="AJ205" s="46">
        <v>0</v>
      </c>
      <c r="AK205" s="48">
        <v>0</v>
      </c>
      <c r="AL205" s="49">
        <v>0</v>
      </c>
      <c r="AM205" s="49">
        <v>0</v>
      </c>
      <c r="AN205" s="50">
        <v>0</v>
      </c>
      <c r="AO205" s="49">
        <v>0</v>
      </c>
      <c r="AP205" s="46">
        <v>0</v>
      </c>
      <c r="AQ205" s="4">
        <v>1</v>
      </c>
      <c r="AR205" s="46">
        <v>0</v>
      </c>
      <c r="AS205" s="48">
        <v>0</v>
      </c>
      <c r="AT205" s="4">
        <v>0</v>
      </c>
      <c r="AU205" s="4">
        <v>0</v>
      </c>
      <c r="AV205" s="4">
        <v>0</v>
      </c>
      <c r="AW205" s="46">
        <v>0</v>
      </c>
      <c r="AX205" s="4">
        <v>0</v>
      </c>
      <c r="AY205" s="4">
        <v>0</v>
      </c>
      <c r="AZ205" s="46">
        <v>0</v>
      </c>
      <c r="BA205" s="4">
        <v>0</v>
      </c>
      <c r="BB205" s="4">
        <v>0</v>
      </c>
      <c r="BC205" s="46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6">
        <v>0</v>
      </c>
      <c r="BL205" s="46">
        <v>0</v>
      </c>
      <c r="BM205" s="46">
        <v>0</v>
      </c>
      <c r="BN205" s="46">
        <v>0</v>
      </c>
      <c r="BO205" s="46">
        <v>0</v>
      </c>
      <c r="BP205" s="4">
        <v>0</v>
      </c>
      <c r="BQ205" s="4">
        <v>0</v>
      </c>
      <c r="BR205" s="46">
        <v>0</v>
      </c>
      <c r="BS205" s="51">
        <v>0</v>
      </c>
      <c r="BT205" s="4">
        <v>0</v>
      </c>
      <c r="BU205" s="46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52">
        <v>0</v>
      </c>
      <c r="CG205" s="67">
        <f t="shared" si="26"/>
        <v>30</v>
      </c>
      <c r="CH205" s="69">
        <f t="shared" si="27"/>
        <v>5</v>
      </c>
      <c r="CI205" s="30">
        <f t="shared" si="28"/>
        <v>0</v>
      </c>
      <c r="CJ205" s="30">
        <f t="shared" si="29"/>
        <v>30</v>
      </c>
      <c r="CK205" s="30">
        <f t="shared" si="30"/>
        <v>0</v>
      </c>
      <c r="CL205" s="67">
        <f t="shared" si="31"/>
        <v>1</v>
      </c>
      <c r="CM205" s="30">
        <v>30</v>
      </c>
      <c r="CN205" s="30">
        <v>0</v>
      </c>
      <c r="CO205" s="30">
        <v>0</v>
      </c>
      <c r="CP205" s="30">
        <v>0</v>
      </c>
      <c r="CQ205" s="67">
        <v>1</v>
      </c>
    </row>
    <row r="206" spans="1:95" x14ac:dyDescent="0.3">
      <c r="A206" s="10">
        <v>282</v>
      </c>
      <c r="B206" s="10" t="s">
        <v>2</v>
      </c>
      <c r="C206" s="10" t="s">
        <v>14</v>
      </c>
      <c r="D206" s="10" t="s">
        <v>4</v>
      </c>
      <c r="E206" s="10">
        <v>2</v>
      </c>
      <c r="F206" s="10" t="s">
        <v>6</v>
      </c>
      <c r="G206" s="10">
        <v>7.0600000000000005</v>
      </c>
      <c r="H206" s="10">
        <v>12</v>
      </c>
      <c r="I206" s="10">
        <v>17.842099999999999</v>
      </c>
      <c r="J206" s="10">
        <v>3.0419</v>
      </c>
      <c r="K206" s="10">
        <v>82.950997920648348</v>
      </c>
      <c r="L206" s="10">
        <v>56.91359773371105</v>
      </c>
      <c r="M206" s="7">
        <f t="shared" si="25"/>
        <v>3.3268693811061789</v>
      </c>
      <c r="N206" s="10">
        <v>45.54</v>
      </c>
      <c r="O206" s="10">
        <v>1.9470000000000001</v>
      </c>
      <c r="P206" s="10">
        <v>12.170999999999999</v>
      </c>
      <c r="Q206" s="10">
        <v>0.42099999999999999</v>
      </c>
      <c r="R206" s="10">
        <v>0.34200000000000008</v>
      </c>
      <c r="S206" s="4">
        <v>5</v>
      </c>
      <c r="T206" s="4">
        <v>0</v>
      </c>
      <c r="U206" s="4">
        <v>0</v>
      </c>
      <c r="V206" s="4">
        <v>1</v>
      </c>
      <c r="W206" s="4">
        <v>0</v>
      </c>
      <c r="X206" s="4">
        <v>3</v>
      </c>
      <c r="Y206" s="4">
        <v>0</v>
      </c>
      <c r="Z206" s="4">
        <v>0</v>
      </c>
      <c r="AA206" s="4">
        <v>4</v>
      </c>
      <c r="AB206" s="4">
        <v>1</v>
      </c>
      <c r="AC206" s="4">
        <v>0</v>
      </c>
      <c r="AD206" s="4">
        <v>2</v>
      </c>
      <c r="AE206" s="4">
        <v>0</v>
      </c>
      <c r="AF206" s="46">
        <v>0</v>
      </c>
      <c r="AG206" s="47">
        <v>29</v>
      </c>
      <c r="AH206" s="4">
        <v>0</v>
      </c>
      <c r="AI206" s="4">
        <v>0</v>
      </c>
      <c r="AJ206" s="46">
        <v>0</v>
      </c>
      <c r="AK206" s="48">
        <v>0</v>
      </c>
      <c r="AL206" s="49">
        <v>0</v>
      </c>
      <c r="AM206" s="49">
        <v>0</v>
      </c>
      <c r="AN206" s="50">
        <v>0</v>
      </c>
      <c r="AO206" s="49">
        <v>0</v>
      </c>
      <c r="AP206" s="46">
        <v>0</v>
      </c>
      <c r="AQ206" s="4">
        <v>1</v>
      </c>
      <c r="AR206" s="46">
        <v>0</v>
      </c>
      <c r="AS206" s="48">
        <v>0</v>
      </c>
      <c r="AT206" s="4">
        <v>0</v>
      </c>
      <c r="AU206" s="4">
        <v>0</v>
      </c>
      <c r="AV206" s="4">
        <v>0</v>
      </c>
      <c r="AW206" s="46">
        <v>0</v>
      </c>
      <c r="AX206" s="4">
        <v>0</v>
      </c>
      <c r="AY206" s="4">
        <v>0</v>
      </c>
      <c r="AZ206" s="46">
        <v>0</v>
      </c>
      <c r="BA206" s="4">
        <v>0</v>
      </c>
      <c r="BB206" s="4">
        <v>0</v>
      </c>
      <c r="BC206" s="46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6">
        <v>0</v>
      </c>
      <c r="BL206" s="46">
        <v>0</v>
      </c>
      <c r="BM206" s="46">
        <v>0</v>
      </c>
      <c r="BN206" s="46">
        <v>0</v>
      </c>
      <c r="BO206" s="46">
        <v>0</v>
      </c>
      <c r="BP206" s="4">
        <v>0</v>
      </c>
      <c r="BQ206" s="4">
        <v>0</v>
      </c>
      <c r="BR206" s="46">
        <v>0</v>
      </c>
      <c r="BS206" s="51">
        <v>0</v>
      </c>
      <c r="BT206" s="4">
        <v>0</v>
      </c>
      <c r="BU206" s="46">
        <v>0</v>
      </c>
      <c r="BV206" s="4">
        <v>0</v>
      </c>
      <c r="BW206" s="4">
        <v>0</v>
      </c>
      <c r="BX206" s="4">
        <v>1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52">
        <v>0</v>
      </c>
      <c r="CG206" s="67">
        <f t="shared" si="26"/>
        <v>47</v>
      </c>
      <c r="CH206" s="69">
        <f t="shared" si="27"/>
        <v>9</v>
      </c>
      <c r="CI206" s="30">
        <f t="shared" si="28"/>
        <v>0</v>
      </c>
      <c r="CJ206" s="30">
        <f t="shared" si="29"/>
        <v>46</v>
      </c>
      <c r="CK206" s="30">
        <f t="shared" si="30"/>
        <v>1</v>
      </c>
      <c r="CL206" s="67">
        <f t="shared" si="31"/>
        <v>2</v>
      </c>
      <c r="CM206" s="30">
        <v>44</v>
      </c>
      <c r="CN206" s="30">
        <v>0</v>
      </c>
      <c r="CO206" s="30">
        <v>0</v>
      </c>
      <c r="CP206" s="30">
        <v>3</v>
      </c>
      <c r="CQ206" s="67">
        <v>1</v>
      </c>
    </row>
    <row r="207" spans="1:95" x14ac:dyDescent="0.3">
      <c r="A207" s="10">
        <v>294</v>
      </c>
      <c r="B207" s="10" t="s">
        <v>2</v>
      </c>
      <c r="C207" s="10" t="s">
        <v>14</v>
      </c>
      <c r="D207" s="10" t="s">
        <v>4</v>
      </c>
      <c r="E207" s="10">
        <v>1</v>
      </c>
      <c r="F207" s="10" t="s">
        <v>6</v>
      </c>
      <c r="G207" s="10">
        <v>6.93</v>
      </c>
      <c r="H207" s="10">
        <v>12</v>
      </c>
      <c r="I207" s="10">
        <v>21.335599999999999</v>
      </c>
      <c r="J207" s="10">
        <v>3.6107</v>
      </c>
      <c r="K207" s="10">
        <v>83.076641856802709</v>
      </c>
      <c r="L207" s="10">
        <v>47.897546897546896</v>
      </c>
      <c r="M207" s="7">
        <f t="shared" si="25"/>
        <v>3.136864803625151</v>
      </c>
      <c r="N207" s="10">
        <v>47.11</v>
      </c>
      <c r="O207" s="10">
        <v>1.9419999999999999</v>
      </c>
      <c r="P207" s="10">
        <v>12.137</v>
      </c>
      <c r="Q207" s="10">
        <v>0.65700000000000003</v>
      </c>
      <c r="R207" s="10">
        <v>0.36986999999999998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6">
        <v>0</v>
      </c>
      <c r="AG207" s="47">
        <v>0</v>
      </c>
      <c r="AH207" s="4">
        <v>0</v>
      </c>
      <c r="AI207" s="4">
        <v>0</v>
      </c>
      <c r="AJ207" s="46">
        <v>0</v>
      </c>
      <c r="AK207" s="48">
        <v>0</v>
      </c>
      <c r="AL207" s="49">
        <v>0</v>
      </c>
      <c r="AM207" s="49">
        <v>0</v>
      </c>
      <c r="AN207" s="50">
        <v>0</v>
      </c>
      <c r="AO207" s="49">
        <v>0</v>
      </c>
      <c r="AP207" s="46">
        <v>0</v>
      </c>
      <c r="AQ207" s="4">
        <v>0</v>
      </c>
      <c r="AR207" s="46">
        <v>0</v>
      </c>
      <c r="AS207" s="48">
        <v>0</v>
      </c>
      <c r="AT207" s="4">
        <v>0</v>
      </c>
      <c r="AU207" s="4">
        <v>0</v>
      </c>
      <c r="AV207" s="4">
        <v>0</v>
      </c>
      <c r="AW207" s="46">
        <v>0</v>
      </c>
      <c r="AX207" s="4">
        <v>0</v>
      </c>
      <c r="AY207" s="4">
        <v>0</v>
      </c>
      <c r="AZ207" s="46">
        <v>0</v>
      </c>
      <c r="BA207" s="4">
        <v>0</v>
      </c>
      <c r="BB207" s="4">
        <v>0</v>
      </c>
      <c r="BC207" s="46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6">
        <v>0</v>
      </c>
      <c r="BL207" s="46">
        <v>0</v>
      </c>
      <c r="BM207" s="46">
        <v>0</v>
      </c>
      <c r="BN207" s="46">
        <v>0</v>
      </c>
      <c r="BO207" s="46">
        <v>0</v>
      </c>
      <c r="BP207" s="4">
        <v>0</v>
      </c>
      <c r="BQ207" s="4">
        <v>0</v>
      </c>
      <c r="BR207" s="46">
        <v>0</v>
      </c>
      <c r="BS207" s="51">
        <v>0</v>
      </c>
      <c r="BT207" s="4">
        <v>0</v>
      </c>
      <c r="BU207" s="46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52">
        <v>0</v>
      </c>
      <c r="CG207" s="67">
        <f t="shared" si="26"/>
        <v>0</v>
      </c>
      <c r="CH207" s="69">
        <f t="shared" si="27"/>
        <v>0</v>
      </c>
      <c r="CI207" s="30">
        <f t="shared" si="28"/>
        <v>0</v>
      </c>
      <c r="CJ207" s="30">
        <f t="shared" si="29"/>
        <v>0</v>
      </c>
      <c r="CK207" s="30">
        <f t="shared" si="30"/>
        <v>0</v>
      </c>
      <c r="CL207" s="67">
        <f t="shared" si="31"/>
        <v>0</v>
      </c>
      <c r="CM207" s="30">
        <v>0</v>
      </c>
      <c r="CN207" s="30">
        <v>0</v>
      </c>
      <c r="CO207" s="30">
        <v>0</v>
      </c>
      <c r="CP207" s="30">
        <v>0</v>
      </c>
      <c r="CQ207" s="67">
        <v>0</v>
      </c>
    </row>
    <row r="208" spans="1:95" x14ac:dyDescent="0.3">
      <c r="A208" s="10">
        <v>300</v>
      </c>
      <c r="B208" s="10" t="s">
        <v>2</v>
      </c>
      <c r="C208" s="10" t="s">
        <v>1</v>
      </c>
      <c r="D208" s="10" t="s">
        <v>4</v>
      </c>
      <c r="E208" s="10">
        <v>1</v>
      </c>
      <c r="F208" s="10" t="s">
        <v>6</v>
      </c>
      <c r="G208" s="10">
        <v>6.98</v>
      </c>
      <c r="H208" s="10">
        <v>12</v>
      </c>
      <c r="I208" s="10">
        <v>22.068200000000001</v>
      </c>
      <c r="J208" s="10">
        <v>3.7111000000000001</v>
      </c>
      <c r="K208" s="10">
        <v>83.183494802475963</v>
      </c>
      <c r="L208" s="10">
        <v>46.832378223495702</v>
      </c>
      <c r="M208" s="7">
        <f t="shared" si="25"/>
        <v>3.1166272379323043</v>
      </c>
      <c r="N208" s="10">
        <v>46.62</v>
      </c>
      <c r="O208" s="10">
        <v>1.9410000000000001</v>
      </c>
      <c r="P208" s="10">
        <v>12.129</v>
      </c>
      <c r="Q208" s="10">
        <v>0.76700000000000002</v>
      </c>
      <c r="R208" s="10">
        <v>0.27987000000000001</v>
      </c>
      <c r="S208" s="4">
        <v>1</v>
      </c>
      <c r="T208" s="4">
        <v>0</v>
      </c>
      <c r="U208" s="4">
        <v>0</v>
      </c>
      <c r="V208" s="4">
        <v>0</v>
      </c>
      <c r="W208" s="4">
        <v>1</v>
      </c>
      <c r="X208" s="4">
        <v>0</v>
      </c>
      <c r="Y208" s="4">
        <v>0</v>
      </c>
      <c r="Z208" s="4">
        <v>0</v>
      </c>
      <c r="AA208" s="4">
        <v>1</v>
      </c>
      <c r="AB208" s="4">
        <v>0</v>
      </c>
      <c r="AC208" s="4">
        <v>0</v>
      </c>
      <c r="AD208" s="4">
        <v>1</v>
      </c>
      <c r="AE208" s="4">
        <v>0</v>
      </c>
      <c r="AF208" s="46">
        <v>0</v>
      </c>
      <c r="AG208" s="47">
        <v>4</v>
      </c>
      <c r="AH208" s="4">
        <v>1</v>
      </c>
      <c r="AI208" s="4">
        <v>0</v>
      </c>
      <c r="AJ208" s="46">
        <v>5</v>
      </c>
      <c r="AK208" s="48">
        <v>0</v>
      </c>
      <c r="AL208" s="49">
        <v>0</v>
      </c>
      <c r="AM208" s="49">
        <v>0</v>
      </c>
      <c r="AN208" s="50">
        <v>1</v>
      </c>
      <c r="AO208" s="49">
        <v>0</v>
      </c>
      <c r="AP208" s="46">
        <v>0</v>
      </c>
      <c r="AQ208" s="4">
        <v>11</v>
      </c>
      <c r="AR208" s="46">
        <v>0</v>
      </c>
      <c r="AS208" s="48">
        <v>0</v>
      </c>
      <c r="AT208" s="4">
        <v>0</v>
      </c>
      <c r="AU208" s="4">
        <v>0</v>
      </c>
      <c r="AV208" s="4">
        <v>1</v>
      </c>
      <c r="AW208" s="46">
        <v>0</v>
      </c>
      <c r="AX208" s="4">
        <v>0</v>
      </c>
      <c r="AY208" s="4">
        <v>0</v>
      </c>
      <c r="AZ208" s="46">
        <v>0</v>
      </c>
      <c r="BA208" s="4">
        <v>0</v>
      </c>
      <c r="BB208" s="4">
        <v>0</v>
      </c>
      <c r="BC208" s="46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6">
        <v>0</v>
      </c>
      <c r="BL208" s="46">
        <v>0</v>
      </c>
      <c r="BM208" s="46">
        <v>0</v>
      </c>
      <c r="BN208" s="46">
        <v>0</v>
      </c>
      <c r="BO208" s="46">
        <v>0</v>
      </c>
      <c r="BP208" s="4">
        <v>0</v>
      </c>
      <c r="BQ208" s="4">
        <v>0</v>
      </c>
      <c r="BR208" s="46">
        <v>0</v>
      </c>
      <c r="BS208" s="51">
        <v>0</v>
      </c>
      <c r="BT208" s="4">
        <v>0</v>
      </c>
      <c r="BU208" s="46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52">
        <v>0</v>
      </c>
      <c r="CG208" s="67">
        <f t="shared" si="26"/>
        <v>27</v>
      </c>
      <c r="CH208" s="69">
        <f t="shared" si="27"/>
        <v>10</v>
      </c>
      <c r="CI208" s="30">
        <f t="shared" si="28"/>
        <v>0</v>
      </c>
      <c r="CJ208" s="30">
        <f t="shared" si="29"/>
        <v>26</v>
      </c>
      <c r="CK208" s="30">
        <f t="shared" si="30"/>
        <v>1</v>
      </c>
      <c r="CL208" s="67">
        <f t="shared" si="31"/>
        <v>2</v>
      </c>
      <c r="CM208" s="30">
        <v>26</v>
      </c>
      <c r="CN208" s="30">
        <v>0</v>
      </c>
      <c r="CO208" s="30">
        <v>0</v>
      </c>
      <c r="CP208" s="30">
        <v>1</v>
      </c>
      <c r="CQ208" s="67">
        <v>1</v>
      </c>
    </row>
    <row r="209" spans="1:95" x14ac:dyDescent="0.3">
      <c r="A209" s="10">
        <v>362</v>
      </c>
      <c r="B209" s="10" t="s">
        <v>2</v>
      </c>
      <c r="C209" s="10" t="s">
        <v>1</v>
      </c>
      <c r="D209" s="10" t="s">
        <v>5</v>
      </c>
      <c r="E209" s="10">
        <v>2</v>
      </c>
      <c r="F209" s="10" t="s">
        <v>6</v>
      </c>
      <c r="G209" s="10">
        <v>7</v>
      </c>
      <c r="H209" s="10">
        <v>12</v>
      </c>
      <c r="I209" s="10">
        <v>23.178999999999998</v>
      </c>
      <c r="J209" s="10">
        <v>4.4240000000000004</v>
      </c>
      <c r="K209" s="10">
        <v>80.913758143146822</v>
      </c>
      <c r="L209" s="10">
        <v>36.799999999999997</v>
      </c>
      <c r="M209" s="7">
        <f t="shared" si="25"/>
        <v>2.9437725346232799</v>
      </c>
      <c r="N209" s="10">
        <v>47.09</v>
      </c>
      <c r="O209" s="10">
        <v>1.415</v>
      </c>
      <c r="P209" s="10">
        <v>8.8409999999999993</v>
      </c>
      <c r="Q209" s="10">
        <v>0.35799999999999998</v>
      </c>
      <c r="R209" s="10">
        <v>0.43200000000000005</v>
      </c>
      <c r="S209" s="4">
        <v>7</v>
      </c>
      <c r="T209" s="4">
        <v>0</v>
      </c>
      <c r="U209" s="4">
        <v>0</v>
      </c>
      <c r="V209" s="4">
        <v>1</v>
      </c>
      <c r="W209" s="4">
        <v>0</v>
      </c>
      <c r="X209" s="4">
        <v>1</v>
      </c>
      <c r="Y209" s="4">
        <v>0</v>
      </c>
      <c r="Z209" s="4">
        <v>0</v>
      </c>
      <c r="AA209" s="4">
        <v>1</v>
      </c>
      <c r="AB209" s="4">
        <v>0</v>
      </c>
      <c r="AC209" s="4">
        <v>0</v>
      </c>
      <c r="AD209" s="4">
        <v>0</v>
      </c>
      <c r="AE209" s="4">
        <v>0</v>
      </c>
      <c r="AF209" s="46">
        <v>0</v>
      </c>
      <c r="AG209" s="47">
        <v>53</v>
      </c>
      <c r="AH209" s="4">
        <v>1</v>
      </c>
      <c r="AI209" s="4">
        <v>0</v>
      </c>
      <c r="AJ209" s="46">
        <v>0</v>
      </c>
      <c r="AK209" s="48">
        <v>0</v>
      </c>
      <c r="AL209" s="49">
        <v>0</v>
      </c>
      <c r="AM209" s="49">
        <v>0</v>
      </c>
      <c r="AN209" s="50">
        <v>0</v>
      </c>
      <c r="AO209" s="49">
        <v>0</v>
      </c>
      <c r="AP209" s="46">
        <v>0</v>
      </c>
      <c r="AQ209" s="4">
        <v>4</v>
      </c>
      <c r="AR209" s="46">
        <v>0</v>
      </c>
      <c r="AS209" s="48">
        <v>0</v>
      </c>
      <c r="AT209" s="4">
        <v>0</v>
      </c>
      <c r="AU209" s="4">
        <v>0</v>
      </c>
      <c r="AV209" s="4">
        <v>0</v>
      </c>
      <c r="AW209" s="46">
        <v>0</v>
      </c>
      <c r="AX209" s="4">
        <v>0</v>
      </c>
      <c r="AY209" s="4">
        <v>0</v>
      </c>
      <c r="AZ209" s="46">
        <v>0</v>
      </c>
      <c r="BA209" s="4">
        <v>0</v>
      </c>
      <c r="BB209" s="4">
        <v>0</v>
      </c>
      <c r="BC209" s="46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6">
        <v>0</v>
      </c>
      <c r="BL209" s="46">
        <v>0</v>
      </c>
      <c r="BM209" s="46">
        <v>0</v>
      </c>
      <c r="BN209" s="46">
        <v>0</v>
      </c>
      <c r="BO209" s="46">
        <v>0</v>
      </c>
      <c r="BP209" s="4">
        <v>0</v>
      </c>
      <c r="BQ209" s="4">
        <v>0</v>
      </c>
      <c r="BR209" s="46">
        <v>0</v>
      </c>
      <c r="BS209" s="51">
        <v>0</v>
      </c>
      <c r="BT209" s="4">
        <v>0</v>
      </c>
      <c r="BU209" s="46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52">
        <v>0</v>
      </c>
      <c r="CG209" s="67">
        <f t="shared" si="26"/>
        <v>68</v>
      </c>
      <c r="CH209" s="69">
        <f t="shared" si="27"/>
        <v>7</v>
      </c>
      <c r="CI209" s="30">
        <f t="shared" si="28"/>
        <v>0</v>
      </c>
      <c r="CJ209" s="30">
        <f t="shared" si="29"/>
        <v>68</v>
      </c>
      <c r="CK209" s="30">
        <f t="shared" si="30"/>
        <v>0</v>
      </c>
      <c r="CL209" s="67">
        <f t="shared" si="31"/>
        <v>1</v>
      </c>
      <c r="CM209" s="30">
        <v>68</v>
      </c>
      <c r="CN209" s="30">
        <v>0</v>
      </c>
      <c r="CO209" s="30">
        <v>0</v>
      </c>
      <c r="CP209" s="30">
        <v>0</v>
      </c>
      <c r="CQ209" s="67">
        <v>1</v>
      </c>
    </row>
    <row r="210" spans="1:95" x14ac:dyDescent="0.3">
      <c r="A210" s="10">
        <v>363</v>
      </c>
      <c r="B210" s="10" t="s">
        <v>2</v>
      </c>
      <c r="C210" s="10" t="s">
        <v>14</v>
      </c>
      <c r="D210" s="10" t="s">
        <v>5</v>
      </c>
      <c r="E210" s="10">
        <v>5</v>
      </c>
      <c r="F210" s="10" t="s">
        <v>6</v>
      </c>
      <c r="G210" s="10">
        <v>6.98</v>
      </c>
      <c r="H210" s="10">
        <v>12</v>
      </c>
      <c r="I210" s="10">
        <v>21.626100000000001</v>
      </c>
      <c r="J210" s="10">
        <v>4.0967000000000002</v>
      </c>
      <c r="K210" s="10">
        <v>81.056686133884526</v>
      </c>
      <c r="L210" s="10">
        <v>41.308022922636106</v>
      </c>
      <c r="M210" s="7">
        <f t="shared" si="25"/>
        <v>3.0177737949890493</v>
      </c>
      <c r="N210" s="10">
        <v>47.89</v>
      </c>
      <c r="O210" s="10">
        <v>1.4970000000000001</v>
      </c>
      <c r="P210" s="10">
        <v>9.3580000000000005</v>
      </c>
      <c r="Q210" s="10">
        <v>0.317</v>
      </c>
      <c r="R210" s="10">
        <v>0.41600000000000004</v>
      </c>
      <c r="S210" s="4">
        <v>2</v>
      </c>
      <c r="T210" s="4">
        <v>0</v>
      </c>
      <c r="U210" s="4">
        <v>0</v>
      </c>
      <c r="V210" s="4">
        <v>2</v>
      </c>
      <c r="W210" s="4">
        <v>0</v>
      </c>
      <c r="X210" s="4">
        <v>0</v>
      </c>
      <c r="Y210" s="4">
        <v>0</v>
      </c>
      <c r="Z210" s="4">
        <v>0</v>
      </c>
      <c r="AA210" s="4">
        <v>6</v>
      </c>
      <c r="AB210" s="4">
        <v>1</v>
      </c>
      <c r="AC210" s="4">
        <v>0</v>
      </c>
      <c r="AD210" s="4">
        <v>0</v>
      </c>
      <c r="AE210" s="4">
        <v>0</v>
      </c>
      <c r="AF210" s="46">
        <v>0</v>
      </c>
      <c r="AG210" s="47">
        <v>21</v>
      </c>
      <c r="AH210" s="4">
        <v>0</v>
      </c>
      <c r="AI210" s="4">
        <v>0</v>
      </c>
      <c r="AJ210" s="46">
        <v>4</v>
      </c>
      <c r="AK210" s="48">
        <v>0</v>
      </c>
      <c r="AL210" s="49">
        <v>0</v>
      </c>
      <c r="AM210" s="49">
        <v>0</v>
      </c>
      <c r="AN210" s="50">
        <v>0</v>
      </c>
      <c r="AO210" s="49">
        <v>0</v>
      </c>
      <c r="AP210" s="46">
        <v>0</v>
      </c>
      <c r="AQ210" s="4">
        <v>4</v>
      </c>
      <c r="AR210" s="46">
        <v>0</v>
      </c>
      <c r="AS210" s="48">
        <v>0</v>
      </c>
      <c r="AT210" s="4">
        <v>0</v>
      </c>
      <c r="AU210" s="4">
        <v>0</v>
      </c>
      <c r="AV210" s="4">
        <v>0</v>
      </c>
      <c r="AW210" s="46">
        <v>0</v>
      </c>
      <c r="AX210" s="4">
        <v>0</v>
      </c>
      <c r="AY210" s="4">
        <v>0</v>
      </c>
      <c r="AZ210" s="46">
        <v>0</v>
      </c>
      <c r="BA210" s="4">
        <v>0</v>
      </c>
      <c r="BB210" s="4">
        <v>0</v>
      </c>
      <c r="BC210" s="46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1</v>
      </c>
      <c r="BI210" s="4">
        <v>0</v>
      </c>
      <c r="BJ210" s="4">
        <v>0</v>
      </c>
      <c r="BK210" s="46">
        <v>0</v>
      </c>
      <c r="BL210" s="46">
        <v>0</v>
      </c>
      <c r="BM210" s="46">
        <v>0</v>
      </c>
      <c r="BN210" s="46">
        <v>0</v>
      </c>
      <c r="BO210" s="46">
        <v>0</v>
      </c>
      <c r="BP210" s="4">
        <v>0</v>
      </c>
      <c r="BQ210" s="4">
        <v>0</v>
      </c>
      <c r="BR210" s="46">
        <v>0</v>
      </c>
      <c r="BS210" s="51">
        <v>0</v>
      </c>
      <c r="BT210" s="4">
        <v>0</v>
      </c>
      <c r="BU210" s="46">
        <v>0</v>
      </c>
      <c r="BV210" s="4">
        <v>0</v>
      </c>
      <c r="BW210" s="4">
        <v>0</v>
      </c>
      <c r="BX210" s="4">
        <v>1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52">
        <v>0</v>
      </c>
      <c r="CG210" s="67">
        <f t="shared" si="26"/>
        <v>42</v>
      </c>
      <c r="CH210" s="69">
        <f t="shared" si="27"/>
        <v>9</v>
      </c>
      <c r="CI210" s="30">
        <f t="shared" si="28"/>
        <v>0</v>
      </c>
      <c r="CJ210" s="30">
        <f t="shared" si="29"/>
        <v>40</v>
      </c>
      <c r="CK210" s="30">
        <f t="shared" si="30"/>
        <v>2</v>
      </c>
      <c r="CL210" s="67">
        <f t="shared" si="31"/>
        <v>2</v>
      </c>
      <c r="CM210" s="30">
        <v>41</v>
      </c>
      <c r="CN210" s="30">
        <v>0</v>
      </c>
      <c r="CO210" s="30">
        <v>0</v>
      </c>
      <c r="CP210" s="30">
        <v>1</v>
      </c>
      <c r="CQ210" s="67">
        <v>1</v>
      </c>
    </row>
    <row r="211" spans="1:95" x14ac:dyDescent="0.3">
      <c r="A211" s="10">
        <v>364</v>
      </c>
      <c r="B211" s="10" t="s">
        <v>2</v>
      </c>
      <c r="C211" s="10" t="s">
        <v>1</v>
      </c>
      <c r="D211" s="10" t="s">
        <v>5</v>
      </c>
      <c r="E211" s="10">
        <v>5</v>
      </c>
      <c r="F211" s="10" t="s">
        <v>6</v>
      </c>
      <c r="G211" s="10">
        <v>7.02</v>
      </c>
      <c r="H211" s="10">
        <v>12</v>
      </c>
      <c r="I211" s="10">
        <v>22.040900000000001</v>
      </c>
      <c r="J211" s="10">
        <v>3.4279000000000002</v>
      </c>
      <c r="K211" s="10">
        <v>84.447549782449897</v>
      </c>
      <c r="L211" s="10">
        <v>51.169515669515661</v>
      </c>
      <c r="M211" s="7">
        <f t="shared" si="25"/>
        <v>3.201722039044272</v>
      </c>
      <c r="N211" s="10">
        <v>44.93</v>
      </c>
      <c r="O211" s="10">
        <v>1.4730000000000001</v>
      </c>
      <c r="P211" s="10">
        <v>9.2070000000000007</v>
      </c>
      <c r="Q211" s="10">
        <v>0.57399999999999995</v>
      </c>
      <c r="R211" s="10">
        <v>0.43800000000000006</v>
      </c>
      <c r="S211" s="4">
        <v>1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</v>
      </c>
      <c r="AB211" s="4">
        <v>0</v>
      </c>
      <c r="AC211" s="4">
        <v>0</v>
      </c>
      <c r="AD211" s="4">
        <v>2</v>
      </c>
      <c r="AE211" s="4">
        <v>0</v>
      </c>
      <c r="AF211" s="46">
        <v>0</v>
      </c>
      <c r="AG211" s="47">
        <v>14</v>
      </c>
      <c r="AH211" s="4">
        <v>0</v>
      </c>
      <c r="AI211" s="4">
        <v>0</v>
      </c>
      <c r="AJ211" s="46">
        <v>5</v>
      </c>
      <c r="AK211" s="48">
        <v>0</v>
      </c>
      <c r="AL211" s="49">
        <v>0</v>
      </c>
      <c r="AM211" s="49">
        <v>0</v>
      </c>
      <c r="AN211" s="50">
        <v>0</v>
      </c>
      <c r="AO211" s="49">
        <v>0</v>
      </c>
      <c r="AP211" s="46">
        <v>0</v>
      </c>
      <c r="AQ211" s="4">
        <v>2</v>
      </c>
      <c r="AR211" s="46">
        <v>0</v>
      </c>
      <c r="AS211" s="48">
        <v>0</v>
      </c>
      <c r="AT211" s="4">
        <v>0</v>
      </c>
      <c r="AU211" s="4">
        <v>0</v>
      </c>
      <c r="AV211" s="4">
        <v>0</v>
      </c>
      <c r="AW211" s="46">
        <v>1</v>
      </c>
      <c r="AX211" s="4">
        <v>0</v>
      </c>
      <c r="AY211" s="4">
        <v>0</v>
      </c>
      <c r="AZ211" s="46">
        <v>0</v>
      </c>
      <c r="BA211" s="4">
        <v>0</v>
      </c>
      <c r="BB211" s="4">
        <v>0</v>
      </c>
      <c r="BC211" s="46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6">
        <v>0</v>
      </c>
      <c r="BL211" s="46">
        <v>0</v>
      </c>
      <c r="BM211" s="46">
        <v>0</v>
      </c>
      <c r="BN211" s="46">
        <v>0</v>
      </c>
      <c r="BO211" s="46">
        <v>0</v>
      </c>
      <c r="BP211" s="4">
        <v>0</v>
      </c>
      <c r="BQ211" s="4">
        <v>0</v>
      </c>
      <c r="BR211" s="46">
        <v>0</v>
      </c>
      <c r="BS211" s="51">
        <v>0</v>
      </c>
      <c r="BT211" s="4">
        <v>1</v>
      </c>
      <c r="BU211" s="46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52">
        <v>0</v>
      </c>
      <c r="CG211" s="67">
        <f t="shared" si="26"/>
        <v>27</v>
      </c>
      <c r="CH211" s="69">
        <f t="shared" si="27"/>
        <v>8</v>
      </c>
      <c r="CI211" s="30">
        <f t="shared" si="28"/>
        <v>0</v>
      </c>
      <c r="CJ211" s="30">
        <f t="shared" si="29"/>
        <v>25</v>
      </c>
      <c r="CK211" s="30">
        <f t="shared" si="30"/>
        <v>2</v>
      </c>
      <c r="CL211" s="67">
        <f t="shared" si="31"/>
        <v>2</v>
      </c>
      <c r="CM211" s="30">
        <v>24</v>
      </c>
      <c r="CN211" s="30">
        <v>0</v>
      </c>
      <c r="CO211" s="30">
        <v>0</v>
      </c>
      <c r="CP211" s="30">
        <v>3</v>
      </c>
      <c r="CQ211" s="67">
        <v>1</v>
      </c>
    </row>
    <row r="212" spans="1:95" x14ac:dyDescent="0.3">
      <c r="A212" s="10">
        <v>366</v>
      </c>
      <c r="B212" s="10" t="s">
        <v>2</v>
      </c>
      <c r="C212" s="10" t="s">
        <v>14</v>
      </c>
      <c r="D212" s="10" t="s">
        <v>5</v>
      </c>
      <c r="E212" s="10">
        <v>1</v>
      </c>
      <c r="F212" s="10" t="s">
        <v>6</v>
      </c>
      <c r="G212" s="10">
        <v>7</v>
      </c>
      <c r="H212" s="10">
        <v>12</v>
      </c>
      <c r="I212" s="10">
        <v>17.001799999999999</v>
      </c>
      <c r="J212" s="10">
        <v>4.1627000000000001</v>
      </c>
      <c r="K212" s="10">
        <v>75.516121822395263</v>
      </c>
      <c r="L212" s="10">
        <v>40.532857142857139</v>
      </c>
      <c r="M212" s="7">
        <f t="shared" si="25"/>
        <v>3.0046528966429737</v>
      </c>
      <c r="N212" s="10">
        <v>45.78</v>
      </c>
      <c r="O212" s="10">
        <v>1.2769999999999999</v>
      </c>
      <c r="P212" s="10">
        <v>7.9829999999999997</v>
      </c>
      <c r="Q212" s="10">
        <v>0.39700000000000002</v>
      </c>
      <c r="R212" s="10">
        <v>0.38086999999999999</v>
      </c>
      <c r="S212" s="4">
        <v>0</v>
      </c>
      <c r="T212" s="4">
        <v>0</v>
      </c>
      <c r="U212" s="4">
        <v>0</v>
      </c>
      <c r="V212" s="4">
        <v>3</v>
      </c>
      <c r="W212" s="4">
        <v>0</v>
      </c>
      <c r="X212" s="4">
        <v>1</v>
      </c>
      <c r="Y212" s="4">
        <v>0</v>
      </c>
      <c r="Z212" s="4">
        <v>0</v>
      </c>
      <c r="AA212" s="4">
        <v>0</v>
      </c>
      <c r="AB212" s="4">
        <v>1</v>
      </c>
      <c r="AC212" s="4">
        <v>0</v>
      </c>
      <c r="AD212" s="4">
        <v>0</v>
      </c>
      <c r="AE212" s="4">
        <v>0</v>
      </c>
      <c r="AF212" s="46">
        <v>0</v>
      </c>
      <c r="AG212" s="47">
        <v>20</v>
      </c>
      <c r="AH212" s="4">
        <v>0</v>
      </c>
      <c r="AI212" s="4">
        <v>0</v>
      </c>
      <c r="AJ212" s="46">
        <v>0</v>
      </c>
      <c r="AK212" s="48">
        <v>0</v>
      </c>
      <c r="AL212" s="49">
        <v>0</v>
      </c>
      <c r="AM212" s="49">
        <v>1</v>
      </c>
      <c r="AN212" s="50">
        <v>0</v>
      </c>
      <c r="AO212" s="49">
        <v>0</v>
      </c>
      <c r="AP212" s="46">
        <v>0</v>
      </c>
      <c r="AQ212" s="4">
        <v>0</v>
      </c>
      <c r="AR212" s="46">
        <v>0</v>
      </c>
      <c r="AS212" s="48">
        <v>0</v>
      </c>
      <c r="AT212" s="4">
        <v>0</v>
      </c>
      <c r="AU212" s="4">
        <v>0</v>
      </c>
      <c r="AV212" s="4">
        <v>0</v>
      </c>
      <c r="AW212" s="46">
        <v>0</v>
      </c>
      <c r="AX212" s="4">
        <v>0</v>
      </c>
      <c r="AY212" s="4">
        <v>0</v>
      </c>
      <c r="AZ212" s="46">
        <v>0</v>
      </c>
      <c r="BA212" s="4">
        <v>0</v>
      </c>
      <c r="BB212" s="4">
        <v>0</v>
      </c>
      <c r="BC212" s="46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1</v>
      </c>
      <c r="BI212" s="4">
        <v>0</v>
      </c>
      <c r="BJ212" s="4">
        <v>0</v>
      </c>
      <c r="BK212" s="46">
        <v>0</v>
      </c>
      <c r="BL212" s="46">
        <v>0</v>
      </c>
      <c r="BM212" s="46">
        <v>0</v>
      </c>
      <c r="BN212" s="46">
        <v>0</v>
      </c>
      <c r="BO212" s="46">
        <v>0</v>
      </c>
      <c r="BP212" s="4">
        <v>0</v>
      </c>
      <c r="BQ212" s="4">
        <v>0</v>
      </c>
      <c r="BR212" s="46">
        <v>0</v>
      </c>
      <c r="BS212" s="51">
        <v>0</v>
      </c>
      <c r="BT212" s="4">
        <v>0</v>
      </c>
      <c r="BU212" s="46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52">
        <v>0</v>
      </c>
      <c r="CG212" s="67">
        <f t="shared" si="26"/>
        <v>27</v>
      </c>
      <c r="CH212" s="69">
        <f t="shared" si="27"/>
        <v>6</v>
      </c>
      <c r="CI212" s="30">
        <f t="shared" si="28"/>
        <v>0</v>
      </c>
      <c r="CJ212" s="30">
        <f t="shared" si="29"/>
        <v>26</v>
      </c>
      <c r="CK212" s="30">
        <f t="shared" si="30"/>
        <v>1</v>
      </c>
      <c r="CL212" s="67">
        <f t="shared" si="31"/>
        <v>2</v>
      </c>
      <c r="CM212" s="30">
        <v>27</v>
      </c>
      <c r="CN212" s="30">
        <v>0</v>
      </c>
      <c r="CO212" s="30">
        <v>0</v>
      </c>
      <c r="CP212" s="30">
        <v>0</v>
      </c>
      <c r="CQ212" s="67">
        <v>1</v>
      </c>
    </row>
    <row r="213" spans="1:95" x14ac:dyDescent="0.3">
      <c r="A213" s="10">
        <v>369</v>
      </c>
      <c r="B213" s="10" t="s">
        <v>2</v>
      </c>
      <c r="C213" s="10" t="s">
        <v>14</v>
      </c>
      <c r="D213" s="10" t="s">
        <v>5</v>
      </c>
      <c r="E213" s="10">
        <v>3</v>
      </c>
      <c r="F213" s="10" t="s">
        <v>6</v>
      </c>
      <c r="G213" s="10">
        <v>7.05</v>
      </c>
      <c r="H213" s="10">
        <v>12</v>
      </c>
      <c r="I213" s="10">
        <v>17.419799999999999</v>
      </c>
      <c r="J213" s="10">
        <v>3.8816000000000002</v>
      </c>
      <c r="K213" s="10">
        <v>77.717310187258164</v>
      </c>
      <c r="L213" s="10">
        <v>44.941843971631201</v>
      </c>
      <c r="M213" s="7">
        <f t="shared" si="25"/>
        <v>3.0816868268445834</v>
      </c>
      <c r="N213" s="10">
        <v>46.99</v>
      </c>
      <c r="O213" s="10">
        <v>1.546</v>
      </c>
      <c r="P213" s="10">
        <v>9.6620000000000008</v>
      </c>
      <c r="Q213" s="10">
        <v>0.35899999999999999</v>
      </c>
      <c r="R213" s="10">
        <v>0.20787</v>
      </c>
      <c r="S213" s="4">
        <v>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6">
        <v>0</v>
      </c>
      <c r="AG213" s="47">
        <v>29</v>
      </c>
      <c r="AH213" s="4">
        <v>0</v>
      </c>
      <c r="AI213" s="4">
        <v>0</v>
      </c>
      <c r="AJ213" s="46">
        <v>0</v>
      </c>
      <c r="AK213" s="48">
        <v>0</v>
      </c>
      <c r="AL213" s="49">
        <v>0</v>
      </c>
      <c r="AM213" s="49">
        <v>0</v>
      </c>
      <c r="AN213" s="50">
        <v>0</v>
      </c>
      <c r="AO213" s="49">
        <v>0</v>
      </c>
      <c r="AP213" s="46">
        <v>0</v>
      </c>
      <c r="AQ213" s="4">
        <v>0</v>
      </c>
      <c r="AR213" s="46">
        <v>0</v>
      </c>
      <c r="AS213" s="48">
        <v>1</v>
      </c>
      <c r="AT213" s="4">
        <v>0</v>
      </c>
      <c r="AU213" s="4">
        <v>0</v>
      </c>
      <c r="AV213" s="4">
        <v>0</v>
      </c>
      <c r="AW213" s="46">
        <v>0</v>
      </c>
      <c r="AX213" s="4">
        <v>0</v>
      </c>
      <c r="AY213" s="4">
        <v>0</v>
      </c>
      <c r="AZ213" s="46">
        <v>0</v>
      </c>
      <c r="BA213" s="4">
        <v>0</v>
      </c>
      <c r="BB213" s="4">
        <v>0</v>
      </c>
      <c r="BC213" s="46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6">
        <v>0</v>
      </c>
      <c r="BL213" s="46">
        <v>0</v>
      </c>
      <c r="BM213" s="46">
        <v>0</v>
      </c>
      <c r="BN213" s="46">
        <v>0</v>
      </c>
      <c r="BO213" s="46">
        <v>1</v>
      </c>
      <c r="BP213" s="4">
        <v>0</v>
      </c>
      <c r="BQ213" s="4">
        <v>0</v>
      </c>
      <c r="BR213" s="46">
        <v>0</v>
      </c>
      <c r="BS213" s="51">
        <v>0</v>
      </c>
      <c r="BT213" s="4">
        <v>0</v>
      </c>
      <c r="BU213" s="46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52">
        <v>0</v>
      </c>
      <c r="CG213" s="67">
        <f t="shared" si="26"/>
        <v>34</v>
      </c>
      <c r="CH213" s="69">
        <f t="shared" si="27"/>
        <v>4</v>
      </c>
      <c r="CI213" s="30">
        <f t="shared" si="28"/>
        <v>1</v>
      </c>
      <c r="CJ213" s="30">
        <f t="shared" si="29"/>
        <v>32</v>
      </c>
      <c r="CK213" s="30">
        <f t="shared" si="30"/>
        <v>1</v>
      </c>
      <c r="CL213" s="67">
        <f t="shared" si="31"/>
        <v>3</v>
      </c>
      <c r="CM213" s="30">
        <v>33</v>
      </c>
      <c r="CN213" s="30">
        <v>0</v>
      </c>
      <c r="CO213" s="30">
        <v>1</v>
      </c>
      <c r="CP213" s="30">
        <v>0</v>
      </c>
      <c r="CQ213" s="67">
        <v>1</v>
      </c>
    </row>
    <row r="214" spans="1:95" x14ac:dyDescent="0.3">
      <c r="A214" s="10">
        <v>390</v>
      </c>
      <c r="B214" s="10" t="s">
        <v>2</v>
      </c>
      <c r="C214" s="10" t="s">
        <v>1</v>
      </c>
      <c r="D214" s="10" t="s">
        <v>5</v>
      </c>
      <c r="E214" s="10">
        <v>4</v>
      </c>
      <c r="F214" s="10" t="s">
        <v>6</v>
      </c>
      <c r="G214" s="10">
        <v>7.01</v>
      </c>
      <c r="H214" s="10">
        <v>12</v>
      </c>
      <c r="I214" s="10">
        <v>22.575399999999998</v>
      </c>
      <c r="J214" s="10">
        <v>4.0575000000000001</v>
      </c>
      <c r="K214" s="10">
        <v>82.026896533394762</v>
      </c>
      <c r="L214" s="10">
        <v>42.11840228245363</v>
      </c>
      <c r="M214" s="7">
        <f t="shared" si="25"/>
        <v>3.0316773304278897</v>
      </c>
      <c r="N214" s="10">
        <v>46.15</v>
      </c>
      <c r="O214" s="10">
        <v>1.359</v>
      </c>
      <c r="P214" s="10">
        <v>8.4909999999999997</v>
      </c>
      <c r="Q214" s="10">
        <v>0.35599999999999998</v>
      </c>
      <c r="R214" s="10">
        <v>0.53887000000000007</v>
      </c>
      <c r="S214" s="4">
        <v>6</v>
      </c>
      <c r="T214" s="4">
        <v>0</v>
      </c>
      <c r="U214" s="4">
        <v>0</v>
      </c>
      <c r="V214" s="4">
        <v>1</v>
      </c>
      <c r="W214" s="4">
        <v>0</v>
      </c>
      <c r="X214" s="4">
        <v>0</v>
      </c>
      <c r="Y214" s="4">
        <v>0</v>
      </c>
      <c r="Z214" s="4">
        <v>0</v>
      </c>
      <c r="AA214" s="4">
        <v>2</v>
      </c>
      <c r="AB214" s="4">
        <v>0</v>
      </c>
      <c r="AC214" s="4">
        <v>0</v>
      </c>
      <c r="AD214" s="4">
        <v>1</v>
      </c>
      <c r="AE214" s="4">
        <v>0</v>
      </c>
      <c r="AF214" s="46">
        <v>0</v>
      </c>
      <c r="AG214" s="47">
        <v>13</v>
      </c>
      <c r="AH214" s="4">
        <v>0</v>
      </c>
      <c r="AI214" s="4">
        <v>0</v>
      </c>
      <c r="AJ214" s="46">
        <v>0</v>
      </c>
      <c r="AK214" s="48">
        <v>0</v>
      </c>
      <c r="AL214" s="49">
        <v>0</v>
      </c>
      <c r="AM214" s="49">
        <v>0</v>
      </c>
      <c r="AN214" s="50">
        <v>0</v>
      </c>
      <c r="AO214" s="49">
        <v>0</v>
      </c>
      <c r="AP214" s="46">
        <v>0</v>
      </c>
      <c r="AQ214" s="4">
        <v>8</v>
      </c>
      <c r="AR214" s="46">
        <v>0</v>
      </c>
      <c r="AS214" s="48">
        <v>0</v>
      </c>
      <c r="AT214" s="4">
        <v>0</v>
      </c>
      <c r="AU214" s="4">
        <v>0</v>
      </c>
      <c r="AV214" s="4">
        <v>0</v>
      </c>
      <c r="AW214" s="46">
        <v>0</v>
      </c>
      <c r="AX214" s="4">
        <v>0</v>
      </c>
      <c r="AY214" s="4">
        <v>0</v>
      </c>
      <c r="AZ214" s="46">
        <v>0</v>
      </c>
      <c r="BA214" s="4">
        <v>0</v>
      </c>
      <c r="BB214" s="4">
        <v>0</v>
      </c>
      <c r="BC214" s="46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6">
        <v>0</v>
      </c>
      <c r="BL214" s="46">
        <v>0</v>
      </c>
      <c r="BM214" s="46">
        <v>0</v>
      </c>
      <c r="BN214" s="46">
        <v>0</v>
      </c>
      <c r="BO214" s="46">
        <v>0</v>
      </c>
      <c r="BP214" s="4">
        <v>0</v>
      </c>
      <c r="BQ214" s="4">
        <v>0</v>
      </c>
      <c r="BR214" s="46">
        <v>0</v>
      </c>
      <c r="BS214" s="51">
        <v>0</v>
      </c>
      <c r="BT214" s="4">
        <v>0</v>
      </c>
      <c r="BU214" s="46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1</v>
      </c>
      <c r="CB214" s="4">
        <v>0</v>
      </c>
      <c r="CC214" s="4">
        <v>0</v>
      </c>
      <c r="CD214" s="4">
        <v>0</v>
      </c>
      <c r="CE214" s="4">
        <v>0</v>
      </c>
      <c r="CF214" s="52">
        <v>0</v>
      </c>
      <c r="CG214" s="67">
        <f t="shared" si="26"/>
        <v>32</v>
      </c>
      <c r="CH214" s="69">
        <f t="shared" si="27"/>
        <v>7</v>
      </c>
      <c r="CI214" s="30">
        <f t="shared" si="28"/>
        <v>0</v>
      </c>
      <c r="CJ214" s="30">
        <f t="shared" si="29"/>
        <v>31</v>
      </c>
      <c r="CK214" s="30">
        <f t="shared" si="30"/>
        <v>1</v>
      </c>
      <c r="CL214" s="67">
        <f t="shared" si="31"/>
        <v>2</v>
      </c>
      <c r="CM214" s="30">
        <v>30</v>
      </c>
      <c r="CN214" s="30">
        <v>0</v>
      </c>
      <c r="CO214" s="30">
        <v>0</v>
      </c>
      <c r="CP214" s="30">
        <v>2</v>
      </c>
      <c r="CQ214" s="67">
        <v>1</v>
      </c>
    </row>
    <row r="215" spans="1:95" x14ac:dyDescent="0.3">
      <c r="A215" s="10">
        <v>396</v>
      </c>
      <c r="B215" s="10" t="s">
        <v>2</v>
      </c>
      <c r="C215" s="10" t="s">
        <v>1</v>
      </c>
      <c r="D215" s="10" t="s">
        <v>5</v>
      </c>
      <c r="E215" s="10">
        <v>3</v>
      </c>
      <c r="F215" s="10" t="s">
        <v>6</v>
      </c>
      <c r="G215" s="10">
        <v>7.08</v>
      </c>
      <c r="H215" s="10">
        <v>12</v>
      </c>
      <c r="I215" s="10">
        <v>18.580400000000001</v>
      </c>
      <c r="J215" s="10">
        <v>4.1201999999999996</v>
      </c>
      <c r="K215" s="10">
        <v>77.825019913457197</v>
      </c>
      <c r="L215" s="10">
        <v>41.805084745762713</v>
      </c>
      <c r="M215" s="7">
        <f t="shared" si="25"/>
        <v>3.0262788516210803</v>
      </c>
      <c r="N215" s="10">
        <v>46.85</v>
      </c>
      <c r="O215" s="10">
        <v>1.421</v>
      </c>
      <c r="P215" s="10">
        <v>8.8829999999999991</v>
      </c>
      <c r="Q215" s="10">
        <v>0.41299999999999998</v>
      </c>
      <c r="R215" s="10">
        <v>0.19987000000000002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6">
        <v>0</v>
      </c>
      <c r="AG215" s="47">
        <v>8</v>
      </c>
      <c r="AH215" s="4">
        <v>0</v>
      </c>
      <c r="AI215" s="4">
        <v>0</v>
      </c>
      <c r="AJ215" s="46">
        <v>0</v>
      </c>
      <c r="AK215" s="48">
        <v>0</v>
      </c>
      <c r="AL215" s="49">
        <v>0</v>
      </c>
      <c r="AM215" s="49">
        <v>0</v>
      </c>
      <c r="AN215" s="50">
        <v>0</v>
      </c>
      <c r="AO215" s="49">
        <v>0</v>
      </c>
      <c r="AP215" s="46">
        <v>0</v>
      </c>
      <c r="AQ215" s="4">
        <v>0</v>
      </c>
      <c r="AR215" s="46">
        <v>0</v>
      </c>
      <c r="AS215" s="48">
        <v>0</v>
      </c>
      <c r="AT215" s="4">
        <v>0</v>
      </c>
      <c r="AU215" s="4">
        <v>0</v>
      </c>
      <c r="AV215" s="4">
        <v>0</v>
      </c>
      <c r="AW215" s="46">
        <v>0</v>
      </c>
      <c r="AX215" s="4">
        <v>0</v>
      </c>
      <c r="AY215" s="4">
        <v>0</v>
      </c>
      <c r="AZ215" s="46">
        <v>0</v>
      </c>
      <c r="BA215" s="4">
        <v>0</v>
      </c>
      <c r="BB215" s="4">
        <v>0</v>
      </c>
      <c r="BC215" s="46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6">
        <v>0</v>
      </c>
      <c r="BL215" s="46">
        <v>0</v>
      </c>
      <c r="BM215" s="46">
        <v>0</v>
      </c>
      <c r="BN215" s="46">
        <v>0</v>
      </c>
      <c r="BO215" s="46">
        <v>0</v>
      </c>
      <c r="BP215" s="4">
        <v>0</v>
      </c>
      <c r="BQ215" s="4">
        <v>0</v>
      </c>
      <c r="BR215" s="46">
        <v>0</v>
      </c>
      <c r="BS215" s="51">
        <v>0</v>
      </c>
      <c r="BT215" s="4">
        <v>0</v>
      </c>
      <c r="BU215" s="46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52">
        <v>0</v>
      </c>
      <c r="CG215" s="67">
        <f t="shared" si="26"/>
        <v>8</v>
      </c>
      <c r="CH215" s="69">
        <f t="shared" si="27"/>
        <v>1</v>
      </c>
      <c r="CI215" s="30">
        <f t="shared" si="28"/>
        <v>0</v>
      </c>
      <c r="CJ215" s="30">
        <f t="shared" si="29"/>
        <v>8</v>
      </c>
      <c r="CK215" s="30">
        <f t="shared" si="30"/>
        <v>0</v>
      </c>
      <c r="CL215" s="67">
        <f t="shared" si="31"/>
        <v>1</v>
      </c>
      <c r="CM215" s="30">
        <v>8</v>
      </c>
      <c r="CN215" s="30">
        <v>0</v>
      </c>
      <c r="CO215" s="30">
        <v>0</v>
      </c>
      <c r="CP215" s="30">
        <v>0</v>
      </c>
      <c r="CQ215" s="67">
        <v>1</v>
      </c>
    </row>
    <row r="216" spans="1:95" x14ac:dyDescent="0.3">
      <c r="A216" s="10">
        <v>404</v>
      </c>
      <c r="B216" s="10" t="s">
        <v>2</v>
      </c>
      <c r="C216" s="10" t="s">
        <v>1</v>
      </c>
      <c r="D216" s="10" t="s">
        <v>5</v>
      </c>
      <c r="E216" s="10">
        <v>1</v>
      </c>
      <c r="F216" s="10" t="s">
        <v>6</v>
      </c>
      <c r="G216" s="10">
        <v>7.01</v>
      </c>
      <c r="H216" s="10">
        <v>12</v>
      </c>
      <c r="I216" s="10">
        <v>23.072399999999998</v>
      </c>
      <c r="J216" s="10">
        <v>3.6019000000000001</v>
      </c>
      <c r="K216" s="10">
        <v>84.388706853209897</v>
      </c>
      <c r="L216" s="10">
        <v>48.617689015691866</v>
      </c>
      <c r="M216" s="7">
        <f t="shared" si="25"/>
        <v>3.1507828668203635</v>
      </c>
      <c r="N216" s="10">
        <v>45.51</v>
      </c>
      <c r="O216" s="10">
        <v>1.45</v>
      </c>
      <c r="P216" s="10">
        <v>9.0660000000000007</v>
      </c>
      <c r="Q216" s="10">
        <v>0.45800000000000002</v>
      </c>
      <c r="R216" s="10">
        <v>0.37586999999999998</v>
      </c>
      <c r="S216" s="4">
        <v>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</v>
      </c>
      <c r="AB216" s="4">
        <v>0</v>
      </c>
      <c r="AC216" s="4">
        <v>0</v>
      </c>
      <c r="AD216" s="4">
        <v>2</v>
      </c>
      <c r="AE216" s="4">
        <v>0</v>
      </c>
      <c r="AF216" s="46">
        <v>0</v>
      </c>
      <c r="AG216" s="47">
        <v>42</v>
      </c>
      <c r="AH216" s="4">
        <v>22</v>
      </c>
      <c r="AI216" s="4">
        <v>0</v>
      </c>
      <c r="AJ216" s="46">
        <v>12</v>
      </c>
      <c r="AK216" s="48">
        <v>0</v>
      </c>
      <c r="AL216" s="49">
        <v>0</v>
      </c>
      <c r="AM216" s="49">
        <v>0</v>
      </c>
      <c r="AN216" s="50">
        <v>0</v>
      </c>
      <c r="AO216" s="49">
        <v>0</v>
      </c>
      <c r="AP216" s="46">
        <v>0</v>
      </c>
      <c r="AQ216" s="4">
        <v>3</v>
      </c>
      <c r="AR216" s="46">
        <v>0</v>
      </c>
      <c r="AS216" s="48">
        <v>0</v>
      </c>
      <c r="AT216" s="4">
        <v>0</v>
      </c>
      <c r="AU216" s="4">
        <v>0</v>
      </c>
      <c r="AV216" s="4">
        <v>1</v>
      </c>
      <c r="AW216" s="46">
        <v>0</v>
      </c>
      <c r="AX216" s="4">
        <v>0</v>
      </c>
      <c r="AY216" s="4">
        <v>0</v>
      </c>
      <c r="AZ216" s="46">
        <v>0</v>
      </c>
      <c r="BA216" s="4">
        <v>0</v>
      </c>
      <c r="BB216" s="4">
        <v>0</v>
      </c>
      <c r="BC216" s="46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6">
        <v>0</v>
      </c>
      <c r="BL216" s="46">
        <v>0</v>
      </c>
      <c r="BM216" s="46">
        <v>0</v>
      </c>
      <c r="BN216" s="46">
        <v>0</v>
      </c>
      <c r="BO216" s="46">
        <v>0</v>
      </c>
      <c r="BP216" s="4">
        <v>0</v>
      </c>
      <c r="BQ216" s="4">
        <v>0</v>
      </c>
      <c r="BR216" s="46">
        <v>0</v>
      </c>
      <c r="BS216" s="51">
        <v>0</v>
      </c>
      <c r="BT216" s="4">
        <v>0</v>
      </c>
      <c r="BU216" s="46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2</v>
      </c>
      <c r="CB216" s="4">
        <v>0</v>
      </c>
      <c r="CC216" s="4">
        <v>0</v>
      </c>
      <c r="CD216" s="4">
        <v>0</v>
      </c>
      <c r="CE216" s="4">
        <v>0</v>
      </c>
      <c r="CF216" s="52">
        <v>0</v>
      </c>
      <c r="CG216" s="67">
        <f t="shared" si="26"/>
        <v>93</v>
      </c>
      <c r="CH216" s="69">
        <f t="shared" si="27"/>
        <v>9</v>
      </c>
      <c r="CI216" s="30">
        <f t="shared" si="28"/>
        <v>0</v>
      </c>
      <c r="CJ216" s="30">
        <f t="shared" si="29"/>
        <v>90</v>
      </c>
      <c r="CK216" s="30">
        <f t="shared" si="30"/>
        <v>3</v>
      </c>
      <c r="CL216" s="67">
        <f t="shared" si="31"/>
        <v>2</v>
      </c>
      <c r="CM216" s="30">
        <v>89</v>
      </c>
      <c r="CN216" s="30">
        <v>0</v>
      </c>
      <c r="CO216" s="30">
        <v>0</v>
      </c>
      <c r="CP216" s="30">
        <v>4</v>
      </c>
      <c r="CQ216" s="67">
        <v>1</v>
      </c>
    </row>
    <row r="217" spans="1:95" x14ac:dyDescent="0.3">
      <c r="A217" s="10">
        <v>405</v>
      </c>
      <c r="B217" s="10" t="s">
        <v>2</v>
      </c>
      <c r="C217" s="10" t="s">
        <v>14</v>
      </c>
      <c r="D217" s="10" t="s">
        <v>5</v>
      </c>
      <c r="E217" s="10">
        <v>2</v>
      </c>
      <c r="F217" s="10" t="s">
        <v>6</v>
      </c>
      <c r="G217" s="10">
        <v>7</v>
      </c>
      <c r="H217" s="10">
        <v>12</v>
      </c>
      <c r="I217" s="10">
        <v>18.3215</v>
      </c>
      <c r="J217" s="10">
        <v>3.1493000000000002</v>
      </c>
      <c r="K217" s="10">
        <v>82.810905220642411</v>
      </c>
      <c r="L217" s="10">
        <v>55.009999999999991</v>
      </c>
      <c r="M217" s="7">
        <f t="shared" si="25"/>
        <v>3.2836365929230107</v>
      </c>
      <c r="N217" s="10">
        <v>46.87</v>
      </c>
      <c r="O217" s="10">
        <v>1.4950000000000001</v>
      </c>
      <c r="P217" s="10">
        <v>8.9209999999999994</v>
      </c>
      <c r="Q217" s="10">
        <v>0.52600000000000002</v>
      </c>
      <c r="R217" s="10">
        <v>0.29499999999999998</v>
      </c>
      <c r="S217" s="4">
        <v>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6">
        <v>0</v>
      </c>
      <c r="AG217" s="47">
        <v>53</v>
      </c>
      <c r="AH217" s="4">
        <v>0</v>
      </c>
      <c r="AI217" s="4">
        <v>0</v>
      </c>
      <c r="AJ217" s="46">
        <v>0</v>
      </c>
      <c r="AK217" s="48">
        <v>0</v>
      </c>
      <c r="AL217" s="49">
        <v>0</v>
      </c>
      <c r="AM217" s="49">
        <v>0</v>
      </c>
      <c r="AN217" s="50">
        <v>0</v>
      </c>
      <c r="AO217" s="49">
        <v>0</v>
      </c>
      <c r="AP217" s="46">
        <v>0</v>
      </c>
      <c r="AQ217" s="4">
        <v>4</v>
      </c>
      <c r="AR217" s="46">
        <v>0</v>
      </c>
      <c r="AS217" s="48">
        <v>3</v>
      </c>
      <c r="AT217" s="4">
        <v>0</v>
      </c>
      <c r="AU217" s="4">
        <v>0</v>
      </c>
      <c r="AV217" s="4">
        <v>0</v>
      </c>
      <c r="AW217" s="46">
        <v>0</v>
      </c>
      <c r="AX217" s="4">
        <v>0</v>
      </c>
      <c r="AY217" s="4">
        <v>0</v>
      </c>
      <c r="AZ217" s="46">
        <v>0</v>
      </c>
      <c r="BA217" s="4">
        <v>0</v>
      </c>
      <c r="BB217" s="4">
        <v>0</v>
      </c>
      <c r="BC217" s="46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6">
        <v>1</v>
      </c>
      <c r="BL217" s="46">
        <v>0</v>
      </c>
      <c r="BM217" s="46">
        <v>0</v>
      </c>
      <c r="BN217" s="46">
        <v>0</v>
      </c>
      <c r="BO217" s="46">
        <v>0</v>
      </c>
      <c r="BP217" s="4">
        <v>0</v>
      </c>
      <c r="BQ217" s="4">
        <v>0</v>
      </c>
      <c r="BR217" s="46">
        <v>0</v>
      </c>
      <c r="BS217" s="51">
        <v>0</v>
      </c>
      <c r="BT217" s="4">
        <v>0</v>
      </c>
      <c r="BU217" s="46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52">
        <v>0</v>
      </c>
      <c r="CG217" s="67">
        <f t="shared" si="26"/>
        <v>62</v>
      </c>
      <c r="CH217" s="69">
        <f t="shared" si="27"/>
        <v>5</v>
      </c>
      <c r="CI217" s="30">
        <f t="shared" si="28"/>
        <v>3</v>
      </c>
      <c r="CJ217" s="30">
        <f t="shared" si="29"/>
        <v>58</v>
      </c>
      <c r="CK217" s="30">
        <f t="shared" si="30"/>
        <v>1</v>
      </c>
      <c r="CL217" s="67">
        <f t="shared" si="31"/>
        <v>3</v>
      </c>
      <c r="CM217" s="30">
        <v>61</v>
      </c>
      <c r="CN217" s="30">
        <v>0</v>
      </c>
      <c r="CO217" s="30">
        <v>1</v>
      </c>
      <c r="CP217" s="30">
        <v>0</v>
      </c>
      <c r="CQ217" s="67">
        <v>1</v>
      </c>
    </row>
    <row r="218" spans="1:95" x14ac:dyDescent="0.3">
      <c r="A218" s="10">
        <v>482</v>
      </c>
      <c r="B218" s="10" t="s">
        <v>3</v>
      </c>
      <c r="C218" s="10" t="s">
        <v>1</v>
      </c>
      <c r="D218" s="10" t="s">
        <v>4</v>
      </c>
      <c r="E218" s="10">
        <v>4</v>
      </c>
      <c r="F218" s="10" t="s">
        <v>6</v>
      </c>
      <c r="G218" s="10">
        <v>6.99</v>
      </c>
      <c r="H218" s="10">
        <v>12</v>
      </c>
      <c r="I218" s="10">
        <v>20.501799999999999</v>
      </c>
      <c r="J218" s="10">
        <v>3.7328000000000001</v>
      </c>
      <c r="K218" s="10">
        <v>18.207181808426579</v>
      </c>
      <c r="L218" s="10">
        <v>46.597997138769671</v>
      </c>
      <c r="M218" s="7">
        <f t="shared" si="25"/>
        <v>3.1122285837486907</v>
      </c>
      <c r="N218" s="10">
        <v>46.88</v>
      </c>
      <c r="O218" s="10">
        <v>1.369</v>
      </c>
      <c r="P218" s="10">
        <v>8.5540000000000003</v>
      </c>
      <c r="Q218" s="10">
        <v>0.77100000000000002</v>
      </c>
      <c r="R218" s="10">
        <v>0.19287000000000001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1</v>
      </c>
      <c r="Y218" s="4">
        <v>0</v>
      </c>
      <c r="Z218" s="4">
        <v>0</v>
      </c>
      <c r="AA218" s="4">
        <v>1</v>
      </c>
      <c r="AB218" s="4">
        <v>3</v>
      </c>
      <c r="AC218" s="4">
        <v>0</v>
      </c>
      <c r="AD218" s="4">
        <v>1</v>
      </c>
      <c r="AE218" s="4">
        <v>0</v>
      </c>
      <c r="AF218" s="46">
        <v>0</v>
      </c>
      <c r="AG218" s="47">
        <v>14</v>
      </c>
      <c r="AH218" s="4">
        <v>19</v>
      </c>
      <c r="AI218" s="4">
        <v>0</v>
      </c>
      <c r="AJ218" s="46">
        <v>0</v>
      </c>
      <c r="AK218" s="48">
        <v>0</v>
      </c>
      <c r="AL218" s="49">
        <v>0</v>
      </c>
      <c r="AM218" s="49">
        <v>0</v>
      </c>
      <c r="AN218" s="50">
        <v>0</v>
      </c>
      <c r="AO218" s="49">
        <v>0</v>
      </c>
      <c r="AP218" s="46">
        <v>0</v>
      </c>
      <c r="AQ218" s="4">
        <v>2</v>
      </c>
      <c r="AR218" s="46">
        <v>0</v>
      </c>
      <c r="AS218" s="48">
        <v>0</v>
      </c>
      <c r="AT218" s="4">
        <v>1</v>
      </c>
      <c r="AU218" s="4">
        <v>0</v>
      </c>
      <c r="AV218" s="4">
        <v>0</v>
      </c>
      <c r="AW218" s="46">
        <v>0</v>
      </c>
      <c r="AX218" s="4">
        <v>0</v>
      </c>
      <c r="AY218" s="4">
        <v>0</v>
      </c>
      <c r="AZ218" s="46">
        <v>0</v>
      </c>
      <c r="BA218" s="4">
        <v>0</v>
      </c>
      <c r="BB218" s="4">
        <v>0</v>
      </c>
      <c r="BC218" s="46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6">
        <v>0</v>
      </c>
      <c r="BL218" s="46">
        <v>0</v>
      </c>
      <c r="BM218" s="46">
        <v>0</v>
      </c>
      <c r="BN218" s="46">
        <v>0</v>
      </c>
      <c r="BO218" s="46">
        <v>0</v>
      </c>
      <c r="BP218" s="4">
        <v>0</v>
      </c>
      <c r="BQ218" s="4">
        <v>0</v>
      </c>
      <c r="BR218" s="46">
        <v>0</v>
      </c>
      <c r="BS218" s="51">
        <v>0</v>
      </c>
      <c r="BT218" s="4">
        <v>0</v>
      </c>
      <c r="BU218" s="46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52">
        <v>0</v>
      </c>
      <c r="CG218" s="67">
        <f t="shared" si="26"/>
        <v>42</v>
      </c>
      <c r="CH218" s="69">
        <f t="shared" si="27"/>
        <v>8</v>
      </c>
      <c r="CI218" s="30">
        <f t="shared" si="28"/>
        <v>0</v>
      </c>
      <c r="CJ218" s="30">
        <f t="shared" si="29"/>
        <v>41</v>
      </c>
      <c r="CK218" s="30">
        <f t="shared" si="30"/>
        <v>1</v>
      </c>
      <c r="CL218" s="67">
        <f t="shared" si="31"/>
        <v>2</v>
      </c>
      <c r="CM218" s="30">
        <v>41</v>
      </c>
      <c r="CN218" s="30">
        <v>0</v>
      </c>
      <c r="CO218" s="30">
        <v>0</v>
      </c>
      <c r="CP218" s="30">
        <v>1</v>
      </c>
      <c r="CQ218" s="67">
        <v>1</v>
      </c>
    </row>
    <row r="219" spans="1:95" x14ac:dyDescent="0.3">
      <c r="A219" s="10">
        <v>483</v>
      </c>
      <c r="B219" s="10" t="s">
        <v>3</v>
      </c>
      <c r="C219" s="10" t="s">
        <v>14</v>
      </c>
      <c r="D219" s="10" t="s">
        <v>4</v>
      </c>
      <c r="E219" s="10">
        <v>4</v>
      </c>
      <c r="F219" s="10" t="s">
        <v>6</v>
      </c>
      <c r="G219" s="10">
        <v>7.06</v>
      </c>
      <c r="H219" s="10">
        <v>12</v>
      </c>
      <c r="I219" s="10">
        <v>23.318999999999999</v>
      </c>
      <c r="J219" s="10">
        <v>3.6164999999999998</v>
      </c>
      <c r="K219" s="10">
        <v>15.508812556284573</v>
      </c>
      <c r="L219" s="10">
        <v>48.774787535410766</v>
      </c>
      <c r="M219" s="7">
        <f t="shared" si="25"/>
        <v>3.1538449939859525</v>
      </c>
      <c r="N219" s="10">
        <v>46.69</v>
      </c>
      <c r="O219" s="10">
        <v>1.8080000000000001</v>
      </c>
      <c r="P219" s="10">
        <v>11.3</v>
      </c>
      <c r="Q219" s="10">
        <v>0.95099999999999996</v>
      </c>
      <c r="R219" s="10">
        <v>0.44400000000000006</v>
      </c>
      <c r="S219" s="4">
        <v>3</v>
      </c>
      <c r="T219" s="4">
        <v>0</v>
      </c>
      <c r="U219" s="4">
        <v>0</v>
      </c>
      <c r="V219" s="4">
        <v>0</v>
      </c>
      <c r="W219" s="4">
        <v>0</v>
      </c>
      <c r="X219" s="4">
        <v>4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6">
        <v>0</v>
      </c>
      <c r="AG219" s="47">
        <v>7</v>
      </c>
      <c r="AH219" s="4">
        <v>2</v>
      </c>
      <c r="AI219" s="4">
        <v>0</v>
      </c>
      <c r="AJ219" s="46">
        <v>0</v>
      </c>
      <c r="AK219" s="48">
        <v>0</v>
      </c>
      <c r="AL219" s="49">
        <v>0</v>
      </c>
      <c r="AM219" s="49">
        <v>0</v>
      </c>
      <c r="AN219" s="50">
        <v>0</v>
      </c>
      <c r="AO219" s="49">
        <v>0</v>
      </c>
      <c r="AP219" s="46">
        <v>0</v>
      </c>
      <c r="AQ219" s="4">
        <v>3</v>
      </c>
      <c r="AR219" s="46">
        <v>0</v>
      </c>
      <c r="AS219" s="48">
        <v>7</v>
      </c>
      <c r="AT219" s="4">
        <v>0</v>
      </c>
      <c r="AU219" s="4">
        <v>0</v>
      </c>
      <c r="AV219" s="4">
        <v>0</v>
      </c>
      <c r="AW219" s="46">
        <v>0</v>
      </c>
      <c r="AX219" s="4">
        <v>0</v>
      </c>
      <c r="AY219" s="4">
        <v>0</v>
      </c>
      <c r="AZ219" s="46">
        <v>0</v>
      </c>
      <c r="BA219" s="4">
        <v>0</v>
      </c>
      <c r="BB219" s="4">
        <v>0</v>
      </c>
      <c r="BC219" s="46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6">
        <v>0</v>
      </c>
      <c r="BL219" s="46">
        <v>0</v>
      </c>
      <c r="BM219" s="46">
        <v>0</v>
      </c>
      <c r="BN219" s="46">
        <v>0</v>
      </c>
      <c r="BO219" s="46">
        <v>0</v>
      </c>
      <c r="BP219" s="4">
        <v>0</v>
      </c>
      <c r="BQ219" s="4">
        <v>0</v>
      </c>
      <c r="BR219" s="46">
        <v>0</v>
      </c>
      <c r="BS219" s="51">
        <v>0</v>
      </c>
      <c r="BT219" s="4">
        <v>0</v>
      </c>
      <c r="BU219" s="46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52">
        <v>0</v>
      </c>
      <c r="CG219" s="67">
        <f t="shared" si="26"/>
        <v>26</v>
      </c>
      <c r="CH219" s="69">
        <f t="shared" si="27"/>
        <v>6</v>
      </c>
      <c r="CI219" s="30">
        <f t="shared" si="28"/>
        <v>7</v>
      </c>
      <c r="CJ219" s="30">
        <f t="shared" si="29"/>
        <v>19</v>
      </c>
      <c r="CK219" s="30">
        <f t="shared" si="30"/>
        <v>0</v>
      </c>
      <c r="CL219" s="67">
        <f t="shared" si="31"/>
        <v>2</v>
      </c>
      <c r="CM219" s="30">
        <v>26</v>
      </c>
      <c r="CN219" s="30">
        <v>0</v>
      </c>
      <c r="CO219" s="30">
        <v>0</v>
      </c>
      <c r="CP219" s="30">
        <v>0</v>
      </c>
      <c r="CQ219" s="67">
        <v>1</v>
      </c>
    </row>
    <row r="220" spans="1:95" x14ac:dyDescent="0.3">
      <c r="A220" s="10">
        <v>510</v>
      </c>
      <c r="B220" s="10" t="s">
        <v>3</v>
      </c>
      <c r="C220" s="10" t="s">
        <v>1</v>
      </c>
      <c r="D220" s="10" t="s">
        <v>4</v>
      </c>
      <c r="E220" s="10">
        <v>1</v>
      </c>
      <c r="F220" s="10" t="s">
        <v>6</v>
      </c>
      <c r="G220" s="10">
        <v>6.96</v>
      </c>
      <c r="H220" s="10">
        <v>12</v>
      </c>
      <c r="I220" s="10">
        <v>20.396799999999999</v>
      </c>
      <c r="J220" s="10">
        <v>3.3096000000000001</v>
      </c>
      <c r="K220" s="10">
        <v>16.226074678380925</v>
      </c>
      <c r="L220" s="10">
        <v>52.448275862068961</v>
      </c>
      <c r="M220" s="7">
        <f t="shared" si="25"/>
        <v>3.2282587879692639</v>
      </c>
      <c r="N220" s="10">
        <v>48.42</v>
      </c>
      <c r="O220" s="10">
        <v>1.486</v>
      </c>
      <c r="P220" s="10">
        <v>9.2870000000000008</v>
      </c>
      <c r="Q220" s="10">
        <v>0.54200000000000004</v>
      </c>
      <c r="R220" s="10">
        <v>0.26987</v>
      </c>
      <c r="S220" s="4">
        <v>11</v>
      </c>
      <c r="T220" s="4">
        <v>0</v>
      </c>
      <c r="U220" s="4">
        <v>1</v>
      </c>
      <c r="V220" s="4">
        <v>2</v>
      </c>
      <c r="W220" s="4">
        <v>0</v>
      </c>
      <c r="X220" s="4">
        <v>3</v>
      </c>
      <c r="Y220" s="4">
        <v>0</v>
      </c>
      <c r="Z220" s="4">
        <v>0</v>
      </c>
      <c r="AA220" s="4">
        <v>2</v>
      </c>
      <c r="AB220" s="4">
        <v>0</v>
      </c>
      <c r="AC220" s="4">
        <v>0</v>
      </c>
      <c r="AD220" s="4">
        <v>0</v>
      </c>
      <c r="AE220" s="4">
        <v>0</v>
      </c>
      <c r="AF220" s="46">
        <v>0</v>
      </c>
      <c r="AG220" s="47">
        <v>44</v>
      </c>
      <c r="AH220" s="4">
        <v>2</v>
      </c>
      <c r="AI220" s="4">
        <v>0</v>
      </c>
      <c r="AJ220" s="46">
        <v>0</v>
      </c>
      <c r="AK220" s="48">
        <v>1</v>
      </c>
      <c r="AL220" s="49">
        <v>0</v>
      </c>
      <c r="AM220" s="49">
        <v>0</v>
      </c>
      <c r="AN220" s="50">
        <v>0</v>
      </c>
      <c r="AO220" s="49">
        <v>0</v>
      </c>
      <c r="AP220" s="46">
        <v>0</v>
      </c>
      <c r="AQ220" s="4">
        <v>5</v>
      </c>
      <c r="AR220" s="46">
        <v>0</v>
      </c>
      <c r="AS220" s="48">
        <v>5</v>
      </c>
      <c r="AT220" s="4">
        <v>0</v>
      </c>
      <c r="AU220" s="4">
        <v>0</v>
      </c>
      <c r="AV220" s="4">
        <v>0</v>
      </c>
      <c r="AW220" s="46">
        <v>0</v>
      </c>
      <c r="AX220" s="4">
        <v>0</v>
      </c>
      <c r="AY220" s="4">
        <v>0</v>
      </c>
      <c r="AZ220" s="46">
        <v>0</v>
      </c>
      <c r="BA220" s="4">
        <v>0</v>
      </c>
      <c r="BB220" s="4">
        <v>0</v>
      </c>
      <c r="BC220" s="46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1</v>
      </c>
      <c r="BI220" s="4">
        <v>0</v>
      </c>
      <c r="BJ220" s="4">
        <v>0</v>
      </c>
      <c r="BK220" s="46">
        <v>0</v>
      </c>
      <c r="BL220" s="46">
        <v>0</v>
      </c>
      <c r="BM220" s="46">
        <v>0</v>
      </c>
      <c r="BN220" s="46">
        <v>0</v>
      </c>
      <c r="BO220" s="46">
        <v>0</v>
      </c>
      <c r="BP220" s="4">
        <v>0</v>
      </c>
      <c r="BQ220" s="4">
        <v>0</v>
      </c>
      <c r="BR220" s="46">
        <v>0</v>
      </c>
      <c r="BS220" s="51">
        <v>0</v>
      </c>
      <c r="BT220" s="4">
        <v>1</v>
      </c>
      <c r="BU220" s="46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52">
        <v>0</v>
      </c>
      <c r="CG220" s="67">
        <f t="shared" si="26"/>
        <v>78</v>
      </c>
      <c r="CH220" s="69">
        <f t="shared" si="27"/>
        <v>12</v>
      </c>
      <c r="CI220" s="30">
        <f t="shared" si="28"/>
        <v>5</v>
      </c>
      <c r="CJ220" s="30">
        <f t="shared" si="29"/>
        <v>70</v>
      </c>
      <c r="CK220" s="30">
        <f t="shared" si="30"/>
        <v>3</v>
      </c>
      <c r="CL220" s="67">
        <f t="shared" si="31"/>
        <v>3</v>
      </c>
      <c r="CM220" s="30">
        <v>77</v>
      </c>
      <c r="CN220" s="30">
        <v>0</v>
      </c>
      <c r="CO220" s="30">
        <v>0</v>
      </c>
      <c r="CP220" s="30">
        <v>1</v>
      </c>
      <c r="CQ220" s="67">
        <v>1</v>
      </c>
    </row>
    <row r="221" spans="1:95" x14ac:dyDescent="0.3">
      <c r="A221" s="10">
        <v>523</v>
      </c>
      <c r="B221" s="10" t="s">
        <v>3</v>
      </c>
      <c r="C221" s="10" t="s">
        <v>14</v>
      </c>
      <c r="D221" s="10" t="s">
        <v>4</v>
      </c>
      <c r="E221" s="10">
        <v>3</v>
      </c>
      <c r="F221" s="10" t="s">
        <v>6</v>
      </c>
      <c r="G221" s="10">
        <v>7.03</v>
      </c>
      <c r="H221" s="10">
        <v>12</v>
      </c>
      <c r="I221" s="10">
        <v>14.161300000000001</v>
      </c>
      <c r="J221" s="10">
        <v>3.5680000000000001</v>
      </c>
      <c r="K221" s="10">
        <v>25.195426973512319</v>
      </c>
      <c r="L221" s="10">
        <v>49.246088193456615</v>
      </c>
      <c r="M221" s="7">
        <f t="shared" si="25"/>
        <v>3.1630881408928109</v>
      </c>
      <c r="N221" s="10">
        <v>47.04</v>
      </c>
      <c r="O221" s="10">
        <v>1.5149999999999999</v>
      </c>
      <c r="P221" s="10">
        <v>9.468</v>
      </c>
      <c r="Q221" s="10">
        <v>0.97799999999999998</v>
      </c>
      <c r="R221" s="10">
        <v>0.38986999999999999</v>
      </c>
      <c r="S221" s="4">
        <v>2</v>
      </c>
      <c r="T221" s="4">
        <v>0</v>
      </c>
      <c r="U221" s="4">
        <v>0</v>
      </c>
      <c r="V221" s="4">
        <v>1</v>
      </c>
      <c r="W221" s="4">
        <v>2</v>
      </c>
      <c r="X221" s="4">
        <v>2</v>
      </c>
      <c r="Y221" s="4">
        <v>0</v>
      </c>
      <c r="Z221" s="4">
        <v>0</v>
      </c>
      <c r="AA221" s="4">
        <v>0</v>
      </c>
      <c r="AB221" s="4">
        <v>8</v>
      </c>
      <c r="AC221" s="4">
        <v>0</v>
      </c>
      <c r="AD221" s="4">
        <v>0</v>
      </c>
      <c r="AE221" s="4">
        <v>0</v>
      </c>
      <c r="AF221" s="46">
        <v>0</v>
      </c>
      <c r="AG221" s="47">
        <v>29</v>
      </c>
      <c r="AH221" s="4">
        <v>1</v>
      </c>
      <c r="AI221" s="4">
        <v>0</v>
      </c>
      <c r="AJ221" s="46">
        <v>0</v>
      </c>
      <c r="AK221" s="48">
        <v>0</v>
      </c>
      <c r="AL221" s="49">
        <v>0</v>
      </c>
      <c r="AM221" s="49">
        <v>0</v>
      </c>
      <c r="AN221" s="50">
        <v>0</v>
      </c>
      <c r="AO221" s="49">
        <v>0</v>
      </c>
      <c r="AP221" s="46">
        <v>0</v>
      </c>
      <c r="AQ221" s="4">
        <v>5</v>
      </c>
      <c r="AR221" s="46">
        <v>0</v>
      </c>
      <c r="AS221" s="48">
        <v>0</v>
      </c>
      <c r="AT221" s="4">
        <v>0</v>
      </c>
      <c r="AU221" s="4">
        <v>0</v>
      </c>
      <c r="AV221" s="4">
        <v>0</v>
      </c>
      <c r="AW221" s="46">
        <v>0</v>
      </c>
      <c r="AX221" s="4">
        <v>0</v>
      </c>
      <c r="AY221" s="4">
        <v>0</v>
      </c>
      <c r="AZ221" s="46">
        <v>0</v>
      </c>
      <c r="BA221" s="4">
        <v>0</v>
      </c>
      <c r="BB221" s="4">
        <v>0</v>
      </c>
      <c r="BC221" s="46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6">
        <v>0</v>
      </c>
      <c r="BL221" s="46">
        <v>0</v>
      </c>
      <c r="BM221" s="46">
        <v>0</v>
      </c>
      <c r="BN221" s="46">
        <v>0</v>
      </c>
      <c r="BO221" s="46">
        <v>0</v>
      </c>
      <c r="BP221" s="4">
        <v>0</v>
      </c>
      <c r="BQ221" s="4">
        <v>0</v>
      </c>
      <c r="BR221" s="46">
        <v>0</v>
      </c>
      <c r="BS221" s="51">
        <v>0</v>
      </c>
      <c r="BT221" s="4">
        <v>0</v>
      </c>
      <c r="BU221" s="46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52">
        <v>0</v>
      </c>
      <c r="CG221" s="67">
        <f t="shared" si="26"/>
        <v>50</v>
      </c>
      <c r="CH221" s="69">
        <f t="shared" si="27"/>
        <v>8</v>
      </c>
      <c r="CI221" s="30">
        <f t="shared" si="28"/>
        <v>0</v>
      </c>
      <c r="CJ221" s="30">
        <f t="shared" si="29"/>
        <v>50</v>
      </c>
      <c r="CK221" s="30">
        <f t="shared" si="30"/>
        <v>0</v>
      </c>
      <c r="CL221" s="67">
        <f t="shared" si="31"/>
        <v>1</v>
      </c>
      <c r="CM221" s="30">
        <v>50</v>
      </c>
      <c r="CN221" s="30">
        <v>0</v>
      </c>
      <c r="CO221" s="30">
        <v>0</v>
      </c>
      <c r="CP221" s="30">
        <v>0</v>
      </c>
      <c r="CQ221" s="67">
        <v>1</v>
      </c>
    </row>
    <row r="222" spans="1:95" x14ac:dyDescent="0.3">
      <c r="A222" s="10">
        <v>524</v>
      </c>
      <c r="B222" s="10" t="s">
        <v>3</v>
      </c>
      <c r="C222" s="10" t="s">
        <v>14</v>
      </c>
      <c r="D222" s="10" t="s">
        <v>4</v>
      </c>
      <c r="E222" s="10">
        <v>2</v>
      </c>
      <c r="F222" s="10" t="s">
        <v>6</v>
      </c>
      <c r="G222" s="10">
        <v>6.92</v>
      </c>
      <c r="H222" s="10">
        <v>12</v>
      </c>
      <c r="I222" s="10">
        <v>18.061800000000002</v>
      </c>
      <c r="J222" s="10">
        <v>3.4270999999999998</v>
      </c>
      <c r="K222" s="10">
        <v>18.97429935000941</v>
      </c>
      <c r="L222" s="10">
        <v>50.475433526011557</v>
      </c>
      <c r="M222" s="7">
        <f t="shared" si="25"/>
        <v>3.1876079969099838</v>
      </c>
      <c r="N222" s="10">
        <v>47.11</v>
      </c>
      <c r="O222" s="10">
        <v>1.827</v>
      </c>
      <c r="P222" s="10">
        <v>11.42</v>
      </c>
      <c r="Q222" s="10">
        <v>0.85599999999999998</v>
      </c>
      <c r="R222" s="10">
        <v>0.24587000000000001</v>
      </c>
      <c r="S222" s="4">
        <v>0</v>
      </c>
      <c r="T222" s="4">
        <v>1</v>
      </c>
      <c r="U222" s="4">
        <v>0</v>
      </c>
      <c r="V222" s="4">
        <v>0</v>
      </c>
      <c r="W222" s="4">
        <v>0</v>
      </c>
      <c r="X222" s="4">
        <v>0</v>
      </c>
      <c r="Y222" s="4">
        <v>1</v>
      </c>
      <c r="Z222" s="4">
        <v>0</v>
      </c>
      <c r="AA222" s="4">
        <v>1</v>
      </c>
      <c r="AB222" s="4">
        <v>1</v>
      </c>
      <c r="AC222" s="4">
        <v>0</v>
      </c>
      <c r="AD222" s="4">
        <v>2</v>
      </c>
      <c r="AE222" s="4">
        <v>0</v>
      </c>
      <c r="AF222" s="46">
        <v>0</v>
      </c>
      <c r="AG222" s="47">
        <v>38</v>
      </c>
      <c r="AH222" s="4">
        <v>0</v>
      </c>
      <c r="AI222" s="4">
        <v>0</v>
      </c>
      <c r="AJ222" s="46">
        <v>0</v>
      </c>
      <c r="AK222" s="48">
        <v>0</v>
      </c>
      <c r="AL222" s="49">
        <v>0</v>
      </c>
      <c r="AM222" s="49">
        <v>0</v>
      </c>
      <c r="AN222" s="50">
        <v>0</v>
      </c>
      <c r="AO222" s="49">
        <v>0</v>
      </c>
      <c r="AP222" s="46">
        <v>0</v>
      </c>
      <c r="AQ222" s="4">
        <v>0</v>
      </c>
      <c r="AR222" s="46">
        <v>0</v>
      </c>
      <c r="AS222" s="48">
        <v>0</v>
      </c>
      <c r="AT222" s="4">
        <v>0</v>
      </c>
      <c r="AU222" s="4">
        <v>0</v>
      </c>
      <c r="AV222" s="4">
        <v>0</v>
      </c>
      <c r="AW222" s="46">
        <v>0</v>
      </c>
      <c r="AX222" s="4">
        <v>0</v>
      </c>
      <c r="AY222" s="4">
        <v>0</v>
      </c>
      <c r="AZ222" s="46">
        <v>0</v>
      </c>
      <c r="BA222" s="4">
        <v>0</v>
      </c>
      <c r="BB222" s="4">
        <v>0</v>
      </c>
      <c r="BC222" s="46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6">
        <v>0</v>
      </c>
      <c r="BL222" s="46">
        <v>0</v>
      </c>
      <c r="BM222" s="46">
        <v>0</v>
      </c>
      <c r="BN222" s="46">
        <v>0</v>
      </c>
      <c r="BO222" s="46">
        <v>0</v>
      </c>
      <c r="BP222" s="4">
        <v>0</v>
      </c>
      <c r="BQ222" s="4">
        <v>0</v>
      </c>
      <c r="BR222" s="46">
        <v>0</v>
      </c>
      <c r="BS222" s="51">
        <v>0</v>
      </c>
      <c r="BT222" s="4">
        <v>0</v>
      </c>
      <c r="BU222" s="46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52">
        <v>0</v>
      </c>
      <c r="CG222" s="67">
        <f t="shared" si="26"/>
        <v>44</v>
      </c>
      <c r="CH222" s="69">
        <f t="shared" si="27"/>
        <v>6</v>
      </c>
      <c r="CI222" s="30">
        <f t="shared" si="28"/>
        <v>0</v>
      </c>
      <c r="CJ222" s="30">
        <f t="shared" si="29"/>
        <v>44</v>
      </c>
      <c r="CK222" s="30">
        <f t="shared" si="30"/>
        <v>0</v>
      </c>
      <c r="CL222" s="67">
        <f t="shared" si="31"/>
        <v>1</v>
      </c>
      <c r="CM222" s="30">
        <v>42</v>
      </c>
      <c r="CN222" s="30">
        <v>0</v>
      </c>
      <c r="CO222" s="30">
        <v>0</v>
      </c>
      <c r="CP222" s="30">
        <v>2</v>
      </c>
      <c r="CQ222" s="67">
        <v>1</v>
      </c>
    </row>
    <row r="223" spans="1:95" x14ac:dyDescent="0.3">
      <c r="A223" s="10">
        <v>526</v>
      </c>
      <c r="B223" s="10" t="s">
        <v>3</v>
      </c>
      <c r="C223" s="10" t="s">
        <v>1</v>
      </c>
      <c r="D223" s="10" t="s">
        <v>4</v>
      </c>
      <c r="E223" s="10">
        <v>3</v>
      </c>
      <c r="F223" s="10" t="s">
        <v>6</v>
      </c>
      <c r="G223" s="10">
        <v>7</v>
      </c>
      <c r="H223" s="10">
        <v>12</v>
      </c>
      <c r="I223" s="10">
        <v>17.3002</v>
      </c>
      <c r="J223" s="10">
        <v>3.4472</v>
      </c>
      <c r="K223" s="10">
        <v>19.925781204841559</v>
      </c>
      <c r="L223" s="10">
        <v>50.754285714285722</v>
      </c>
      <c r="M223" s="7">
        <f t="shared" si="25"/>
        <v>3.1932544915238221</v>
      </c>
      <c r="N223" s="10">
        <v>42.08</v>
      </c>
      <c r="O223" s="10">
        <v>1.5229999999999999</v>
      </c>
      <c r="P223" s="10">
        <v>9.5190000000000001</v>
      </c>
      <c r="Q223" s="10">
        <v>0.68899999999999995</v>
      </c>
      <c r="R223" s="10">
        <v>0.40200000000000002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6">
        <v>0</v>
      </c>
      <c r="AG223" s="47">
        <v>0</v>
      </c>
      <c r="AH223" s="4">
        <v>0</v>
      </c>
      <c r="AI223" s="4">
        <v>0</v>
      </c>
      <c r="AJ223" s="46">
        <v>0</v>
      </c>
      <c r="AK223" s="48">
        <v>0</v>
      </c>
      <c r="AL223" s="49">
        <v>0</v>
      </c>
      <c r="AM223" s="49">
        <v>0</v>
      </c>
      <c r="AN223" s="50">
        <v>0</v>
      </c>
      <c r="AO223" s="49">
        <v>0</v>
      </c>
      <c r="AP223" s="46">
        <v>0</v>
      </c>
      <c r="AQ223" s="4">
        <v>0</v>
      </c>
      <c r="AR223" s="46">
        <v>0</v>
      </c>
      <c r="AS223" s="48">
        <v>0</v>
      </c>
      <c r="AT223" s="4">
        <v>0</v>
      </c>
      <c r="AU223" s="4">
        <v>0</v>
      </c>
      <c r="AV223" s="4">
        <v>0</v>
      </c>
      <c r="AW223" s="46">
        <v>0</v>
      </c>
      <c r="AX223" s="4">
        <v>0</v>
      </c>
      <c r="AY223" s="4">
        <v>0</v>
      </c>
      <c r="AZ223" s="46">
        <v>0</v>
      </c>
      <c r="BA223" s="4">
        <v>0</v>
      </c>
      <c r="BB223" s="4">
        <v>0</v>
      </c>
      <c r="BC223" s="46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6">
        <v>0</v>
      </c>
      <c r="BL223" s="46">
        <v>0</v>
      </c>
      <c r="BM223" s="46">
        <v>0</v>
      </c>
      <c r="BN223" s="46">
        <v>0</v>
      </c>
      <c r="BO223" s="46">
        <v>0</v>
      </c>
      <c r="BP223" s="4">
        <v>0</v>
      </c>
      <c r="BQ223" s="4">
        <v>0</v>
      </c>
      <c r="BR223" s="46">
        <v>0</v>
      </c>
      <c r="BS223" s="51">
        <v>0</v>
      </c>
      <c r="BT223" s="4">
        <v>0</v>
      </c>
      <c r="BU223" s="46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52">
        <v>0</v>
      </c>
      <c r="CG223" s="67">
        <f t="shared" si="26"/>
        <v>0</v>
      </c>
      <c r="CH223" s="69">
        <f t="shared" si="27"/>
        <v>0</v>
      </c>
      <c r="CI223" s="30">
        <f t="shared" si="28"/>
        <v>0</v>
      </c>
      <c r="CJ223" s="30">
        <f t="shared" si="29"/>
        <v>0</v>
      </c>
      <c r="CK223" s="30">
        <f t="shared" si="30"/>
        <v>0</v>
      </c>
      <c r="CL223" s="67">
        <f t="shared" si="31"/>
        <v>0</v>
      </c>
      <c r="CM223" s="30">
        <v>0</v>
      </c>
      <c r="CN223" s="30">
        <v>0</v>
      </c>
      <c r="CO223" s="30">
        <v>0</v>
      </c>
      <c r="CP223" s="30">
        <v>0</v>
      </c>
      <c r="CQ223" s="67">
        <v>0</v>
      </c>
    </row>
    <row r="224" spans="1:95" x14ac:dyDescent="0.3">
      <c r="A224" s="10">
        <v>533</v>
      </c>
      <c r="B224" s="10" t="s">
        <v>3</v>
      </c>
      <c r="C224" s="10" t="s">
        <v>14</v>
      </c>
      <c r="D224" s="10" t="s">
        <v>4</v>
      </c>
      <c r="E224" s="10">
        <v>5</v>
      </c>
      <c r="F224" s="10" t="s">
        <v>6</v>
      </c>
      <c r="G224" s="10">
        <v>6.95</v>
      </c>
      <c r="H224" s="10">
        <v>12</v>
      </c>
      <c r="I224" s="10">
        <v>25.177900000000001</v>
      </c>
      <c r="J224" s="10">
        <v>3.6684000000000001</v>
      </c>
      <c r="K224" s="10">
        <v>14.569920446105513</v>
      </c>
      <c r="L224" s="10">
        <v>47.217266187050363</v>
      </c>
      <c r="M224" s="7">
        <f t="shared" si="25"/>
        <v>3.1238927096620488</v>
      </c>
      <c r="N224" s="10">
        <v>47.09</v>
      </c>
      <c r="O224" s="10">
        <v>1.9410000000000001</v>
      </c>
      <c r="P224" s="10">
        <v>12.132</v>
      </c>
      <c r="Q224" s="10">
        <v>0.82499999999999996</v>
      </c>
      <c r="R224" s="10">
        <v>0.36886999999999998</v>
      </c>
      <c r="S224" s="4">
        <v>11</v>
      </c>
      <c r="T224" s="4">
        <v>0</v>
      </c>
      <c r="U224" s="4">
        <v>0</v>
      </c>
      <c r="V224" s="4">
        <v>2</v>
      </c>
      <c r="W224" s="4">
        <v>0</v>
      </c>
      <c r="X224" s="4">
        <v>2</v>
      </c>
      <c r="Y224" s="4">
        <v>0</v>
      </c>
      <c r="Z224" s="4">
        <v>0</v>
      </c>
      <c r="AA224" s="4">
        <v>0</v>
      </c>
      <c r="AB224" s="4">
        <v>6</v>
      </c>
      <c r="AC224" s="4">
        <v>0</v>
      </c>
      <c r="AD224" s="4">
        <v>2</v>
      </c>
      <c r="AE224" s="4">
        <v>0</v>
      </c>
      <c r="AF224" s="46">
        <v>0</v>
      </c>
      <c r="AG224" s="47">
        <v>41</v>
      </c>
      <c r="AH224" s="4">
        <v>4</v>
      </c>
      <c r="AI224" s="4">
        <v>0</v>
      </c>
      <c r="AJ224" s="46">
        <v>0</v>
      </c>
      <c r="AK224" s="48">
        <v>0</v>
      </c>
      <c r="AL224" s="49">
        <v>0</v>
      </c>
      <c r="AM224" s="49">
        <v>0</v>
      </c>
      <c r="AN224" s="50">
        <v>0</v>
      </c>
      <c r="AO224" s="49">
        <v>0</v>
      </c>
      <c r="AP224" s="46">
        <v>0</v>
      </c>
      <c r="AQ224" s="4">
        <v>2</v>
      </c>
      <c r="AR224" s="46">
        <v>0</v>
      </c>
      <c r="AS224" s="48">
        <v>10</v>
      </c>
      <c r="AT224" s="4">
        <v>0</v>
      </c>
      <c r="AU224" s="4">
        <v>0</v>
      </c>
      <c r="AV224" s="4">
        <v>0</v>
      </c>
      <c r="AW224" s="46">
        <v>0</v>
      </c>
      <c r="AX224" s="4">
        <v>0</v>
      </c>
      <c r="AY224" s="4">
        <v>0</v>
      </c>
      <c r="AZ224" s="46">
        <v>0</v>
      </c>
      <c r="BA224" s="4">
        <v>0</v>
      </c>
      <c r="BB224" s="4">
        <v>0</v>
      </c>
      <c r="BC224" s="46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6">
        <v>0</v>
      </c>
      <c r="BL224" s="46">
        <v>0</v>
      </c>
      <c r="BM224" s="46">
        <v>0</v>
      </c>
      <c r="BN224" s="46">
        <v>0</v>
      </c>
      <c r="BO224" s="46">
        <v>0</v>
      </c>
      <c r="BP224" s="4">
        <v>1</v>
      </c>
      <c r="BQ224" s="4">
        <v>0</v>
      </c>
      <c r="BR224" s="46">
        <v>0</v>
      </c>
      <c r="BS224" s="51">
        <v>0</v>
      </c>
      <c r="BT224" s="4">
        <v>0</v>
      </c>
      <c r="BU224" s="46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52">
        <v>0</v>
      </c>
      <c r="CG224" s="67">
        <f t="shared" si="26"/>
        <v>81</v>
      </c>
      <c r="CH224" s="69">
        <f t="shared" si="27"/>
        <v>10</v>
      </c>
      <c r="CI224" s="30">
        <f t="shared" si="28"/>
        <v>10</v>
      </c>
      <c r="CJ224" s="30">
        <f t="shared" si="29"/>
        <v>70</v>
      </c>
      <c r="CK224" s="30">
        <f t="shared" si="30"/>
        <v>1</v>
      </c>
      <c r="CL224" s="67">
        <f t="shared" si="31"/>
        <v>3</v>
      </c>
      <c r="CM224" s="30">
        <v>78</v>
      </c>
      <c r="CN224" s="30">
        <v>0</v>
      </c>
      <c r="CO224" s="30">
        <v>0</v>
      </c>
      <c r="CP224" s="30">
        <v>3</v>
      </c>
      <c r="CQ224" s="67">
        <v>1</v>
      </c>
    </row>
    <row r="225" spans="1:95" x14ac:dyDescent="0.3">
      <c r="A225" s="10">
        <v>604</v>
      </c>
      <c r="B225" s="10" t="s">
        <v>3</v>
      </c>
      <c r="C225" s="10" t="s">
        <v>1</v>
      </c>
      <c r="D225" s="10" t="s">
        <v>5</v>
      </c>
      <c r="E225" s="10">
        <v>1</v>
      </c>
      <c r="F225" s="10" t="s">
        <v>6</v>
      </c>
      <c r="G225" s="10">
        <v>6.92</v>
      </c>
      <c r="H225" s="10">
        <v>12</v>
      </c>
      <c r="I225" s="10">
        <v>15.0024</v>
      </c>
      <c r="J225" s="10">
        <v>2.7105000000000001</v>
      </c>
      <c r="K225" s="10">
        <v>18.067109262517999</v>
      </c>
      <c r="L225" s="10">
        <v>60.830924855491332</v>
      </c>
      <c r="M225" s="7">
        <f t="shared" si="25"/>
        <v>3.4221892996993226</v>
      </c>
      <c r="N225" s="10">
        <v>47.73</v>
      </c>
      <c r="O225" s="10">
        <v>3.5539999999999998</v>
      </c>
      <c r="P225" s="10">
        <v>22.213999999999999</v>
      </c>
      <c r="Q225" s="10">
        <v>0.39</v>
      </c>
      <c r="R225" s="10">
        <v>2.3869999999999999E-2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6">
        <v>0</v>
      </c>
      <c r="AG225" s="47">
        <v>0</v>
      </c>
      <c r="AH225" s="4">
        <v>4</v>
      </c>
      <c r="AI225" s="4">
        <v>0</v>
      </c>
      <c r="AJ225" s="46">
        <v>1</v>
      </c>
      <c r="AK225" s="48">
        <v>0</v>
      </c>
      <c r="AL225" s="49">
        <v>0</v>
      </c>
      <c r="AM225" s="49">
        <v>0</v>
      </c>
      <c r="AN225" s="50">
        <v>0</v>
      </c>
      <c r="AO225" s="49">
        <v>0</v>
      </c>
      <c r="AP225" s="46">
        <v>0</v>
      </c>
      <c r="AQ225" s="4">
        <v>0</v>
      </c>
      <c r="AR225" s="46">
        <v>0</v>
      </c>
      <c r="AS225" s="48">
        <v>0</v>
      </c>
      <c r="AT225" s="4">
        <v>0</v>
      </c>
      <c r="AU225" s="4">
        <v>0</v>
      </c>
      <c r="AV225" s="4">
        <v>0</v>
      </c>
      <c r="AW225" s="46">
        <v>0</v>
      </c>
      <c r="AX225" s="4">
        <v>0</v>
      </c>
      <c r="AY225" s="4">
        <v>0</v>
      </c>
      <c r="AZ225" s="46">
        <v>0</v>
      </c>
      <c r="BA225" s="4">
        <v>0</v>
      </c>
      <c r="BB225" s="4">
        <v>0</v>
      </c>
      <c r="BC225" s="46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6">
        <v>0</v>
      </c>
      <c r="BL225" s="46">
        <v>0</v>
      </c>
      <c r="BM225" s="46">
        <v>0</v>
      </c>
      <c r="BN225" s="46">
        <v>0</v>
      </c>
      <c r="BO225" s="46">
        <v>0</v>
      </c>
      <c r="BP225" s="4">
        <v>0</v>
      </c>
      <c r="BQ225" s="4">
        <v>0</v>
      </c>
      <c r="BR225" s="46">
        <v>0</v>
      </c>
      <c r="BS225" s="51">
        <v>0</v>
      </c>
      <c r="BT225" s="4">
        <v>0</v>
      </c>
      <c r="BU225" s="46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52">
        <v>0</v>
      </c>
      <c r="CG225" s="67">
        <f t="shared" si="26"/>
        <v>5</v>
      </c>
      <c r="CH225" s="69">
        <f t="shared" si="27"/>
        <v>2</v>
      </c>
      <c r="CI225" s="30">
        <f t="shared" si="28"/>
        <v>0</v>
      </c>
      <c r="CJ225" s="30">
        <f t="shared" si="29"/>
        <v>5</v>
      </c>
      <c r="CK225" s="30">
        <f t="shared" si="30"/>
        <v>0</v>
      </c>
      <c r="CL225" s="67">
        <f t="shared" si="31"/>
        <v>1</v>
      </c>
      <c r="CM225" s="30">
        <v>5</v>
      </c>
      <c r="CN225" s="30">
        <v>0</v>
      </c>
      <c r="CO225" s="30">
        <v>0</v>
      </c>
      <c r="CP225" s="30">
        <v>0</v>
      </c>
      <c r="CQ225" s="67">
        <v>1</v>
      </c>
    </row>
    <row r="226" spans="1:95" x14ac:dyDescent="0.3">
      <c r="A226" s="10">
        <v>613</v>
      </c>
      <c r="B226" s="10" t="s">
        <v>3</v>
      </c>
      <c r="C226" s="10" t="s">
        <v>14</v>
      </c>
      <c r="D226" s="10" t="s">
        <v>5</v>
      </c>
      <c r="E226" s="10">
        <v>1</v>
      </c>
      <c r="F226" s="10" t="s">
        <v>6</v>
      </c>
      <c r="G226" s="10">
        <v>7.03</v>
      </c>
      <c r="H226" s="10">
        <v>12</v>
      </c>
      <c r="I226" s="10">
        <v>16.850899999999999</v>
      </c>
      <c r="J226" s="10">
        <v>3.3048999999999999</v>
      </c>
      <c r="K226" s="10">
        <v>19.61260229423948</v>
      </c>
      <c r="L226" s="10">
        <v>52.988620199146517</v>
      </c>
      <c r="M226" s="7">
        <f t="shared" ref="M226:M257" si="32">-LN((J226/G226)/H226)</f>
        <v>3.2396871399507639</v>
      </c>
      <c r="N226" s="10">
        <v>47.27</v>
      </c>
      <c r="O226" s="10">
        <v>1.8660000000000001</v>
      </c>
      <c r="P226" s="10">
        <v>11.66</v>
      </c>
      <c r="Q226" s="10">
        <v>0.36799999999999999</v>
      </c>
      <c r="R226" s="10">
        <v>0.24000000000000002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6">
        <v>0</v>
      </c>
      <c r="AG226" s="47">
        <v>0</v>
      </c>
      <c r="AH226" s="4">
        <v>0</v>
      </c>
      <c r="AI226" s="4">
        <v>0</v>
      </c>
      <c r="AJ226" s="46">
        <v>0</v>
      </c>
      <c r="AK226" s="48">
        <v>0</v>
      </c>
      <c r="AL226" s="49">
        <v>0</v>
      </c>
      <c r="AM226" s="49">
        <v>0</v>
      </c>
      <c r="AN226" s="50">
        <v>0</v>
      </c>
      <c r="AO226" s="49">
        <v>0</v>
      </c>
      <c r="AP226" s="46">
        <v>0</v>
      </c>
      <c r="AQ226" s="4">
        <v>0</v>
      </c>
      <c r="AR226" s="46">
        <v>0</v>
      </c>
      <c r="AS226" s="48">
        <v>0</v>
      </c>
      <c r="AT226" s="4">
        <v>0</v>
      </c>
      <c r="AU226" s="4">
        <v>0</v>
      </c>
      <c r="AV226" s="4">
        <v>0</v>
      </c>
      <c r="AW226" s="46">
        <v>0</v>
      </c>
      <c r="AX226" s="4">
        <v>0</v>
      </c>
      <c r="AY226" s="4">
        <v>0</v>
      </c>
      <c r="AZ226" s="46">
        <v>0</v>
      </c>
      <c r="BA226" s="4">
        <v>0</v>
      </c>
      <c r="BB226" s="4">
        <v>0</v>
      </c>
      <c r="BC226" s="46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6">
        <v>0</v>
      </c>
      <c r="BL226" s="46">
        <v>0</v>
      </c>
      <c r="BM226" s="46">
        <v>0</v>
      </c>
      <c r="BN226" s="46">
        <v>0</v>
      </c>
      <c r="BO226" s="46">
        <v>0</v>
      </c>
      <c r="BP226" s="4">
        <v>0</v>
      </c>
      <c r="BQ226" s="4">
        <v>0</v>
      </c>
      <c r="BR226" s="46">
        <v>0</v>
      </c>
      <c r="BS226" s="51">
        <v>0</v>
      </c>
      <c r="BT226" s="4">
        <v>0</v>
      </c>
      <c r="BU226" s="46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52">
        <v>0</v>
      </c>
      <c r="CG226" s="67">
        <f t="shared" si="26"/>
        <v>0</v>
      </c>
      <c r="CH226" s="69">
        <f t="shared" si="27"/>
        <v>0</v>
      </c>
      <c r="CI226" s="30">
        <f t="shared" si="28"/>
        <v>0</v>
      </c>
      <c r="CJ226" s="30">
        <f t="shared" si="29"/>
        <v>0</v>
      </c>
      <c r="CK226" s="30">
        <f t="shared" si="30"/>
        <v>0</v>
      </c>
      <c r="CL226" s="67">
        <f t="shared" si="31"/>
        <v>0</v>
      </c>
      <c r="CM226" s="30">
        <v>0</v>
      </c>
      <c r="CN226" s="30">
        <v>0</v>
      </c>
      <c r="CO226" s="30">
        <v>0</v>
      </c>
      <c r="CP226" s="30">
        <v>0</v>
      </c>
      <c r="CQ226" s="67">
        <v>0</v>
      </c>
    </row>
    <row r="227" spans="1:95" x14ac:dyDescent="0.3">
      <c r="A227" s="10">
        <v>618</v>
      </c>
      <c r="B227" s="10" t="s">
        <v>3</v>
      </c>
      <c r="C227" s="10" t="s">
        <v>14</v>
      </c>
      <c r="D227" s="10" t="s">
        <v>5</v>
      </c>
      <c r="E227" s="10">
        <v>3</v>
      </c>
      <c r="F227" s="10" t="s">
        <v>6</v>
      </c>
      <c r="G227" s="10">
        <v>6.94</v>
      </c>
      <c r="H227" s="10">
        <v>12</v>
      </c>
      <c r="I227" s="10">
        <v>16.8992</v>
      </c>
      <c r="J227" s="10">
        <v>3.7986</v>
      </c>
      <c r="K227" s="10">
        <v>22.477987123650824</v>
      </c>
      <c r="L227" s="10">
        <v>45.265129682997127</v>
      </c>
      <c r="M227" s="7">
        <f t="shared" si="32"/>
        <v>3.0875758465107146</v>
      </c>
      <c r="N227" s="10">
        <v>46.75</v>
      </c>
      <c r="O227" s="10">
        <v>1.242</v>
      </c>
      <c r="P227" s="10">
        <v>7.76</v>
      </c>
      <c r="Q227" s="10">
        <v>0.48499999999999999</v>
      </c>
      <c r="R227" s="10">
        <v>0.376</v>
      </c>
      <c r="S227" s="4">
        <v>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16</v>
      </c>
      <c r="AC227" s="4">
        <v>0</v>
      </c>
      <c r="AD227" s="4">
        <v>0</v>
      </c>
      <c r="AE227" s="4">
        <v>0</v>
      </c>
      <c r="AF227" s="46">
        <v>0</v>
      </c>
      <c r="AG227" s="47">
        <v>41</v>
      </c>
      <c r="AH227" s="4">
        <v>0</v>
      </c>
      <c r="AI227" s="4">
        <v>0</v>
      </c>
      <c r="AJ227" s="46">
        <v>0</v>
      </c>
      <c r="AK227" s="48">
        <v>0</v>
      </c>
      <c r="AL227" s="49">
        <v>0</v>
      </c>
      <c r="AM227" s="49">
        <v>0</v>
      </c>
      <c r="AN227" s="50">
        <v>0</v>
      </c>
      <c r="AO227" s="49">
        <v>0</v>
      </c>
      <c r="AP227" s="46">
        <v>0</v>
      </c>
      <c r="AQ227" s="4">
        <v>1</v>
      </c>
      <c r="AR227" s="46">
        <v>0</v>
      </c>
      <c r="AS227" s="48">
        <v>2</v>
      </c>
      <c r="AT227" s="4">
        <v>0</v>
      </c>
      <c r="AU227" s="4">
        <v>0</v>
      </c>
      <c r="AV227" s="4">
        <v>0</v>
      </c>
      <c r="AW227" s="46">
        <v>0</v>
      </c>
      <c r="AX227" s="4">
        <v>0</v>
      </c>
      <c r="AY227" s="4">
        <v>0</v>
      </c>
      <c r="AZ227" s="46">
        <v>0</v>
      </c>
      <c r="BA227" s="4">
        <v>0</v>
      </c>
      <c r="BB227" s="4">
        <v>0</v>
      </c>
      <c r="BC227" s="46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6">
        <v>0</v>
      </c>
      <c r="BL227" s="46">
        <v>0</v>
      </c>
      <c r="BM227" s="46">
        <v>0</v>
      </c>
      <c r="BN227" s="46">
        <v>0</v>
      </c>
      <c r="BO227" s="46">
        <v>0</v>
      </c>
      <c r="BP227" s="4">
        <v>0</v>
      </c>
      <c r="BQ227" s="4">
        <v>0</v>
      </c>
      <c r="BR227" s="46">
        <v>0</v>
      </c>
      <c r="BS227" s="51">
        <v>0</v>
      </c>
      <c r="BT227" s="4">
        <v>0</v>
      </c>
      <c r="BU227" s="46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52">
        <v>0</v>
      </c>
      <c r="CG227" s="67">
        <f t="shared" si="26"/>
        <v>65</v>
      </c>
      <c r="CH227" s="69">
        <f t="shared" si="27"/>
        <v>5</v>
      </c>
      <c r="CI227" s="30">
        <f t="shared" si="28"/>
        <v>2</v>
      </c>
      <c r="CJ227" s="30">
        <f t="shared" si="29"/>
        <v>63</v>
      </c>
      <c r="CK227" s="30">
        <f t="shared" si="30"/>
        <v>0</v>
      </c>
      <c r="CL227" s="67">
        <f t="shared" si="31"/>
        <v>2</v>
      </c>
      <c r="CM227" s="30">
        <v>65</v>
      </c>
      <c r="CN227" s="30">
        <v>0</v>
      </c>
      <c r="CO227" s="30">
        <v>0</v>
      </c>
      <c r="CP227" s="30">
        <v>0</v>
      </c>
      <c r="CQ227" s="67">
        <v>1</v>
      </c>
    </row>
    <row r="228" spans="1:95" x14ac:dyDescent="0.3">
      <c r="A228" s="10">
        <v>633</v>
      </c>
      <c r="B228" s="10" t="s">
        <v>3</v>
      </c>
      <c r="C228" s="10" t="s">
        <v>1</v>
      </c>
      <c r="D228" s="10" t="s">
        <v>5</v>
      </c>
      <c r="E228" s="10">
        <v>5</v>
      </c>
      <c r="F228" s="10" t="s">
        <v>6</v>
      </c>
      <c r="G228" s="10">
        <v>7.04</v>
      </c>
      <c r="H228" s="10">
        <v>12</v>
      </c>
      <c r="I228" s="10">
        <v>16.008900000000001</v>
      </c>
      <c r="J228" s="10">
        <v>2.9346000000000001</v>
      </c>
      <c r="K228" s="10">
        <v>18.331053351573185</v>
      </c>
      <c r="L228" s="10">
        <v>58.315340909090907</v>
      </c>
      <c r="M228" s="7">
        <f t="shared" si="32"/>
        <v>3.3599436621667218</v>
      </c>
      <c r="N228" s="10">
        <v>47.79</v>
      </c>
      <c r="O228" s="10">
        <v>2.1190000000000002</v>
      </c>
      <c r="P228" s="10">
        <v>13.241</v>
      </c>
      <c r="Q228" s="10">
        <v>0.38900000000000001</v>
      </c>
      <c r="R228" s="10">
        <v>0.20799999999999999</v>
      </c>
      <c r="S228" s="4">
        <v>0</v>
      </c>
      <c r="T228" s="4">
        <v>0</v>
      </c>
      <c r="U228" s="4">
        <v>0</v>
      </c>
      <c r="V228" s="4">
        <v>1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2</v>
      </c>
      <c r="AC228" s="4">
        <v>0</v>
      </c>
      <c r="AD228" s="4">
        <v>1</v>
      </c>
      <c r="AE228" s="4">
        <v>0</v>
      </c>
      <c r="AF228" s="46">
        <v>0</v>
      </c>
      <c r="AG228" s="47">
        <v>16</v>
      </c>
      <c r="AH228" s="4">
        <v>0</v>
      </c>
      <c r="AI228" s="4">
        <v>0</v>
      </c>
      <c r="AJ228" s="46">
        <v>0</v>
      </c>
      <c r="AK228" s="48">
        <v>1</v>
      </c>
      <c r="AL228" s="49">
        <v>0</v>
      </c>
      <c r="AM228" s="49">
        <v>0</v>
      </c>
      <c r="AN228" s="50">
        <v>0</v>
      </c>
      <c r="AO228" s="49">
        <v>0</v>
      </c>
      <c r="AP228" s="46">
        <v>0</v>
      </c>
      <c r="AQ228" s="4">
        <v>0</v>
      </c>
      <c r="AR228" s="46">
        <v>0</v>
      </c>
      <c r="AS228" s="48">
        <v>1</v>
      </c>
      <c r="AT228" s="4">
        <v>0</v>
      </c>
      <c r="AU228" s="4">
        <v>0</v>
      </c>
      <c r="AV228" s="4">
        <v>1</v>
      </c>
      <c r="AW228" s="46">
        <v>0</v>
      </c>
      <c r="AX228" s="4">
        <v>0</v>
      </c>
      <c r="AY228" s="4">
        <v>0</v>
      </c>
      <c r="AZ228" s="46">
        <v>0</v>
      </c>
      <c r="BA228" s="4">
        <v>0</v>
      </c>
      <c r="BB228" s="4">
        <v>0</v>
      </c>
      <c r="BC228" s="46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1</v>
      </c>
      <c r="BI228" s="4">
        <v>0</v>
      </c>
      <c r="BJ228" s="4">
        <v>0</v>
      </c>
      <c r="BK228" s="46">
        <v>0</v>
      </c>
      <c r="BL228" s="46">
        <v>0</v>
      </c>
      <c r="BM228" s="46">
        <v>0</v>
      </c>
      <c r="BN228" s="46">
        <v>0</v>
      </c>
      <c r="BO228" s="46">
        <v>0</v>
      </c>
      <c r="BP228" s="4">
        <v>0</v>
      </c>
      <c r="BQ228" s="4">
        <v>0</v>
      </c>
      <c r="BR228" s="46">
        <v>0</v>
      </c>
      <c r="BS228" s="51">
        <v>0</v>
      </c>
      <c r="BT228" s="4">
        <v>1</v>
      </c>
      <c r="BU228" s="46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52">
        <v>0</v>
      </c>
      <c r="CG228" s="67">
        <f t="shared" si="26"/>
        <v>26</v>
      </c>
      <c r="CH228" s="69">
        <f t="shared" si="27"/>
        <v>10</v>
      </c>
      <c r="CI228" s="30">
        <f t="shared" si="28"/>
        <v>1</v>
      </c>
      <c r="CJ228" s="30">
        <f t="shared" si="29"/>
        <v>21</v>
      </c>
      <c r="CK228" s="30">
        <f t="shared" si="30"/>
        <v>4</v>
      </c>
      <c r="CL228" s="67">
        <f t="shared" si="31"/>
        <v>3</v>
      </c>
      <c r="CM228" s="30">
        <v>24</v>
      </c>
      <c r="CN228" s="30">
        <v>0</v>
      </c>
      <c r="CO228" s="30">
        <v>0</v>
      </c>
      <c r="CP228" s="30">
        <v>2</v>
      </c>
      <c r="CQ228" s="67">
        <v>1</v>
      </c>
    </row>
    <row r="229" spans="1:95" x14ac:dyDescent="0.3">
      <c r="A229" s="10">
        <v>635</v>
      </c>
      <c r="B229" s="10" t="s">
        <v>3</v>
      </c>
      <c r="C229" s="10" t="s">
        <v>1</v>
      </c>
      <c r="D229" s="10" t="s">
        <v>5</v>
      </c>
      <c r="E229" s="10">
        <v>3</v>
      </c>
      <c r="F229" s="10" t="s">
        <v>6</v>
      </c>
      <c r="G229" s="10">
        <v>7.05</v>
      </c>
      <c r="H229" s="10">
        <v>12</v>
      </c>
      <c r="I229" s="10">
        <v>13.7691</v>
      </c>
      <c r="J229" s="10">
        <v>3.0626000000000002</v>
      </c>
      <c r="K229" s="10">
        <v>22.24255761088234</v>
      </c>
      <c r="L229" s="10">
        <v>56.558865248226944</v>
      </c>
      <c r="M229" s="7">
        <f t="shared" si="32"/>
        <v>3.3186700382132073</v>
      </c>
      <c r="N229" s="10">
        <v>43.09</v>
      </c>
      <c r="O229" s="10">
        <v>2.7280000000000002</v>
      </c>
      <c r="P229" s="10">
        <v>17.047000000000001</v>
      </c>
      <c r="Q229" s="10">
        <v>0.42599999999999999</v>
      </c>
      <c r="R229" s="10">
        <v>0.28286999999999995</v>
      </c>
      <c r="S229" s="4">
        <v>0</v>
      </c>
      <c r="T229" s="4">
        <v>0</v>
      </c>
      <c r="U229" s="4">
        <v>0</v>
      </c>
      <c r="V229" s="4">
        <v>0</v>
      </c>
      <c r="W229" s="4">
        <v>2</v>
      </c>
      <c r="X229" s="4">
        <v>0</v>
      </c>
      <c r="Y229" s="4">
        <v>0</v>
      </c>
      <c r="Z229" s="4">
        <v>0</v>
      </c>
      <c r="AA229" s="4">
        <v>0</v>
      </c>
      <c r="AB229" s="4">
        <v>2</v>
      </c>
      <c r="AC229" s="4">
        <v>0</v>
      </c>
      <c r="AD229" s="4">
        <v>1</v>
      </c>
      <c r="AE229" s="4">
        <v>0</v>
      </c>
      <c r="AF229" s="46">
        <v>0</v>
      </c>
      <c r="AG229" s="47">
        <v>18</v>
      </c>
      <c r="AH229" s="4">
        <v>2</v>
      </c>
      <c r="AI229" s="4">
        <v>0</v>
      </c>
      <c r="AJ229" s="46">
        <v>1</v>
      </c>
      <c r="AK229" s="48">
        <v>0</v>
      </c>
      <c r="AL229" s="49">
        <v>0</v>
      </c>
      <c r="AM229" s="49">
        <v>0</v>
      </c>
      <c r="AN229" s="50">
        <v>0</v>
      </c>
      <c r="AO229" s="49">
        <v>0</v>
      </c>
      <c r="AP229" s="46">
        <v>0</v>
      </c>
      <c r="AQ229" s="4">
        <v>1</v>
      </c>
      <c r="AR229" s="46">
        <v>1</v>
      </c>
      <c r="AS229" s="48">
        <v>0</v>
      </c>
      <c r="AT229" s="4">
        <v>0</v>
      </c>
      <c r="AU229" s="4">
        <v>0</v>
      </c>
      <c r="AV229" s="4">
        <v>0</v>
      </c>
      <c r="AW229" s="46">
        <v>0</v>
      </c>
      <c r="AX229" s="4">
        <v>0</v>
      </c>
      <c r="AY229" s="4">
        <v>0</v>
      </c>
      <c r="AZ229" s="46">
        <v>0</v>
      </c>
      <c r="BA229" s="4">
        <v>0</v>
      </c>
      <c r="BB229" s="4">
        <v>0</v>
      </c>
      <c r="BC229" s="46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6">
        <v>0</v>
      </c>
      <c r="BL229" s="46">
        <v>0</v>
      </c>
      <c r="BM229" s="46">
        <v>0</v>
      </c>
      <c r="BN229" s="46">
        <v>0</v>
      </c>
      <c r="BO229" s="46">
        <v>0</v>
      </c>
      <c r="BP229" s="4">
        <v>0</v>
      </c>
      <c r="BQ229" s="4">
        <v>0</v>
      </c>
      <c r="BR229" s="46">
        <v>0</v>
      </c>
      <c r="BS229" s="51">
        <v>0</v>
      </c>
      <c r="BT229" s="4">
        <v>0</v>
      </c>
      <c r="BU229" s="46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52">
        <v>0</v>
      </c>
      <c r="CG229" s="67">
        <f t="shared" si="26"/>
        <v>28</v>
      </c>
      <c r="CH229" s="69">
        <f t="shared" si="27"/>
        <v>8</v>
      </c>
      <c r="CI229" s="30">
        <f t="shared" si="28"/>
        <v>0</v>
      </c>
      <c r="CJ229" s="30">
        <f t="shared" si="29"/>
        <v>28</v>
      </c>
      <c r="CK229" s="30">
        <f t="shared" si="30"/>
        <v>0</v>
      </c>
      <c r="CL229" s="67">
        <f t="shared" si="31"/>
        <v>1</v>
      </c>
      <c r="CM229" s="30">
        <v>27</v>
      </c>
      <c r="CN229" s="30">
        <v>0</v>
      </c>
      <c r="CO229" s="30">
        <v>0</v>
      </c>
      <c r="CP229" s="30">
        <v>1</v>
      </c>
      <c r="CQ229" s="67">
        <v>1</v>
      </c>
    </row>
    <row r="230" spans="1:95" x14ac:dyDescent="0.3">
      <c r="A230" s="10">
        <v>644</v>
      </c>
      <c r="B230" s="10" t="s">
        <v>3</v>
      </c>
      <c r="C230" s="10" t="s">
        <v>14</v>
      </c>
      <c r="D230" s="10" t="s">
        <v>5</v>
      </c>
      <c r="E230" s="10">
        <v>5</v>
      </c>
      <c r="F230" s="10" t="s">
        <v>6</v>
      </c>
      <c r="G230" s="10">
        <v>6.97</v>
      </c>
      <c r="H230" s="10">
        <v>12</v>
      </c>
      <c r="I230" s="10">
        <v>15.8148</v>
      </c>
      <c r="J230" s="10">
        <v>3.0625</v>
      </c>
      <c r="K230" s="10">
        <v>19.364772238662521</v>
      </c>
      <c r="L230" s="10">
        <v>56.061692969870869</v>
      </c>
      <c r="M230" s="7">
        <f t="shared" si="32"/>
        <v>3.3072902986895873</v>
      </c>
      <c r="N230" s="10">
        <v>46.83</v>
      </c>
      <c r="O230" s="10">
        <v>2.5979999999999999</v>
      </c>
      <c r="P230" s="10">
        <v>16.239999999999998</v>
      </c>
      <c r="Q230" s="10">
        <v>0.38200000000000001</v>
      </c>
      <c r="R230" s="10">
        <v>0.29486999999999997</v>
      </c>
      <c r="S230" s="4">
        <v>1</v>
      </c>
      <c r="T230" s="4">
        <v>0</v>
      </c>
      <c r="U230" s="4">
        <v>0</v>
      </c>
      <c r="V230" s="4">
        <v>0</v>
      </c>
      <c r="W230" s="4">
        <v>1</v>
      </c>
      <c r="X230" s="4">
        <v>2</v>
      </c>
      <c r="Y230" s="4">
        <v>0</v>
      </c>
      <c r="Z230" s="4">
        <v>0</v>
      </c>
      <c r="AA230" s="4">
        <v>1</v>
      </c>
      <c r="AB230" s="4">
        <v>0</v>
      </c>
      <c r="AC230" s="4">
        <v>0</v>
      </c>
      <c r="AD230" s="4">
        <v>1</v>
      </c>
      <c r="AE230" s="4">
        <v>1</v>
      </c>
      <c r="AF230" s="46">
        <v>0</v>
      </c>
      <c r="AG230" s="47">
        <v>10</v>
      </c>
      <c r="AH230" s="4">
        <v>4</v>
      </c>
      <c r="AI230" s="4">
        <v>0</v>
      </c>
      <c r="AJ230" s="46">
        <v>1</v>
      </c>
      <c r="AK230" s="48">
        <v>0</v>
      </c>
      <c r="AL230" s="49">
        <v>0</v>
      </c>
      <c r="AM230" s="49">
        <v>0</v>
      </c>
      <c r="AN230" s="50">
        <v>0</v>
      </c>
      <c r="AO230" s="49">
        <v>0</v>
      </c>
      <c r="AP230" s="46">
        <v>0</v>
      </c>
      <c r="AQ230" s="4">
        <v>1</v>
      </c>
      <c r="AR230" s="46">
        <v>0</v>
      </c>
      <c r="AS230" s="48">
        <v>7</v>
      </c>
      <c r="AT230" s="4">
        <v>0</v>
      </c>
      <c r="AU230" s="4">
        <v>0</v>
      </c>
      <c r="AV230" s="4">
        <v>0</v>
      </c>
      <c r="AW230" s="46">
        <v>0</v>
      </c>
      <c r="AX230" s="4">
        <v>0</v>
      </c>
      <c r="AY230" s="4">
        <v>0</v>
      </c>
      <c r="AZ230" s="46">
        <v>0</v>
      </c>
      <c r="BA230" s="4">
        <v>0</v>
      </c>
      <c r="BB230" s="4">
        <v>0</v>
      </c>
      <c r="BC230" s="46">
        <v>0</v>
      </c>
      <c r="BD230" s="4">
        <v>1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6">
        <v>0</v>
      </c>
      <c r="BL230" s="46">
        <v>0</v>
      </c>
      <c r="BM230" s="46">
        <v>0</v>
      </c>
      <c r="BN230" s="46">
        <v>0</v>
      </c>
      <c r="BO230" s="46">
        <v>0</v>
      </c>
      <c r="BP230" s="4">
        <v>0</v>
      </c>
      <c r="BQ230" s="4">
        <v>0</v>
      </c>
      <c r="BR230" s="46">
        <v>0</v>
      </c>
      <c r="BS230" s="51">
        <v>0</v>
      </c>
      <c r="BT230" s="4">
        <v>0</v>
      </c>
      <c r="BU230" s="46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52">
        <v>0</v>
      </c>
      <c r="CG230" s="67">
        <f t="shared" si="26"/>
        <v>31</v>
      </c>
      <c r="CH230" s="69">
        <f t="shared" si="27"/>
        <v>12</v>
      </c>
      <c r="CI230" s="30">
        <f t="shared" si="28"/>
        <v>7</v>
      </c>
      <c r="CJ230" s="30">
        <f t="shared" si="29"/>
        <v>23</v>
      </c>
      <c r="CK230" s="30">
        <f t="shared" si="30"/>
        <v>1</v>
      </c>
      <c r="CL230" s="67">
        <f t="shared" si="31"/>
        <v>3</v>
      </c>
      <c r="CM230" s="30">
        <v>29</v>
      </c>
      <c r="CN230" s="30">
        <v>0</v>
      </c>
      <c r="CO230" s="30">
        <v>0</v>
      </c>
      <c r="CP230" s="30">
        <v>2</v>
      </c>
      <c r="CQ230" s="67">
        <v>1</v>
      </c>
    </row>
    <row r="231" spans="1:95" x14ac:dyDescent="0.3">
      <c r="A231" s="10">
        <v>659</v>
      </c>
      <c r="B231" s="10" t="s">
        <v>3</v>
      </c>
      <c r="C231" s="10" t="s">
        <v>1</v>
      </c>
      <c r="D231" s="10" t="s">
        <v>5</v>
      </c>
      <c r="E231" s="10">
        <v>2</v>
      </c>
      <c r="F231" s="10" t="s">
        <v>6</v>
      </c>
      <c r="G231" s="10">
        <v>6.97</v>
      </c>
      <c r="H231" s="10">
        <v>12</v>
      </c>
      <c r="I231" s="10">
        <v>18.357700000000001</v>
      </c>
      <c r="J231" s="10">
        <v>3.0804999999999998</v>
      </c>
      <c r="K231" s="10">
        <v>16.780424562989914</v>
      </c>
      <c r="L231" s="10">
        <v>55.803443328550941</v>
      </c>
      <c r="M231" s="7">
        <f t="shared" si="32"/>
        <v>3.3014299530879447</v>
      </c>
      <c r="N231" s="10">
        <v>41.8</v>
      </c>
      <c r="O231" s="10">
        <v>1.3180000000000001</v>
      </c>
      <c r="P231" s="10">
        <v>8.2370000000000001</v>
      </c>
      <c r="Q231" s="10">
        <v>0.32200000000000001</v>
      </c>
      <c r="R231" s="10">
        <v>0.26500000000000001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6">
        <v>0</v>
      </c>
      <c r="AG231" s="47">
        <v>3</v>
      </c>
      <c r="AH231" s="4">
        <v>0</v>
      </c>
      <c r="AI231" s="4">
        <v>0</v>
      </c>
      <c r="AJ231" s="46">
        <v>1</v>
      </c>
      <c r="AK231" s="48">
        <v>0</v>
      </c>
      <c r="AL231" s="49">
        <v>0</v>
      </c>
      <c r="AM231" s="49">
        <v>0</v>
      </c>
      <c r="AN231" s="50">
        <v>0</v>
      </c>
      <c r="AO231" s="49">
        <v>0</v>
      </c>
      <c r="AP231" s="46">
        <v>0</v>
      </c>
      <c r="AQ231" s="4">
        <v>0</v>
      </c>
      <c r="AR231" s="46">
        <v>0</v>
      </c>
      <c r="AS231" s="48">
        <v>0</v>
      </c>
      <c r="AT231" s="4">
        <v>0</v>
      </c>
      <c r="AU231" s="4">
        <v>0</v>
      </c>
      <c r="AV231" s="4">
        <v>0</v>
      </c>
      <c r="AW231" s="46">
        <v>0</v>
      </c>
      <c r="AX231" s="4">
        <v>0</v>
      </c>
      <c r="AY231" s="4">
        <v>0</v>
      </c>
      <c r="AZ231" s="46">
        <v>0</v>
      </c>
      <c r="BA231" s="4">
        <v>0</v>
      </c>
      <c r="BB231" s="4">
        <v>0</v>
      </c>
      <c r="BC231" s="46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6">
        <v>0</v>
      </c>
      <c r="BL231" s="46">
        <v>0</v>
      </c>
      <c r="BM231" s="46">
        <v>0</v>
      </c>
      <c r="BN231" s="46">
        <v>0</v>
      </c>
      <c r="BO231" s="46">
        <v>0</v>
      </c>
      <c r="BP231" s="4">
        <v>0</v>
      </c>
      <c r="BQ231" s="4">
        <v>0</v>
      </c>
      <c r="BR231" s="46">
        <v>0</v>
      </c>
      <c r="BS231" s="51">
        <v>0</v>
      </c>
      <c r="BT231" s="4">
        <v>0</v>
      </c>
      <c r="BU231" s="46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52">
        <v>0</v>
      </c>
      <c r="CG231" s="67">
        <f t="shared" si="26"/>
        <v>5</v>
      </c>
      <c r="CH231" s="69">
        <f t="shared" si="27"/>
        <v>3</v>
      </c>
      <c r="CI231" s="30">
        <f t="shared" si="28"/>
        <v>0</v>
      </c>
      <c r="CJ231" s="30">
        <f t="shared" si="29"/>
        <v>5</v>
      </c>
      <c r="CK231" s="30">
        <f t="shared" si="30"/>
        <v>0</v>
      </c>
      <c r="CL231" s="67">
        <f t="shared" si="31"/>
        <v>1</v>
      </c>
      <c r="CM231" s="30">
        <v>5</v>
      </c>
      <c r="CN231" s="30">
        <v>0</v>
      </c>
      <c r="CO231" s="30">
        <v>0</v>
      </c>
      <c r="CP231" s="30">
        <v>0</v>
      </c>
      <c r="CQ231" s="67">
        <v>1</v>
      </c>
    </row>
    <row r="232" spans="1:95" x14ac:dyDescent="0.3">
      <c r="A232" s="10" t="s">
        <v>34</v>
      </c>
      <c r="B232" s="10" t="s">
        <v>3</v>
      </c>
      <c r="C232" s="10" t="s">
        <v>1</v>
      </c>
      <c r="D232" s="10" t="s">
        <v>4</v>
      </c>
      <c r="E232" s="10">
        <v>2</v>
      </c>
      <c r="F232" s="10" t="s">
        <v>6</v>
      </c>
      <c r="G232" s="10">
        <v>7</v>
      </c>
      <c r="H232" s="10">
        <v>12</v>
      </c>
      <c r="I232" s="10">
        <v>22.385200000000001</v>
      </c>
      <c r="J232" s="10">
        <v>3.9823</v>
      </c>
      <c r="K232" s="10">
        <v>17.789879027214408</v>
      </c>
      <c r="L232" s="10">
        <v>43.11</v>
      </c>
      <c r="M232" s="7">
        <f t="shared" si="32"/>
        <v>3.0489572570135359</v>
      </c>
      <c r="N232" s="10">
        <v>42.08</v>
      </c>
      <c r="O232" s="10">
        <v>1.482</v>
      </c>
      <c r="P232" s="10">
        <v>9.2650000000000006</v>
      </c>
      <c r="Q232" s="10">
        <v>0.50800000000000001</v>
      </c>
      <c r="R232" s="10">
        <v>8.387E-2</v>
      </c>
      <c r="S232" s="4">
        <v>3</v>
      </c>
      <c r="T232" s="4">
        <v>0</v>
      </c>
      <c r="U232" s="4">
        <v>0</v>
      </c>
      <c r="V232" s="4">
        <v>0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1</v>
      </c>
      <c r="AC232" s="4">
        <v>0</v>
      </c>
      <c r="AD232" s="4">
        <v>3</v>
      </c>
      <c r="AE232" s="4">
        <v>0</v>
      </c>
      <c r="AF232" s="46">
        <v>0</v>
      </c>
      <c r="AG232" s="47">
        <v>33</v>
      </c>
      <c r="AH232" s="4">
        <v>0</v>
      </c>
      <c r="AI232" s="4">
        <v>0</v>
      </c>
      <c r="AJ232" s="46">
        <v>3</v>
      </c>
      <c r="AK232" s="48">
        <v>0</v>
      </c>
      <c r="AL232" s="49">
        <v>0</v>
      </c>
      <c r="AM232" s="49">
        <v>0</v>
      </c>
      <c r="AN232" s="50">
        <v>0</v>
      </c>
      <c r="AO232" s="49">
        <v>0</v>
      </c>
      <c r="AP232" s="46">
        <v>0</v>
      </c>
      <c r="AQ232" s="4">
        <v>1</v>
      </c>
      <c r="AR232" s="46">
        <v>0</v>
      </c>
      <c r="AS232" s="48">
        <v>0</v>
      </c>
      <c r="AT232" s="4">
        <v>0</v>
      </c>
      <c r="AU232" s="4">
        <v>0</v>
      </c>
      <c r="AV232" s="4">
        <v>0</v>
      </c>
      <c r="AW232" s="46">
        <v>0</v>
      </c>
      <c r="AX232" s="4">
        <v>0</v>
      </c>
      <c r="AY232" s="4">
        <v>0</v>
      </c>
      <c r="AZ232" s="46">
        <v>0</v>
      </c>
      <c r="BA232" s="4">
        <v>0</v>
      </c>
      <c r="BB232" s="4">
        <v>0</v>
      </c>
      <c r="BC232" s="46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6">
        <v>0</v>
      </c>
      <c r="BL232" s="46">
        <v>0</v>
      </c>
      <c r="BM232" s="46">
        <v>0</v>
      </c>
      <c r="BN232" s="46">
        <v>0</v>
      </c>
      <c r="BO232" s="46">
        <v>0</v>
      </c>
      <c r="BP232" s="4">
        <v>0</v>
      </c>
      <c r="BQ232" s="4">
        <v>0</v>
      </c>
      <c r="BR232" s="46">
        <v>0</v>
      </c>
      <c r="BS232" s="51">
        <v>0</v>
      </c>
      <c r="BT232" s="4">
        <v>0</v>
      </c>
      <c r="BU232" s="46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52">
        <v>0</v>
      </c>
      <c r="CG232" s="67">
        <f t="shared" si="26"/>
        <v>45</v>
      </c>
      <c r="CH232" s="69">
        <f t="shared" si="27"/>
        <v>7</v>
      </c>
      <c r="CI232" s="30">
        <f t="shared" si="28"/>
        <v>0</v>
      </c>
      <c r="CJ232" s="30">
        <f t="shared" si="29"/>
        <v>45</v>
      </c>
      <c r="CK232" s="30">
        <f t="shared" si="30"/>
        <v>0</v>
      </c>
      <c r="CL232" s="67">
        <f t="shared" si="31"/>
        <v>1</v>
      </c>
      <c r="CM232" s="30">
        <v>42</v>
      </c>
      <c r="CN232" s="30">
        <v>0</v>
      </c>
      <c r="CO232" s="30">
        <v>0</v>
      </c>
      <c r="CP232" s="30">
        <v>3</v>
      </c>
      <c r="CQ232" s="67">
        <v>1</v>
      </c>
    </row>
    <row r="233" spans="1:95" x14ac:dyDescent="0.3">
      <c r="A233" s="10" t="s">
        <v>35</v>
      </c>
      <c r="B233" s="10" t="s">
        <v>3</v>
      </c>
      <c r="C233" s="10" t="s">
        <v>1</v>
      </c>
      <c r="D233" s="10" t="s">
        <v>4</v>
      </c>
      <c r="E233" s="10">
        <v>5</v>
      </c>
      <c r="F233" s="10" t="s">
        <v>6</v>
      </c>
      <c r="G233" s="10">
        <v>7</v>
      </c>
      <c r="H233" s="10">
        <v>12</v>
      </c>
      <c r="I233" s="10">
        <v>14.9291</v>
      </c>
      <c r="J233" s="10">
        <v>2.5068000000000001</v>
      </c>
      <c r="K233" s="10">
        <v>16.791367195611258</v>
      </c>
      <c r="L233" s="10">
        <v>64.188571428571422</v>
      </c>
      <c r="M233" s="7">
        <f t="shared" si="32"/>
        <v>3.5118097594749305</v>
      </c>
      <c r="N233" s="10">
        <v>42.08</v>
      </c>
      <c r="O233" s="10">
        <v>1.756</v>
      </c>
      <c r="P233" s="10">
        <v>10.973000000000001</v>
      </c>
      <c r="Q233" s="10">
        <v>0.54600000000000004</v>
      </c>
      <c r="R233" s="10">
        <v>9.3869999999999995E-2</v>
      </c>
      <c r="S233" s="4">
        <v>3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1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>
        <v>0</v>
      </c>
      <c r="AF233" s="46">
        <v>0</v>
      </c>
      <c r="AG233" s="47">
        <v>30</v>
      </c>
      <c r="AH233" s="4">
        <v>3</v>
      </c>
      <c r="AI233" s="4">
        <v>0</v>
      </c>
      <c r="AJ233" s="46">
        <v>2</v>
      </c>
      <c r="AK233" s="48">
        <v>0</v>
      </c>
      <c r="AL233" s="49">
        <v>0</v>
      </c>
      <c r="AM233" s="49">
        <v>0</v>
      </c>
      <c r="AN233" s="50">
        <v>0</v>
      </c>
      <c r="AO233" s="49">
        <v>0</v>
      </c>
      <c r="AP233" s="46">
        <v>0</v>
      </c>
      <c r="AQ233" s="4">
        <v>2</v>
      </c>
      <c r="AR233" s="46">
        <v>0</v>
      </c>
      <c r="AS233" s="48">
        <v>3</v>
      </c>
      <c r="AT233" s="4">
        <v>0</v>
      </c>
      <c r="AU233" s="4">
        <v>0</v>
      </c>
      <c r="AV233" s="4">
        <v>0</v>
      </c>
      <c r="AW233" s="46">
        <v>0</v>
      </c>
      <c r="AX233" s="4">
        <v>0</v>
      </c>
      <c r="AY233" s="4">
        <v>0</v>
      </c>
      <c r="AZ233" s="46">
        <v>0</v>
      </c>
      <c r="BA233" s="4">
        <v>0</v>
      </c>
      <c r="BB233" s="4">
        <v>0</v>
      </c>
      <c r="BC233" s="46">
        <v>2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6">
        <v>0</v>
      </c>
      <c r="BL233" s="46">
        <v>0</v>
      </c>
      <c r="BM233" s="46">
        <v>0</v>
      </c>
      <c r="BN233" s="46">
        <v>0</v>
      </c>
      <c r="BO233" s="46">
        <v>0</v>
      </c>
      <c r="BP233" s="4">
        <v>0</v>
      </c>
      <c r="BQ233" s="4">
        <v>0</v>
      </c>
      <c r="BR233" s="46">
        <v>0</v>
      </c>
      <c r="BS233" s="51">
        <v>0</v>
      </c>
      <c r="BT233" s="4">
        <v>0</v>
      </c>
      <c r="BU233" s="46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52">
        <v>0</v>
      </c>
      <c r="CG233" s="67">
        <f t="shared" si="26"/>
        <v>47</v>
      </c>
      <c r="CH233" s="69">
        <f t="shared" si="27"/>
        <v>9</v>
      </c>
      <c r="CI233" s="30">
        <f t="shared" si="28"/>
        <v>3</v>
      </c>
      <c r="CJ233" s="30">
        <f t="shared" si="29"/>
        <v>42</v>
      </c>
      <c r="CK233" s="30">
        <f t="shared" si="30"/>
        <v>2</v>
      </c>
      <c r="CL233" s="67">
        <f t="shared" si="31"/>
        <v>3</v>
      </c>
      <c r="CM233" s="30">
        <v>46</v>
      </c>
      <c r="CN233" s="30">
        <v>0</v>
      </c>
      <c r="CO233" s="30">
        <v>0</v>
      </c>
      <c r="CP233" s="30">
        <v>1</v>
      </c>
      <c r="CQ233" s="67">
        <v>1</v>
      </c>
    </row>
    <row r="234" spans="1:95" x14ac:dyDescent="0.3">
      <c r="A234" s="10" t="s">
        <v>39</v>
      </c>
      <c r="B234" s="10" t="s">
        <v>3</v>
      </c>
      <c r="C234" s="10" t="s">
        <v>1</v>
      </c>
      <c r="D234" s="10" t="s">
        <v>5</v>
      </c>
      <c r="E234" s="10">
        <v>4</v>
      </c>
      <c r="F234" s="10" t="s">
        <v>6</v>
      </c>
      <c r="G234" s="10">
        <v>7</v>
      </c>
      <c r="H234" s="10">
        <v>12</v>
      </c>
      <c r="I234" s="10">
        <v>10.765599999999999</v>
      </c>
      <c r="J234" s="10">
        <v>1.8641000000000001</v>
      </c>
      <c r="K234" s="10">
        <v>17.315337742438881</v>
      </c>
      <c r="L234" s="10">
        <v>73.36999999999999</v>
      </c>
      <c r="M234" s="7">
        <f t="shared" si="32"/>
        <v>3.8080384359502508</v>
      </c>
      <c r="N234" s="10">
        <v>47.15</v>
      </c>
      <c r="O234" s="10">
        <v>2.863</v>
      </c>
      <c r="P234" s="10">
        <v>17.890999999999998</v>
      </c>
      <c r="Q234" s="10">
        <v>0.65300000000000002</v>
      </c>
      <c r="R234" s="10">
        <v>0.21</v>
      </c>
      <c r="S234" s="4">
        <v>2</v>
      </c>
      <c r="T234" s="4">
        <v>0</v>
      </c>
      <c r="U234" s="4">
        <v>0</v>
      </c>
      <c r="V234" s="4">
        <v>0</v>
      </c>
      <c r="W234" s="4">
        <v>0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6">
        <v>0</v>
      </c>
      <c r="AG234" s="47">
        <v>4</v>
      </c>
      <c r="AH234" s="4">
        <v>0</v>
      </c>
      <c r="AI234" s="4">
        <v>0</v>
      </c>
      <c r="AJ234" s="46">
        <v>0</v>
      </c>
      <c r="AK234" s="48">
        <v>0</v>
      </c>
      <c r="AL234" s="49">
        <v>0</v>
      </c>
      <c r="AM234" s="49">
        <v>0</v>
      </c>
      <c r="AN234" s="50">
        <v>0</v>
      </c>
      <c r="AO234" s="49">
        <v>0</v>
      </c>
      <c r="AP234" s="46">
        <v>0</v>
      </c>
      <c r="AQ234" s="4">
        <v>2</v>
      </c>
      <c r="AR234" s="46">
        <v>0</v>
      </c>
      <c r="AS234" s="48">
        <v>8</v>
      </c>
      <c r="AT234" s="4">
        <v>0</v>
      </c>
      <c r="AU234" s="4">
        <v>0</v>
      </c>
      <c r="AV234" s="4">
        <v>0</v>
      </c>
      <c r="AW234" s="46">
        <v>0</v>
      </c>
      <c r="AX234" s="4">
        <v>0</v>
      </c>
      <c r="AY234" s="4">
        <v>0</v>
      </c>
      <c r="AZ234" s="46">
        <v>0</v>
      </c>
      <c r="BA234" s="4">
        <v>0</v>
      </c>
      <c r="BB234" s="4">
        <v>0</v>
      </c>
      <c r="BC234" s="46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6">
        <v>0</v>
      </c>
      <c r="BL234" s="46">
        <v>0</v>
      </c>
      <c r="BM234" s="46">
        <v>0</v>
      </c>
      <c r="BN234" s="46">
        <v>0</v>
      </c>
      <c r="BO234" s="46">
        <v>0</v>
      </c>
      <c r="BP234" s="4">
        <v>0</v>
      </c>
      <c r="BQ234" s="4">
        <v>0</v>
      </c>
      <c r="BR234" s="46">
        <v>0</v>
      </c>
      <c r="BS234" s="51">
        <v>0</v>
      </c>
      <c r="BT234" s="4">
        <v>0</v>
      </c>
      <c r="BU234" s="46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52">
        <v>0</v>
      </c>
      <c r="CG234" s="67">
        <f t="shared" si="26"/>
        <v>17</v>
      </c>
      <c r="CH234" s="69">
        <f t="shared" si="27"/>
        <v>5</v>
      </c>
      <c r="CI234" s="30">
        <f t="shared" si="28"/>
        <v>8</v>
      </c>
      <c r="CJ234" s="30">
        <f t="shared" si="29"/>
        <v>9</v>
      </c>
      <c r="CK234" s="30">
        <f t="shared" si="30"/>
        <v>0</v>
      </c>
      <c r="CL234" s="67">
        <f t="shared" si="31"/>
        <v>2</v>
      </c>
      <c r="CM234" s="30">
        <v>17</v>
      </c>
      <c r="CN234" s="30">
        <v>0</v>
      </c>
      <c r="CO234" s="30">
        <v>0</v>
      </c>
      <c r="CP234" s="30">
        <v>0</v>
      </c>
      <c r="CQ234" s="67">
        <v>1</v>
      </c>
    </row>
    <row r="235" spans="1:95" x14ac:dyDescent="0.3">
      <c r="A235" s="10" t="s">
        <v>37</v>
      </c>
      <c r="B235" s="10" t="s">
        <v>3</v>
      </c>
      <c r="C235" s="10" t="s">
        <v>14</v>
      </c>
      <c r="D235" s="10" t="s">
        <v>4</v>
      </c>
      <c r="E235" s="10">
        <v>1</v>
      </c>
      <c r="F235" s="10" t="s">
        <v>6</v>
      </c>
      <c r="G235" s="10">
        <v>7</v>
      </c>
      <c r="H235" s="10">
        <v>12</v>
      </c>
      <c r="I235" s="10">
        <v>16.223400000000002</v>
      </c>
      <c r="J235" s="10">
        <v>2.6829999999999998</v>
      </c>
      <c r="K235" s="10">
        <v>16.537840403367973</v>
      </c>
      <c r="L235" s="10">
        <v>61.671428571428578</v>
      </c>
      <c r="M235" s="7">
        <f t="shared" si="32"/>
        <v>3.4438812273998263</v>
      </c>
      <c r="N235" s="10">
        <v>46.74</v>
      </c>
      <c r="O235" s="10">
        <v>2.6419999999999999</v>
      </c>
      <c r="P235" s="10">
        <v>16.513000000000002</v>
      </c>
      <c r="Q235" s="10">
        <v>0.29099999999999998</v>
      </c>
      <c r="R235" s="10">
        <v>9.4869999999999996E-2</v>
      </c>
      <c r="S235" s="4">
        <v>3</v>
      </c>
      <c r="T235" s="4">
        <v>0</v>
      </c>
      <c r="U235" s="4">
        <v>0</v>
      </c>
      <c r="V235" s="4">
        <v>2</v>
      </c>
      <c r="W235" s="4">
        <v>0</v>
      </c>
      <c r="X235" s="4">
        <v>0</v>
      </c>
      <c r="Y235" s="4">
        <v>1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6">
        <v>0</v>
      </c>
      <c r="AG235" s="47">
        <v>1</v>
      </c>
      <c r="AH235" s="4">
        <v>0</v>
      </c>
      <c r="AI235" s="4">
        <v>0</v>
      </c>
      <c r="AJ235" s="46">
        <v>3</v>
      </c>
      <c r="AK235" s="48">
        <v>0</v>
      </c>
      <c r="AL235" s="49">
        <v>0</v>
      </c>
      <c r="AM235" s="49">
        <v>0</v>
      </c>
      <c r="AN235" s="50">
        <v>0</v>
      </c>
      <c r="AO235" s="49">
        <v>0</v>
      </c>
      <c r="AP235" s="46">
        <v>0</v>
      </c>
      <c r="AQ235" s="4">
        <v>0</v>
      </c>
      <c r="AR235" s="46">
        <v>0</v>
      </c>
      <c r="AS235" s="48">
        <v>6</v>
      </c>
      <c r="AT235" s="4">
        <v>0</v>
      </c>
      <c r="AU235" s="4">
        <v>0</v>
      </c>
      <c r="AV235" s="4">
        <v>0</v>
      </c>
      <c r="AW235" s="46">
        <v>0</v>
      </c>
      <c r="AX235" s="4">
        <v>0</v>
      </c>
      <c r="AY235" s="4">
        <v>0</v>
      </c>
      <c r="AZ235" s="46">
        <v>0</v>
      </c>
      <c r="BA235" s="4">
        <v>0</v>
      </c>
      <c r="BB235" s="4">
        <v>0</v>
      </c>
      <c r="BC235" s="46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6">
        <v>0</v>
      </c>
      <c r="BL235" s="46">
        <v>0</v>
      </c>
      <c r="BM235" s="46">
        <v>0</v>
      </c>
      <c r="BN235" s="46">
        <v>0</v>
      </c>
      <c r="BO235" s="46">
        <v>0</v>
      </c>
      <c r="BP235" s="4">
        <v>0</v>
      </c>
      <c r="BQ235" s="4">
        <v>0</v>
      </c>
      <c r="BR235" s="46">
        <v>0</v>
      </c>
      <c r="BS235" s="51">
        <v>0</v>
      </c>
      <c r="BT235" s="4">
        <v>0</v>
      </c>
      <c r="BU235" s="46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52">
        <v>0</v>
      </c>
      <c r="CG235" s="67">
        <f t="shared" si="26"/>
        <v>16</v>
      </c>
      <c r="CH235" s="69">
        <f t="shared" si="27"/>
        <v>6</v>
      </c>
      <c r="CI235" s="30">
        <f t="shared" si="28"/>
        <v>6</v>
      </c>
      <c r="CJ235" s="30">
        <f t="shared" si="29"/>
        <v>10</v>
      </c>
      <c r="CK235" s="30">
        <f t="shared" si="30"/>
        <v>0</v>
      </c>
      <c r="CL235" s="67">
        <f t="shared" si="31"/>
        <v>2</v>
      </c>
      <c r="CM235" s="30">
        <v>16</v>
      </c>
      <c r="CN235" s="30">
        <v>0</v>
      </c>
      <c r="CO235" s="30">
        <v>0</v>
      </c>
      <c r="CP235" s="30">
        <v>0</v>
      </c>
      <c r="CQ235" s="67">
        <v>1</v>
      </c>
    </row>
    <row r="236" spans="1:95" x14ac:dyDescent="0.3">
      <c r="A236" s="10" t="s">
        <v>32</v>
      </c>
      <c r="B236" s="10" t="s">
        <v>3</v>
      </c>
      <c r="C236" s="10" t="s">
        <v>14</v>
      </c>
      <c r="D236" s="10" t="s">
        <v>5</v>
      </c>
      <c r="E236" s="10">
        <v>2</v>
      </c>
      <c r="F236" s="10" t="s">
        <v>6</v>
      </c>
      <c r="G236" s="10">
        <v>7</v>
      </c>
      <c r="H236" s="10">
        <v>12</v>
      </c>
      <c r="I236" s="10">
        <v>15.982699999999999</v>
      </c>
      <c r="J236" s="10">
        <v>3.3689</v>
      </c>
      <c r="K236" s="10">
        <v>21.078416037340375</v>
      </c>
      <c r="L236" s="10">
        <v>51.872857142857143</v>
      </c>
      <c r="M236" s="7">
        <f t="shared" si="32"/>
        <v>3.2162305172577668</v>
      </c>
      <c r="N236" s="10">
        <v>46.13</v>
      </c>
      <c r="O236" s="10">
        <v>1.462</v>
      </c>
      <c r="P236" s="10">
        <v>9.14</v>
      </c>
      <c r="Q236" s="10">
        <v>0.38500000000000001</v>
      </c>
      <c r="R236" s="10">
        <v>0.12086999999999999</v>
      </c>
      <c r="S236" s="4">
        <v>7</v>
      </c>
      <c r="T236" s="4">
        <v>0</v>
      </c>
      <c r="U236" s="4">
        <v>0</v>
      </c>
      <c r="V236" s="4">
        <v>0</v>
      </c>
      <c r="W236" s="4">
        <v>1</v>
      </c>
      <c r="X236" s="4">
        <v>3</v>
      </c>
      <c r="Y236" s="4">
        <v>0</v>
      </c>
      <c r="Z236" s="4">
        <v>1</v>
      </c>
      <c r="AA236" s="4">
        <v>0</v>
      </c>
      <c r="AB236" s="4">
        <v>0</v>
      </c>
      <c r="AC236" s="4">
        <v>1</v>
      </c>
      <c r="AD236" s="4">
        <v>1</v>
      </c>
      <c r="AE236" s="4">
        <v>0</v>
      </c>
      <c r="AF236" s="46">
        <v>0</v>
      </c>
      <c r="AG236" s="47">
        <v>37</v>
      </c>
      <c r="AH236" s="4">
        <v>2</v>
      </c>
      <c r="AI236" s="4">
        <v>0</v>
      </c>
      <c r="AJ236" s="46">
        <v>0</v>
      </c>
      <c r="AK236" s="48">
        <v>0</v>
      </c>
      <c r="AL236" s="49">
        <v>0</v>
      </c>
      <c r="AM236" s="49">
        <v>0</v>
      </c>
      <c r="AN236" s="50">
        <v>0</v>
      </c>
      <c r="AO236" s="49">
        <v>0</v>
      </c>
      <c r="AP236" s="46">
        <v>0</v>
      </c>
      <c r="AQ236" s="4">
        <v>0</v>
      </c>
      <c r="AR236" s="46">
        <v>0</v>
      </c>
      <c r="AS236" s="48">
        <v>4</v>
      </c>
      <c r="AT236" s="4">
        <v>0</v>
      </c>
      <c r="AU236" s="4">
        <v>0</v>
      </c>
      <c r="AV236" s="4">
        <v>0</v>
      </c>
      <c r="AW236" s="46">
        <v>0</v>
      </c>
      <c r="AX236" s="4">
        <v>0</v>
      </c>
      <c r="AY236" s="4">
        <v>0</v>
      </c>
      <c r="AZ236" s="46">
        <v>0</v>
      </c>
      <c r="BA236" s="4">
        <v>0</v>
      </c>
      <c r="BB236" s="4">
        <v>0</v>
      </c>
      <c r="BC236" s="46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6">
        <v>0</v>
      </c>
      <c r="BL236" s="46">
        <v>0</v>
      </c>
      <c r="BM236" s="46">
        <v>0</v>
      </c>
      <c r="BN236" s="46">
        <v>0</v>
      </c>
      <c r="BO236" s="46">
        <v>0</v>
      </c>
      <c r="BP236" s="4">
        <v>0</v>
      </c>
      <c r="BQ236" s="4">
        <v>0</v>
      </c>
      <c r="BR236" s="46">
        <v>0</v>
      </c>
      <c r="BS236" s="51">
        <v>0</v>
      </c>
      <c r="BT236" s="4">
        <v>0</v>
      </c>
      <c r="BU236" s="46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2</v>
      </c>
      <c r="CE236" s="4">
        <v>0</v>
      </c>
      <c r="CF236" s="52">
        <v>0</v>
      </c>
      <c r="CG236" s="67">
        <f t="shared" si="26"/>
        <v>59</v>
      </c>
      <c r="CH236" s="69">
        <f t="shared" si="27"/>
        <v>10</v>
      </c>
      <c r="CI236" s="30">
        <f t="shared" si="28"/>
        <v>4</v>
      </c>
      <c r="CJ236" s="30">
        <f t="shared" si="29"/>
        <v>53</v>
      </c>
      <c r="CK236" s="30">
        <f t="shared" si="30"/>
        <v>2</v>
      </c>
      <c r="CL236" s="67">
        <f t="shared" si="31"/>
        <v>3</v>
      </c>
      <c r="CM236" s="30">
        <v>56</v>
      </c>
      <c r="CN236" s="30">
        <v>0</v>
      </c>
      <c r="CO236" s="30">
        <v>0</v>
      </c>
      <c r="CP236" s="30">
        <v>3</v>
      </c>
      <c r="CQ236" s="67">
        <v>1</v>
      </c>
    </row>
    <row r="237" spans="1:95" x14ac:dyDescent="0.3">
      <c r="A237" s="10" t="s">
        <v>33</v>
      </c>
      <c r="B237" s="10" t="s">
        <v>3</v>
      </c>
      <c r="C237" s="10" t="s">
        <v>14</v>
      </c>
      <c r="D237" s="10" t="s">
        <v>5</v>
      </c>
      <c r="E237" s="10">
        <v>4</v>
      </c>
      <c r="F237" s="10" t="s">
        <v>6</v>
      </c>
      <c r="G237" s="10">
        <v>7</v>
      </c>
      <c r="H237" s="10">
        <v>12</v>
      </c>
      <c r="I237" s="10">
        <v>20.173200000000001</v>
      </c>
      <c r="J237" s="10">
        <v>4.0422000000000002</v>
      </c>
      <c r="K237" s="10">
        <v>20.037475462494793</v>
      </c>
      <c r="L237" s="10">
        <v>42.254285714285714</v>
      </c>
      <c r="M237" s="7">
        <f t="shared" si="32"/>
        <v>3.0340277006307814</v>
      </c>
      <c r="N237" s="10">
        <v>47.58</v>
      </c>
      <c r="O237" s="10">
        <v>1.792</v>
      </c>
      <c r="P237" s="10">
        <v>11.185</v>
      </c>
      <c r="Q237" s="10">
        <v>0.30199999999999999</v>
      </c>
      <c r="R237" s="10">
        <v>2.087E-2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6">
        <v>0</v>
      </c>
      <c r="AG237" s="47">
        <v>7</v>
      </c>
      <c r="AH237" s="4">
        <v>0</v>
      </c>
      <c r="AI237" s="4">
        <v>0</v>
      </c>
      <c r="AJ237" s="46">
        <v>0</v>
      </c>
      <c r="AK237" s="48">
        <v>0</v>
      </c>
      <c r="AL237" s="49">
        <v>0</v>
      </c>
      <c r="AM237" s="49">
        <v>0</v>
      </c>
      <c r="AN237" s="50">
        <v>0</v>
      </c>
      <c r="AO237" s="49">
        <v>0</v>
      </c>
      <c r="AP237" s="46">
        <v>0</v>
      </c>
      <c r="AQ237" s="4">
        <v>0</v>
      </c>
      <c r="AR237" s="46">
        <v>0</v>
      </c>
      <c r="AS237" s="48">
        <v>0</v>
      </c>
      <c r="AT237" s="4">
        <v>0</v>
      </c>
      <c r="AU237" s="4">
        <v>0</v>
      </c>
      <c r="AV237" s="4">
        <v>0</v>
      </c>
      <c r="AW237" s="46">
        <v>0</v>
      </c>
      <c r="AX237" s="4">
        <v>0</v>
      </c>
      <c r="AY237" s="4">
        <v>0</v>
      </c>
      <c r="AZ237" s="46">
        <v>0</v>
      </c>
      <c r="BA237" s="4">
        <v>0</v>
      </c>
      <c r="BB237" s="4">
        <v>1</v>
      </c>
      <c r="BC237" s="46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6">
        <v>0</v>
      </c>
      <c r="BL237" s="46">
        <v>0</v>
      </c>
      <c r="BM237" s="46">
        <v>0</v>
      </c>
      <c r="BN237" s="46">
        <v>0</v>
      </c>
      <c r="BO237" s="46">
        <v>0</v>
      </c>
      <c r="BP237" s="4">
        <v>0</v>
      </c>
      <c r="BQ237" s="4">
        <v>0</v>
      </c>
      <c r="BR237" s="46">
        <v>0</v>
      </c>
      <c r="BS237" s="51">
        <v>0</v>
      </c>
      <c r="BT237" s="4">
        <v>0</v>
      </c>
      <c r="BU237" s="46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52">
        <v>0</v>
      </c>
      <c r="CG237" s="67">
        <f t="shared" si="26"/>
        <v>8</v>
      </c>
      <c r="CH237" s="69">
        <f t="shared" si="27"/>
        <v>2</v>
      </c>
      <c r="CI237" s="30">
        <f t="shared" si="28"/>
        <v>0</v>
      </c>
      <c r="CJ237" s="30">
        <f t="shared" si="29"/>
        <v>7</v>
      </c>
      <c r="CK237" s="30">
        <f t="shared" si="30"/>
        <v>1</v>
      </c>
      <c r="CL237" s="67">
        <f t="shared" si="31"/>
        <v>2</v>
      </c>
      <c r="CM237" s="30">
        <v>8</v>
      </c>
      <c r="CN237" s="30">
        <v>0</v>
      </c>
      <c r="CO237" s="30">
        <v>0</v>
      </c>
      <c r="CP237" s="30">
        <v>0</v>
      </c>
      <c r="CQ237" s="67">
        <v>1</v>
      </c>
    </row>
    <row r="238" spans="1:95" x14ac:dyDescent="0.3">
      <c r="A238" s="10" t="s">
        <v>30</v>
      </c>
      <c r="B238" s="10" t="s">
        <v>0</v>
      </c>
      <c r="C238" s="10" t="s">
        <v>1</v>
      </c>
      <c r="D238" s="10" t="s">
        <v>4</v>
      </c>
      <c r="E238" s="10">
        <v>3</v>
      </c>
      <c r="F238" s="10" t="s">
        <v>6</v>
      </c>
      <c r="G238" s="10">
        <v>7</v>
      </c>
      <c r="H238" s="10">
        <v>12</v>
      </c>
      <c r="I238" s="10">
        <v>21.175799999999999</v>
      </c>
      <c r="J238" s="10">
        <v>3.9514</v>
      </c>
      <c r="K238" s="10">
        <v>81.340020211751153</v>
      </c>
      <c r="L238" s="10">
        <v>43.551428571428566</v>
      </c>
      <c r="M238" s="7">
        <f t="shared" si="32"/>
        <v>3.0567468523461461</v>
      </c>
      <c r="N238" s="10">
        <v>42.57</v>
      </c>
      <c r="O238" s="10">
        <v>1.4259999999999999</v>
      </c>
      <c r="P238" s="10">
        <v>8.9120000000000008</v>
      </c>
      <c r="Q238" s="10">
        <v>0.57199999999999995</v>
      </c>
      <c r="R238" s="10">
        <v>0.57100000000000006</v>
      </c>
      <c r="S238" s="4">
        <v>2</v>
      </c>
      <c r="T238" s="4">
        <v>1</v>
      </c>
      <c r="U238" s="4">
        <v>0</v>
      </c>
      <c r="V238" s="4">
        <v>0</v>
      </c>
      <c r="W238" s="4">
        <v>0</v>
      </c>
      <c r="X238" s="4">
        <v>2</v>
      </c>
      <c r="Y238" s="4">
        <v>0</v>
      </c>
      <c r="Z238" s="4">
        <v>0</v>
      </c>
      <c r="AA238" s="4">
        <v>0</v>
      </c>
      <c r="AB238" s="4">
        <v>2</v>
      </c>
      <c r="AC238" s="4">
        <v>0</v>
      </c>
      <c r="AD238" s="4">
        <v>0</v>
      </c>
      <c r="AE238" s="4">
        <v>0</v>
      </c>
      <c r="AF238" s="46">
        <v>0</v>
      </c>
      <c r="AG238" s="47">
        <v>12</v>
      </c>
      <c r="AH238" s="4">
        <v>0</v>
      </c>
      <c r="AI238" s="4">
        <v>0</v>
      </c>
      <c r="AJ238" s="46">
        <v>0</v>
      </c>
      <c r="AK238" s="48">
        <v>0</v>
      </c>
      <c r="AL238" s="49">
        <v>0</v>
      </c>
      <c r="AM238" s="49">
        <v>0</v>
      </c>
      <c r="AN238" s="50">
        <v>0</v>
      </c>
      <c r="AO238" s="49">
        <v>0</v>
      </c>
      <c r="AP238" s="46">
        <v>0</v>
      </c>
      <c r="AQ238" s="4">
        <v>0</v>
      </c>
      <c r="AR238" s="46">
        <v>0</v>
      </c>
      <c r="AS238" s="48">
        <v>0</v>
      </c>
      <c r="AT238" s="4">
        <v>0</v>
      </c>
      <c r="AU238" s="4">
        <v>0</v>
      </c>
      <c r="AV238" s="4">
        <v>0</v>
      </c>
      <c r="AW238" s="46">
        <v>0</v>
      </c>
      <c r="AX238" s="4">
        <v>0</v>
      </c>
      <c r="AY238" s="4">
        <v>0</v>
      </c>
      <c r="AZ238" s="46">
        <v>0</v>
      </c>
      <c r="BA238" s="4">
        <v>0</v>
      </c>
      <c r="BB238" s="4">
        <v>0</v>
      </c>
      <c r="BC238" s="46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6">
        <v>0</v>
      </c>
      <c r="BL238" s="46">
        <v>0</v>
      </c>
      <c r="BM238" s="46">
        <v>0</v>
      </c>
      <c r="BN238" s="46">
        <v>0</v>
      </c>
      <c r="BO238" s="46">
        <v>0</v>
      </c>
      <c r="BP238" s="4">
        <v>0</v>
      </c>
      <c r="BQ238" s="4">
        <v>0</v>
      </c>
      <c r="BR238" s="46">
        <v>0</v>
      </c>
      <c r="BS238" s="51">
        <v>0</v>
      </c>
      <c r="BT238" s="4">
        <v>0</v>
      </c>
      <c r="BU238" s="46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52">
        <v>0</v>
      </c>
      <c r="CG238" s="67">
        <f t="shared" si="26"/>
        <v>19</v>
      </c>
      <c r="CH238" s="69">
        <f t="shared" si="27"/>
        <v>5</v>
      </c>
      <c r="CI238" s="30">
        <f t="shared" si="28"/>
        <v>0</v>
      </c>
      <c r="CJ238" s="30">
        <f t="shared" si="29"/>
        <v>19</v>
      </c>
      <c r="CK238" s="30">
        <f t="shared" si="30"/>
        <v>0</v>
      </c>
      <c r="CL238" s="67">
        <f t="shared" si="31"/>
        <v>1</v>
      </c>
      <c r="CM238" s="30">
        <v>19</v>
      </c>
      <c r="CN238" s="30">
        <v>0</v>
      </c>
      <c r="CO238" s="30">
        <v>0</v>
      </c>
      <c r="CP238" s="30">
        <v>0</v>
      </c>
      <c r="CQ238" s="67">
        <v>1</v>
      </c>
    </row>
    <row r="239" spans="1:95" x14ac:dyDescent="0.3">
      <c r="A239" s="10" t="s">
        <v>38</v>
      </c>
      <c r="B239" s="10" t="s">
        <v>0</v>
      </c>
      <c r="C239" s="10" t="s">
        <v>1</v>
      </c>
      <c r="D239" s="10" t="s">
        <v>4</v>
      </c>
      <c r="E239" s="10">
        <v>4</v>
      </c>
      <c r="F239" s="10" t="s">
        <v>6</v>
      </c>
      <c r="G239" s="10">
        <v>7</v>
      </c>
      <c r="H239" s="10">
        <v>12</v>
      </c>
      <c r="I239" s="10">
        <v>16.941500000000001</v>
      </c>
      <c r="J239" s="10">
        <v>3.0042</v>
      </c>
      <c r="K239" s="10">
        <v>82.267213646961608</v>
      </c>
      <c r="L239" s="10">
        <v>57.082857142857144</v>
      </c>
      <c r="M239" s="7">
        <f t="shared" si="32"/>
        <v>3.3308054892614964</v>
      </c>
      <c r="N239" s="10">
        <v>46.37</v>
      </c>
      <c r="O239" s="10">
        <v>1.734</v>
      </c>
      <c r="P239" s="10">
        <v>10.839</v>
      </c>
      <c r="Q239" s="10">
        <v>0.249</v>
      </c>
      <c r="R239" s="10">
        <v>0.40600000000000003</v>
      </c>
      <c r="S239" s="4">
        <v>1</v>
      </c>
      <c r="T239" s="4">
        <v>1</v>
      </c>
      <c r="U239" s="4">
        <v>0</v>
      </c>
      <c r="V239" s="4">
        <v>1</v>
      </c>
      <c r="W239" s="4">
        <v>0</v>
      </c>
      <c r="X239" s="4">
        <v>0</v>
      </c>
      <c r="Y239" s="4">
        <v>1</v>
      </c>
      <c r="Z239" s="4">
        <v>0</v>
      </c>
      <c r="AA239" s="4">
        <v>1</v>
      </c>
      <c r="AB239" s="4">
        <v>1</v>
      </c>
      <c r="AC239" s="4">
        <v>0</v>
      </c>
      <c r="AD239" s="4">
        <v>0</v>
      </c>
      <c r="AE239" s="4">
        <v>0</v>
      </c>
      <c r="AF239" s="46">
        <v>0</v>
      </c>
      <c r="AG239" s="47">
        <v>5</v>
      </c>
      <c r="AH239" s="4">
        <v>1</v>
      </c>
      <c r="AI239" s="4">
        <v>0</v>
      </c>
      <c r="AJ239" s="46">
        <v>0</v>
      </c>
      <c r="AK239" s="48">
        <v>0</v>
      </c>
      <c r="AL239" s="49">
        <v>0</v>
      </c>
      <c r="AM239" s="49">
        <v>0</v>
      </c>
      <c r="AN239" s="50">
        <v>0</v>
      </c>
      <c r="AO239" s="49">
        <v>0</v>
      </c>
      <c r="AP239" s="46">
        <v>0</v>
      </c>
      <c r="AQ239" s="4">
        <v>2</v>
      </c>
      <c r="AR239" s="46">
        <v>0</v>
      </c>
      <c r="AS239" s="48">
        <v>0</v>
      </c>
      <c r="AT239" s="4">
        <v>0</v>
      </c>
      <c r="AU239" s="4">
        <v>0</v>
      </c>
      <c r="AV239" s="4">
        <v>0</v>
      </c>
      <c r="AW239" s="46">
        <v>0</v>
      </c>
      <c r="AX239" s="4">
        <v>0</v>
      </c>
      <c r="AY239" s="4">
        <v>0</v>
      </c>
      <c r="AZ239" s="46">
        <v>0</v>
      </c>
      <c r="BA239" s="4">
        <v>0</v>
      </c>
      <c r="BB239" s="4">
        <v>0</v>
      </c>
      <c r="BC239" s="46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6">
        <v>0</v>
      </c>
      <c r="BL239" s="46">
        <v>0</v>
      </c>
      <c r="BM239" s="46">
        <v>0</v>
      </c>
      <c r="BN239" s="46">
        <v>0</v>
      </c>
      <c r="BO239" s="46">
        <v>0</v>
      </c>
      <c r="BP239" s="4">
        <v>0</v>
      </c>
      <c r="BQ239" s="4">
        <v>0</v>
      </c>
      <c r="BR239" s="46">
        <v>0</v>
      </c>
      <c r="BS239" s="51">
        <v>0</v>
      </c>
      <c r="BT239" s="4">
        <v>0</v>
      </c>
      <c r="BU239" s="46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52">
        <v>0</v>
      </c>
      <c r="CG239" s="67">
        <f t="shared" si="26"/>
        <v>14</v>
      </c>
      <c r="CH239" s="69">
        <f t="shared" si="27"/>
        <v>9</v>
      </c>
      <c r="CI239" s="30">
        <f t="shared" si="28"/>
        <v>0</v>
      </c>
      <c r="CJ239" s="30">
        <f t="shared" si="29"/>
        <v>14</v>
      </c>
      <c r="CK239" s="30">
        <f t="shared" si="30"/>
        <v>0</v>
      </c>
      <c r="CL239" s="67">
        <f t="shared" si="31"/>
        <v>1</v>
      </c>
      <c r="CM239" s="30">
        <v>14</v>
      </c>
      <c r="CN239" s="30">
        <v>0</v>
      </c>
      <c r="CO239" s="30">
        <v>0</v>
      </c>
      <c r="CP239" s="30">
        <v>0</v>
      </c>
      <c r="CQ239" s="67">
        <v>1</v>
      </c>
    </row>
    <row r="240" spans="1:95" x14ac:dyDescent="0.3">
      <c r="A240" s="10" t="s">
        <v>31</v>
      </c>
      <c r="B240" s="10" t="s">
        <v>2</v>
      </c>
      <c r="C240" s="10" t="s">
        <v>14</v>
      </c>
      <c r="D240" s="10" t="s">
        <v>5</v>
      </c>
      <c r="E240" s="10">
        <v>4</v>
      </c>
      <c r="F240" s="10" t="s">
        <v>6</v>
      </c>
      <c r="G240" s="10">
        <v>7</v>
      </c>
      <c r="H240" s="10">
        <v>12</v>
      </c>
      <c r="I240" s="10">
        <v>18.292999999999999</v>
      </c>
      <c r="J240" s="10">
        <v>3.1074999999999999</v>
      </c>
      <c r="K240" s="10">
        <v>83.012627781118468</v>
      </c>
      <c r="L240" s="10">
        <v>55.607142857142854</v>
      </c>
      <c r="M240" s="7">
        <f t="shared" si="32"/>
        <v>3.2969982544405845</v>
      </c>
      <c r="N240" s="10">
        <v>47.15</v>
      </c>
      <c r="O240" s="10">
        <v>1.7609999999999999</v>
      </c>
      <c r="P240" s="10">
        <v>11.004</v>
      </c>
      <c r="Q240" s="10">
        <v>0.49099999999999999</v>
      </c>
      <c r="R240" s="10">
        <v>0.18687000000000001</v>
      </c>
      <c r="S240" s="4">
        <v>13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</v>
      </c>
      <c r="AB240" s="4">
        <v>0</v>
      </c>
      <c r="AC240" s="4">
        <v>0</v>
      </c>
      <c r="AD240" s="4">
        <v>0</v>
      </c>
      <c r="AE240" s="4">
        <v>0</v>
      </c>
      <c r="AF240" s="46">
        <v>1</v>
      </c>
      <c r="AG240" s="47">
        <v>16</v>
      </c>
      <c r="AH240" s="4">
        <v>0</v>
      </c>
      <c r="AI240" s="4">
        <v>0</v>
      </c>
      <c r="AJ240" s="46">
        <v>0</v>
      </c>
      <c r="AK240" s="48">
        <v>0</v>
      </c>
      <c r="AL240" s="49">
        <v>0</v>
      </c>
      <c r="AM240" s="49">
        <v>0</v>
      </c>
      <c r="AN240" s="50">
        <v>0</v>
      </c>
      <c r="AO240" s="49">
        <v>0</v>
      </c>
      <c r="AP240" s="46">
        <v>0</v>
      </c>
      <c r="AQ240" s="4">
        <v>0</v>
      </c>
      <c r="AR240" s="46">
        <v>0</v>
      </c>
      <c r="AS240" s="48">
        <v>0</v>
      </c>
      <c r="AT240" s="4">
        <v>0</v>
      </c>
      <c r="AU240" s="4">
        <v>0</v>
      </c>
      <c r="AV240" s="4">
        <v>0</v>
      </c>
      <c r="AW240" s="46">
        <v>0</v>
      </c>
      <c r="AX240" s="4">
        <v>0</v>
      </c>
      <c r="AY240" s="4">
        <v>0</v>
      </c>
      <c r="AZ240" s="46">
        <v>0</v>
      </c>
      <c r="BA240" s="4">
        <v>0</v>
      </c>
      <c r="BB240" s="4">
        <v>0</v>
      </c>
      <c r="BC240" s="46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6">
        <v>0</v>
      </c>
      <c r="BL240" s="46">
        <v>0</v>
      </c>
      <c r="BM240" s="46">
        <v>0</v>
      </c>
      <c r="BN240" s="46">
        <v>0</v>
      </c>
      <c r="BO240" s="46">
        <v>0</v>
      </c>
      <c r="BP240" s="4">
        <v>0</v>
      </c>
      <c r="BQ240" s="4">
        <v>0</v>
      </c>
      <c r="BR240" s="46">
        <v>0</v>
      </c>
      <c r="BS240" s="51">
        <v>0</v>
      </c>
      <c r="BT240" s="4">
        <v>0</v>
      </c>
      <c r="BU240" s="46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1</v>
      </c>
      <c r="CD240" s="4">
        <v>0</v>
      </c>
      <c r="CE240" s="4">
        <v>0</v>
      </c>
      <c r="CF240" s="52">
        <v>0</v>
      </c>
      <c r="CG240" s="67">
        <f t="shared" si="26"/>
        <v>32</v>
      </c>
      <c r="CH240" s="69">
        <f t="shared" si="27"/>
        <v>5</v>
      </c>
      <c r="CI240" s="30">
        <f t="shared" si="28"/>
        <v>0</v>
      </c>
      <c r="CJ240" s="30">
        <f t="shared" si="29"/>
        <v>31</v>
      </c>
      <c r="CK240" s="30">
        <f t="shared" si="30"/>
        <v>1</v>
      </c>
      <c r="CL240" s="67">
        <f t="shared" si="31"/>
        <v>2</v>
      </c>
      <c r="CM240" s="30">
        <v>30</v>
      </c>
      <c r="CN240" s="30">
        <v>0</v>
      </c>
      <c r="CO240" s="30">
        <v>0</v>
      </c>
      <c r="CP240" s="30">
        <v>2</v>
      </c>
      <c r="CQ240" s="67">
        <v>1</v>
      </c>
    </row>
    <row r="241" spans="1:95" x14ac:dyDescent="0.3">
      <c r="A241" s="11">
        <v>6</v>
      </c>
      <c r="B241" s="11" t="s">
        <v>0</v>
      </c>
      <c r="C241" s="11" t="s">
        <v>14</v>
      </c>
      <c r="D241" s="11" t="s">
        <v>4</v>
      </c>
      <c r="E241" s="11">
        <v>3</v>
      </c>
      <c r="F241" s="11" t="s">
        <v>6</v>
      </c>
      <c r="G241" s="11">
        <v>7.02</v>
      </c>
      <c r="H241" s="11">
        <v>18</v>
      </c>
      <c r="I241" s="11">
        <v>7.2210000000000001</v>
      </c>
      <c r="J241" s="11">
        <v>2.0670000000000002</v>
      </c>
      <c r="K241" s="11">
        <v>71.375155795596186</v>
      </c>
      <c r="L241" s="11">
        <v>70.555555555555543</v>
      </c>
      <c r="M241" s="12">
        <f t="shared" si="32"/>
        <v>4.1130366952342534</v>
      </c>
      <c r="N241" s="11">
        <v>46.07</v>
      </c>
      <c r="O241" s="11">
        <v>1.669</v>
      </c>
      <c r="P241" s="12">
        <v>10.432</v>
      </c>
      <c r="Q241" s="12">
        <v>0.33</v>
      </c>
      <c r="R241" s="12">
        <v>0.36162</v>
      </c>
      <c r="S241" s="6">
        <v>0</v>
      </c>
      <c r="T241" s="6">
        <v>2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53">
        <v>0</v>
      </c>
      <c r="AG241" s="54">
        <v>13</v>
      </c>
      <c r="AH241" s="6">
        <v>0</v>
      </c>
      <c r="AI241" s="6">
        <v>0</v>
      </c>
      <c r="AJ241" s="53">
        <v>0</v>
      </c>
      <c r="AK241" s="55">
        <v>0</v>
      </c>
      <c r="AL241" s="56">
        <v>0</v>
      </c>
      <c r="AM241" s="56">
        <v>0</v>
      </c>
      <c r="AN241" s="57">
        <v>0</v>
      </c>
      <c r="AO241" s="56">
        <v>0</v>
      </c>
      <c r="AP241" s="53">
        <v>0</v>
      </c>
      <c r="AQ241" s="6">
        <v>0</v>
      </c>
      <c r="AR241" s="53">
        <v>0</v>
      </c>
      <c r="AS241" s="55">
        <v>0</v>
      </c>
      <c r="AT241" s="6">
        <v>0</v>
      </c>
      <c r="AU241" s="6">
        <v>0</v>
      </c>
      <c r="AV241" s="6">
        <v>0</v>
      </c>
      <c r="AW241" s="53">
        <v>0</v>
      </c>
      <c r="AX241" s="6">
        <v>0</v>
      </c>
      <c r="AY241" s="6">
        <v>0</v>
      </c>
      <c r="AZ241" s="53">
        <v>0</v>
      </c>
      <c r="BA241" s="6">
        <v>0</v>
      </c>
      <c r="BB241" s="6">
        <v>0</v>
      </c>
      <c r="BC241" s="53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53">
        <v>0</v>
      </c>
      <c r="BL241" s="53">
        <v>0</v>
      </c>
      <c r="BM241" s="53">
        <v>0</v>
      </c>
      <c r="BN241" s="53">
        <v>0</v>
      </c>
      <c r="BO241" s="53">
        <v>0</v>
      </c>
      <c r="BP241" s="6">
        <v>0</v>
      </c>
      <c r="BQ241" s="6">
        <v>0</v>
      </c>
      <c r="BR241" s="53">
        <v>0</v>
      </c>
      <c r="BS241" s="58">
        <v>0</v>
      </c>
      <c r="BT241" s="6">
        <v>0</v>
      </c>
      <c r="BU241" s="53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59">
        <v>0</v>
      </c>
      <c r="CG241" s="67">
        <f t="shared" si="26"/>
        <v>15</v>
      </c>
      <c r="CH241" s="69">
        <f t="shared" si="27"/>
        <v>2</v>
      </c>
      <c r="CI241" s="30">
        <f t="shared" si="28"/>
        <v>0</v>
      </c>
      <c r="CJ241" s="30">
        <f t="shared" si="29"/>
        <v>15</v>
      </c>
      <c r="CK241" s="30">
        <f t="shared" si="30"/>
        <v>0</v>
      </c>
      <c r="CL241" s="67">
        <f t="shared" si="31"/>
        <v>1</v>
      </c>
      <c r="CM241" s="30">
        <v>15</v>
      </c>
      <c r="CN241" s="30">
        <v>0</v>
      </c>
      <c r="CO241" s="30">
        <v>0</v>
      </c>
      <c r="CP241" s="30">
        <v>0</v>
      </c>
      <c r="CQ241" s="67">
        <v>1</v>
      </c>
    </row>
    <row r="242" spans="1:95" x14ac:dyDescent="0.3">
      <c r="A242" s="11">
        <v>14</v>
      </c>
      <c r="B242" s="11" t="s">
        <v>0</v>
      </c>
      <c r="C242" s="11" t="s">
        <v>14</v>
      </c>
      <c r="D242" s="11" t="s">
        <v>4</v>
      </c>
      <c r="E242" s="11">
        <v>2</v>
      </c>
      <c r="F242" s="11" t="s">
        <v>6</v>
      </c>
      <c r="G242" s="11">
        <v>6.92</v>
      </c>
      <c r="H242" s="11">
        <v>18</v>
      </c>
      <c r="I242" s="11">
        <v>6.2510000000000003</v>
      </c>
      <c r="J242" s="11">
        <v>2.698</v>
      </c>
      <c r="K242" s="11">
        <v>56.838905775075986</v>
      </c>
      <c r="L242" s="11">
        <v>61.011560693641606</v>
      </c>
      <c r="M242" s="12">
        <f t="shared" si="32"/>
        <v>3.8322767697401789</v>
      </c>
      <c r="N242" s="11">
        <v>43.96</v>
      </c>
      <c r="O242" s="11">
        <v>1.603</v>
      </c>
      <c r="P242" s="12">
        <v>10.016999999999999</v>
      </c>
      <c r="Q242" s="12">
        <v>0.23599999999999999</v>
      </c>
      <c r="R242" s="12">
        <v>0.39062000000000002</v>
      </c>
      <c r="S242" s="6">
        <v>0</v>
      </c>
      <c r="T242" s="6">
        <v>2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53">
        <v>0</v>
      </c>
      <c r="AG242" s="54">
        <v>18</v>
      </c>
      <c r="AH242" s="6">
        <v>0</v>
      </c>
      <c r="AI242" s="6">
        <v>0</v>
      </c>
      <c r="AJ242" s="53">
        <v>0</v>
      </c>
      <c r="AK242" s="55">
        <v>0</v>
      </c>
      <c r="AL242" s="56">
        <v>0</v>
      </c>
      <c r="AM242" s="56">
        <v>0</v>
      </c>
      <c r="AN242" s="57">
        <v>0</v>
      </c>
      <c r="AO242" s="56">
        <v>0</v>
      </c>
      <c r="AP242" s="53">
        <v>0</v>
      </c>
      <c r="AQ242" s="6">
        <v>0</v>
      </c>
      <c r="AR242" s="53">
        <v>0</v>
      </c>
      <c r="AS242" s="55">
        <v>0</v>
      </c>
      <c r="AT242" s="6">
        <v>0</v>
      </c>
      <c r="AU242" s="6">
        <v>0</v>
      </c>
      <c r="AV242" s="6">
        <v>0</v>
      </c>
      <c r="AW242" s="53">
        <v>0</v>
      </c>
      <c r="AX242" s="6">
        <v>0</v>
      </c>
      <c r="AY242" s="6">
        <v>0</v>
      </c>
      <c r="AZ242" s="53">
        <v>0</v>
      </c>
      <c r="BA242" s="6">
        <v>0</v>
      </c>
      <c r="BB242" s="6">
        <v>0</v>
      </c>
      <c r="BC242" s="53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53">
        <v>0</v>
      </c>
      <c r="BL242" s="53">
        <v>0</v>
      </c>
      <c r="BM242" s="53">
        <v>0</v>
      </c>
      <c r="BN242" s="53">
        <v>0</v>
      </c>
      <c r="BO242" s="53">
        <v>0</v>
      </c>
      <c r="BP242" s="6">
        <v>0</v>
      </c>
      <c r="BQ242" s="6">
        <v>0</v>
      </c>
      <c r="BR242" s="53">
        <v>0</v>
      </c>
      <c r="BS242" s="58">
        <v>0</v>
      </c>
      <c r="BT242" s="6">
        <v>0</v>
      </c>
      <c r="BU242" s="53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59">
        <v>0</v>
      </c>
      <c r="CG242" s="67">
        <f t="shared" si="26"/>
        <v>20</v>
      </c>
      <c r="CH242" s="69">
        <f t="shared" si="27"/>
        <v>2</v>
      </c>
      <c r="CI242" s="30">
        <f t="shared" si="28"/>
        <v>0</v>
      </c>
      <c r="CJ242" s="30">
        <f t="shared" si="29"/>
        <v>20</v>
      </c>
      <c r="CK242" s="30">
        <f t="shared" si="30"/>
        <v>0</v>
      </c>
      <c r="CL242" s="67">
        <f t="shared" si="31"/>
        <v>1</v>
      </c>
      <c r="CM242" s="30">
        <v>20</v>
      </c>
      <c r="CN242" s="30">
        <v>0</v>
      </c>
      <c r="CO242" s="30">
        <v>0</v>
      </c>
      <c r="CP242" s="30">
        <v>0</v>
      </c>
      <c r="CQ242" s="67">
        <v>1</v>
      </c>
    </row>
    <row r="243" spans="1:95" x14ac:dyDescent="0.3">
      <c r="A243" s="11">
        <v>15</v>
      </c>
      <c r="B243" s="11" t="s">
        <v>0</v>
      </c>
      <c r="C243" s="11" t="s">
        <v>1</v>
      </c>
      <c r="D243" s="11" t="s">
        <v>4</v>
      </c>
      <c r="E243" s="11">
        <v>5</v>
      </c>
      <c r="F243" s="11" t="s">
        <v>6</v>
      </c>
      <c r="G243" s="11">
        <v>7.01</v>
      </c>
      <c r="H243" s="11">
        <v>18</v>
      </c>
      <c r="I243" s="11">
        <v>0.79100000000000004</v>
      </c>
      <c r="J243" s="11">
        <v>0.60399999999999998</v>
      </c>
      <c r="K243" s="11">
        <v>23.640960809102406</v>
      </c>
      <c r="L243" s="11">
        <v>91.383737517831662</v>
      </c>
      <c r="M243" s="12">
        <f t="shared" si="32"/>
        <v>5.3418905399899854</v>
      </c>
      <c r="N243" s="11">
        <v>45.88</v>
      </c>
      <c r="O243" s="11">
        <v>1.6120000000000001</v>
      </c>
      <c r="P243" s="12">
        <v>10.071999999999999</v>
      </c>
      <c r="Q243" s="12">
        <v>0.32200000000000001</v>
      </c>
      <c r="R243" s="12">
        <v>0.17362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53">
        <v>0</v>
      </c>
      <c r="AG243" s="54">
        <v>0</v>
      </c>
      <c r="AH243" s="6">
        <v>0</v>
      </c>
      <c r="AI243" s="6">
        <v>0</v>
      </c>
      <c r="AJ243" s="53">
        <v>0</v>
      </c>
      <c r="AK243" s="55">
        <v>0</v>
      </c>
      <c r="AL243" s="56">
        <v>0</v>
      </c>
      <c r="AM243" s="56">
        <v>0</v>
      </c>
      <c r="AN243" s="57">
        <v>0</v>
      </c>
      <c r="AO243" s="56">
        <v>0</v>
      </c>
      <c r="AP243" s="53">
        <v>0</v>
      </c>
      <c r="AQ243" s="6">
        <v>0</v>
      </c>
      <c r="AR243" s="53">
        <v>0</v>
      </c>
      <c r="AS243" s="55">
        <v>0</v>
      </c>
      <c r="AT243" s="6">
        <v>0</v>
      </c>
      <c r="AU243" s="6">
        <v>0</v>
      </c>
      <c r="AV243" s="6">
        <v>0</v>
      </c>
      <c r="AW243" s="53">
        <v>0</v>
      </c>
      <c r="AX243" s="6">
        <v>0</v>
      </c>
      <c r="AY243" s="6">
        <v>0</v>
      </c>
      <c r="AZ243" s="53">
        <v>0</v>
      </c>
      <c r="BA243" s="6">
        <v>0</v>
      </c>
      <c r="BB243" s="6">
        <v>0</v>
      </c>
      <c r="BC243" s="53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53">
        <v>0</v>
      </c>
      <c r="BL243" s="53">
        <v>0</v>
      </c>
      <c r="BM243" s="53">
        <v>0</v>
      </c>
      <c r="BN243" s="53">
        <v>0</v>
      </c>
      <c r="BO243" s="53">
        <v>0</v>
      </c>
      <c r="BP243" s="6">
        <v>0</v>
      </c>
      <c r="BQ243" s="6">
        <v>0</v>
      </c>
      <c r="BR243" s="53">
        <v>0</v>
      </c>
      <c r="BS243" s="58">
        <v>0</v>
      </c>
      <c r="BT243" s="6">
        <v>0</v>
      </c>
      <c r="BU243" s="53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59">
        <v>0</v>
      </c>
      <c r="CG243" s="67">
        <f t="shared" si="26"/>
        <v>0</v>
      </c>
      <c r="CH243" s="69">
        <f t="shared" si="27"/>
        <v>0</v>
      </c>
      <c r="CI243" s="30">
        <f t="shared" si="28"/>
        <v>0</v>
      </c>
      <c r="CJ243" s="30">
        <f t="shared" si="29"/>
        <v>0</v>
      </c>
      <c r="CK243" s="30">
        <f t="shared" si="30"/>
        <v>0</v>
      </c>
      <c r="CL243" s="67">
        <f t="shared" si="31"/>
        <v>0</v>
      </c>
      <c r="CM243" s="30">
        <v>0</v>
      </c>
      <c r="CN243" s="30">
        <v>0</v>
      </c>
      <c r="CO243" s="30">
        <v>0</v>
      </c>
      <c r="CP243" s="30">
        <v>0</v>
      </c>
      <c r="CQ243" s="67">
        <v>0</v>
      </c>
    </row>
    <row r="244" spans="1:95" x14ac:dyDescent="0.3">
      <c r="A244" s="11">
        <v>22</v>
      </c>
      <c r="B244" s="11" t="s">
        <v>0</v>
      </c>
      <c r="C244" s="11" t="s">
        <v>1</v>
      </c>
      <c r="D244" s="11" t="s">
        <v>4</v>
      </c>
      <c r="E244" s="11">
        <v>1</v>
      </c>
      <c r="F244" s="11" t="s">
        <v>6</v>
      </c>
      <c r="G244" s="11">
        <v>6.9999999999999991</v>
      </c>
      <c r="H244" s="11">
        <v>18</v>
      </c>
      <c r="I244" s="11">
        <v>2.173</v>
      </c>
      <c r="J244" s="11">
        <v>1.2689999999999999</v>
      </c>
      <c r="K244" s="11">
        <v>41.601472618499777</v>
      </c>
      <c r="L244" s="11">
        <v>81.871428571428567</v>
      </c>
      <c r="M244" s="12">
        <f t="shared" si="32"/>
        <v>4.5980527182192272</v>
      </c>
      <c r="N244" s="11">
        <v>44.12</v>
      </c>
      <c r="O244" s="11">
        <v>1.5389999999999999</v>
      </c>
      <c r="P244" s="11">
        <v>9.6199999999999992</v>
      </c>
      <c r="Q244" s="11">
        <v>0.36</v>
      </c>
      <c r="R244" s="11">
        <v>0.37600000000000006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53">
        <v>0</v>
      </c>
      <c r="AG244" s="54">
        <v>0</v>
      </c>
      <c r="AH244" s="6">
        <v>0</v>
      </c>
      <c r="AI244" s="6">
        <v>0</v>
      </c>
      <c r="AJ244" s="53">
        <v>0</v>
      </c>
      <c r="AK244" s="55">
        <v>0</v>
      </c>
      <c r="AL244" s="56">
        <v>0</v>
      </c>
      <c r="AM244" s="56">
        <v>0</v>
      </c>
      <c r="AN244" s="57">
        <v>0</v>
      </c>
      <c r="AO244" s="56">
        <v>0</v>
      </c>
      <c r="AP244" s="53">
        <v>0</v>
      </c>
      <c r="AQ244" s="6">
        <v>0</v>
      </c>
      <c r="AR244" s="53">
        <v>0</v>
      </c>
      <c r="AS244" s="55">
        <v>0</v>
      </c>
      <c r="AT244" s="6">
        <v>0</v>
      </c>
      <c r="AU244" s="6">
        <v>0</v>
      </c>
      <c r="AV244" s="6">
        <v>0</v>
      </c>
      <c r="AW244" s="53">
        <v>0</v>
      </c>
      <c r="AX244" s="6">
        <v>0</v>
      </c>
      <c r="AY244" s="6">
        <v>0</v>
      </c>
      <c r="AZ244" s="53">
        <v>0</v>
      </c>
      <c r="BA244" s="6">
        <v>0</v>
      </c>
      <c r="BB244" s="6">
        <v>0</v>
      </c>
      <c r="BC244" s="53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53">
        <v>0</v>
      </c>
      <c r="BL244" s="53">
        <v>0</v>
      </c>
      <c r="BM244" s="53">
        <v>0</v>
      </c>
      <c r="BN244" s="53">
        <v>0</v>
      </c>
      <c r="BO244" s="53">
        <v>0</v>
      </c>
      <c r="BP244" s="6">
        <v>0</v>
      </c>
      <c r="BQ244" s="6">
        <v>0</v>
      </c>
      <c r="BR244" s="53">
        <v>0</v>
      </c>
      <c r="BS244" s="58">
        <v>0</v>
      </c>
      <c r="BT244" s="6">
        <v>0</v>
      </c>
      <c r="BU244" s="53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59">
        <v>0</v>
      </c>
      <c r="CG244" s="67">
        <f t="shared" si="26"/>
        <v>0</v>
      </c>
      <c r="CH244" s="69">
        <f t="shared" si="27"/>
        <v>0</v>
      </c>
      <c r="CI244" s="30">
        <f t="shared" si="28"/>
        <v>0</v>
      </c>
      <c r="CJ244" s="30">
        <f t="shared" si="29"/>
        <v>0</v>
      </c>
      <c r="CK244" s="30">
        <f t="shared" si="30"/>
        <v>0</v>
      </c>
      <c r="CL244" s="67">
        <f t="shared" si="31"/>
        <v>0</v>
      </c>
      <c r="CM244" s="30">
        <v>0</v>
      </c>
      <c r="CN244" s="30">
        <v>0</v>
      </c>
      <c r="CO244" s="30">
        <v>0</v>
      </c>
      <c r="CP244" s="30">
        <v>0</v>
      </c>
      <c r="CQ244" s="67">
        <v>0</v>
      </c>
    </row>
    <row r="245" spans="1:95" x14ac:dyDescent="0.3">
      <c r="A245" s="11">
        <v>34</v>
      </c>
      <c r="B245" s="11" t="s">
        <v>0</v>
      </c>
      <c r="C245" s="11" t="s">
        <v>14</v>
      </c>
      <c r="D245" s="11" t="s">
        <v>4</v>
      </c>
      <c r="E245" s="11">
        <v>1</v>
      </c>
      <c r="F245" s="11" t="s">
        <v>6</v>
      </c>
      <c r="G245" s="11">
        <v>6.9899999999999993</v>
      </c>
      <c r="H245" s="11">
        <v>18</v>
      </c>
      <c r="I245" s="11">
        <v>5.4379999999999997</v>
      </c>
      <c r="J245" s="11">
        <v>2.843</v>
      </c>
      <c r="K245" s="11">
        <v>47.719749908054432</v>
      </c>
      <c r="L245" s="11">
        <v>59.327610872675251</v>
      </c>
      <c r="M245" s="12">
        <f t="shared" si="32"/>
        <v>3.7899924814730208</v>
      </c>
      <c r="N245" s="11">
        <v>44.39</v>
      </c>
      <c r="O245" s="11">
        <v>1.47</v>
      </c>
      <c r="P245" s="11">
        <v>9.19</v>
      </c>
      <c r="Q245" s="11">
        <v>0.27800000000000002</v>
      </c>
      <c r="R245" s="11">
        <v>0.18462000000000001</v>
      </c>
      <c r="S245" s="6">
        <v>0</v>
      </c>
      <c r="T245" s="6">
        <v>0</v>
      </c>
      <c r="U245" s="6">
        <v>0</v>
      </c>
      <c r="V245" s="6">
        <v>1</v>
      </c>
      <c r="W245" s="6">
        <v>0</v>
      </c>
      <c r="X245" s="6">
        <v>0</v>
      </c>
      <c r="Y245" s="6">
        <v>0</v>
      </c>
      <c r="Z245" s="6">
        <v>0</v>
      </c>
      <c r="AA245" s="6">
        <v>1</v>
      </c>
      <c r="AB245" s="6">
        <v>0</v>
      </c>
      <c r="AC245" s="6">
        <v>0</v>
      </c>
      <c r="AD245" s="6">
        <v>0</v>
      </c>
      <c r="AE245" s="6">
        <v>0</v>
      </c>
      <c r="AF245" s="53">
        <v>0</v>
      </c>
      <c r="AG245" s="54">
        <v>0</v>
      </c>
      <c r="AH245" s="6">
        <v>0</v>
      </c>
      <c r="AI245" s="6">
        <v>0</v>
      </c>
      <c r="AJ245" s="53">
        <v>0</v>
      </c>
      <c r="AK245" s="55">
        <v>0</v>
      </c>
      <c r="AL245" s="56">
        <v>0</v>
      </c>
      <c r="AM245" s="56">
        <v>0</v>
      </c>
      <c r="AN245" s="57">
        <v>0</v>
      </c>
      <c r="AO245" s="56">
        <v>0</v>
      </c>
      <c r="AP245" s="53">
        <v>0</v>
      </c>
      <c r="AQ245" s="6">
        <v>0</v>
      </c>
      <c r="AR245" s="53">
        <v>0</v>
      </c>
      <c r="AS245" s="55">
        <v>0</v>
      </c>
      <c r="AT245" s="6">
        <v>0</v>
      </c>
      <c r="AU245" s="6">
        <v>0</v>
      </c>
      <c r="AV245" s="6">
        <v>0</v>
      </c>
      <c r="AW245" s="53">
        <v>0</v>
      </c>
      <c r="AX245" s="6">
        <v>0</v>
      </c>
      <c r="AY245" s="6">
        <v>0</v>
      </c>
      <c r="AZ245" s="53">
        <v>0</v>
      </c>
      <c r="BA245" s="6">
        <v>0</v>
      </c>
      <c r="BB245" s="6">
        <v>0</v>
      </c>
      <c r="BC245" s="53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53">
        <v>0</v>
      </c>
      <c r="BL245" s="53">
        <v>0</v>
      </c>
      <c r="BM245" s="53">
        <v>0</v>
      </c>
      <c r="BN245" s="53">
        <v>0</v>
      </c>
      <c r="BO245" s="53">
        <v>0</v>
      </c>
      <c r="BP245" s="6">
        <v>0</v>
      </c>
      <c r="BQ245" s="6">
        <v>0</v>
      </c>
      <c r="BR245" s="53">
        <v>0</v>
      </c>
      <c r="BS245" s="58">
        <v>0</v>
      </c>
      <c r="BT245" s="6">
        <v>0</v>
      </c>
      <c r="BU245" s="53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59">
        <v>0</v>
      </c>
      <c r="CG245" s="67">
        <f t="shared" si="26"/>
        <v>2</v>
      </c>
      <c r="CH245" s="69">
        <f t="shared" si="27"/>
        <v>2</v>
      </c>
      <c r="CI245" s="30">
        <f t="shared" si="28"/>
        <v>0</v>
      </c>
      <c r="CJ245" s="30">
        <f t="shared" si="29"/>
        <v>2</v>
      </c>
      <c r="CK245" s="30">
        <f t="shared" si="30"/>
        <v>0</v>
      </c>
      <c r="CL245" s="67">
        <f t="shared" si="31"/>
        <v>1</v>
      </c>
      <c r="CM245" s="30">
        <v>2</v>
      </c>
      <c r="CN245" s="30">
        <v>0</v>
      </c>
      <c r="CO245" s="30">
        <v>0</v>
      </c>
      <c r="CP245" s="30">
        <v>0</v>
      </c>
      <c r="CQ245" s="67">
        <v>1</v>
      </c>
    </row>
    <row r="246" spans="1:95" x14ac:dyDescent="0.3">
      <c r="A246" s="11">
        <v>50</v>
      </c>
      <c r="B246" s="11" t="s">
        <v>0</v>
      </c>
      <c r="C246" s="11" t="s">
        <v>14</v>
      </c>
      <c r="D246" s="11" t="s">
        <v>4</v>
      </c>
      <c r="E246" s="11">
        <v>4</v>
      </c>
      <c r="F246" s="11" t="s">
        <v>6</v>
      </c>
      <c r="G246" s="11">
        <v>6.92</v>
      </c>
      <c r="H246" s="11">
        <v>18</v>
      </c>
      <c r="I246" s="11">
        <v>3.004</v>
      </c>
      <c r="J246" s="11">
        <v>2.0350000000000001</v>
      </c>
      <c r="K246" s="11">
        <v>32.256990679094535</v>
      </c>
      <c r="L246" s="11">
        <v>70.592485549132945</v>
      </c>
      <c r="M246" s="12">
        <f t="shared" si="32"/>
        <v>4.1142917086311845</v>
      </c>
      <c r="N246" s="11">
        <v>45.47</v>
      </c>
      <c r="O246" s="11">
        <v>1.8149999999999999</v>
      </c>
      <c r="P246" s="11">
        <v>11.345000000000001</v>
      </c>
      <c r="Q246" s="11">
        <v>0.29699999999999999</v>
      </c>
      <c r="R246" s="11">
        <v>0.36362</v>
      </c>
      <c r="S246" s="6">
        <v>0</v>
      </c>
      <c r="T246" s="6">
        <v>0</v>
      </c>
      <c r="U246" s="6">
        <v>0</v>
      </c>
      <c r="V246" s="6">
        <v>0</v>
      </c>
      <c r="W246" s="6">
        <v>2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53">
        <v>0</v>
      </c>
      <c r="AG246" s="54">
        <v>18</v>
      </c>
      <c r="AH246" s="6">
        <v>0</v>
      </c>
      <c r="AI246" s="6">
        <v>0</v>
      </c>
      <c r="AJ246" s="53">
        <v>0</v>
      </c>
      <c r="AK246" s="55">
        <v>0</v>
      </c>
      <c r="AL246" s="56">
        <v>0</v>
      </c>
      <c r="AM246" s="56">
        <v>0</v>
      </c>
      <c r="AN246" s="57">
        <v>0</v>
      </c>
      <c r="AO246" s="56">
        <v>0</v>
      </c>
      <c r="AP246" s="53">
        <v>0</v>
      </c>
      <c r="AQ246" s="6">
        <v>0</v>
      </c>
      <c r="AR246" s="53">
        <v>0</v>
      </c>
      <c r="AS246" s="55">
        <v>0</v>
      </c>
      <c r="AT246" s="6">
        <v>0</v>
      </c>
      <c r="AU246" s="6">
        <v>0</v>
      </c>
      <c r="AV246" s="6">
        <v>0</v>
      </c>
      <c r="AW246" s="53">
        <v>0</v>
      </c>
      <c r="AX246" s="6">
        <v>0</v>
      </c>
      <c r="AY246" s="6">
        <v>0</v>
      </c>
      <c r="AZ246" s="53">
        <v>0</v>
      </c>
      <c r="BA246" s="6">
        <v>0</v>
      </c>
      <c r="BB246" s="6">
        <v>0</v>
      </c>
      <c r="BC246" s="53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53">
        <v>0</v>
      </c>
      <c r="BL246" s="53">
        <v>0</v>
      </c>
      <c r="BM246" s="53">
        <v>0</v>
      </c>
      <c r="BN246" s="53">
        <v>0</v>
      </c>
      <c r="BO246" s="53">
        <v>0</v>
      </c>
      <c r="BP246" s="6">
        <v>0</v>
      </c>
      <c r="BQ246" s="6">
        <v>0</v>
      </c>
      <c r="BR246" s="53">
        <v>0</v>
      </c>
      <c r="BS246" s="58">
        <v>0</v>
      </c>
      <c r="BT246" s="6">
        <v>0</v>
      </c>
      <c r="BU246" s="53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59">
        <v>0</v>
      </c>
      <c r="CG246" s="67">
        <f t="shared" si="26"/>
        <v>20</v>
      </c>
      <c r="CH246" s="69">
        <f t="shared" si="27"/>
        <v>2</v>
      </c>
      <c r="CI246" s="30">
        <f t="shared" si="28"/>
        <v>0</v>
      </c>
      <c r="CJ246" s="30">
        <f t="shared" si="29"/>
        <v>20</v>
      </c>
      <c r="CK246" s="30">
        <f t="shared" si="30"/>
        <v>0</v>
      </c>
      <c r="CL246" s="67">
        <f t="shared" si="31"/>
        <v>1</v>
      </c>
      <c r="CM246" s="30">
        <v>20</v>
      </c>
      <c r="CN246" s="30">
        <v>0</v>
      </c>
      <c r="CO246" s="30">
        <v>0</v>
      </c>
      <c r="CP246" s="30">
        <v>0</v>
      </c>
      <c r="CQ246" s="67">
        <v>1</v>
      </c>
    </row>
    <row r="247" spans="1:95" x14ac:dyDescent="0.3">
      <c r="A247" s="11">
        <v>54</v>
      </c>
      <c r="B247" s="11" t="s">
        <v>0</v>
      </c>
      <c r="C247" s="11" t="s">
        <v>14</v>
      </c>
      <c r="D247" s="11" t="s">
        <v>4</v>
      </c>
      <c r="E247" s="11">
        <v>5</v>
      </c>
      <c r="F247" s="11" t="s">
        <v>6</v>
      </c>
      <c r="G247" s="11">
        <v>6.98</v>
      </c>
      <c r="H247" s="11">
        <v>18</v>
      </c>
      <c r="I247" s="11">
        <v>5.7530000000000001</v>
      </c>
      <c r="J247" s="11">
        <v>2.27</v>
      </c>
      <c r="K247" s="11">
        <v>60.542325743090565</v>
      </c>
      <c r="L247" s="11">
        <v>67.478510028653304</v>
      </c>
      <c r="M247" s="12">
        <f t="shared" si="32"/>
        <v>4.0136408431771349</v>
      </c>
      <c r="N247" s="11">
        <v>45.38</v>
      </c>
      <c r="O247" s="11">
        <v>1.7869999999999999</v>
      </c>
      <c r="P247" s="11">
        <v>11.166</v>
      </c>
      <c r="Q247" s="11">
        <v>0.438</v>
      </c>
      <c r="R247" s="11">
        <v>0.30499999999999999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1</v>
      </c>
      <c r="AB247" s="6">
        <v>0</v>
      </c>
      <c r="AC247" s="6">
        <v>0</v>
      </c>
      <c r="AD247" s="6">
        <v>1</v>
      </c>
      <c r="AE247" s="6">
        <v>0</v>
      </c>
      <c r="AF247" s="53">
        <v>0</v>
      </c>
      <c r="AG247" s="54">
        <v>4</v>
      </c>
      <c r="AH247" s="6">
        <v>0</v>
      </c>
      <c r="AI247" s="6">
        <v>0</v>
      </c>
      <c r="AJ247" s="53">
        <v>1</v>
      </c>
      <c r="AK247" s="55">
        <v>0</v>
      </c>
      <c r="AL247" s="56">
        <v>0</v>
      </c>
      <c r="AM247" s="56">
        <v>0</v>
      </c>
      <c r="AN247" s="57">
        <v>0</v>
      </c>
      <c r="AO247" s="56">
        <v>0</v>
      </c>
      <c r="AP247" s="53">
        <v>0</v>
      </c>
      <c r="AQ247" s="6">
        <v>1</v>
      </c>
      <c r="AR247" s="53">
        <v>0</v>
      </c>
      <c r="AS247" s="55">
        <v>0</v>
      </c>
      <c r="AT247" s="6">
        <v>0</v>
      </c>
      <c r="AU247" s="6">
        <v>0</v>
      </c>
      <c r="AV247" s="6">
        <v>0</v>
      </c>
      <c r="AW247" s="53">
        <v>1</v>
      </c>
      <c r="AX247" s="6">
        <v>0</v>
      </c>
      <c r="AY247" s="6">
        <v>0</v>
      </c>
      <c r="AZ247" s="53">
        <v>0</v>
      </c>
      <c r="BA247" s="6">
        <v>0</v>
      </c>
      <c r="BB247" s="6">
        <v>0</v>
      </c>
      <c r="BC247" s="53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53">
        <v>0</v>
      </c>
      <c r="BL247" s="53">
        <v>0</v>
      </c>
      <c r="BM247" s="53">
        <v>0</v>
      </c>
      <c r="BN247" s="53">
        <v>0</v>
      </c>
      <c r="BO247" s="53">
        <v>0</v>
      </c>
      <c r="BP247" s="6">
        <v>0</v>
      </c>
      <c r="BQ247" s="6">
        <v>0</v>
      </c>
      <c r="BR247" s="53">
        <v>0</v>
      </c>
      <c r="BS247" s="58">
        <v>0</v>
      </c>
      <c r="BT247" s="6">
        <v>0</v>
      </c>
      <c r="BU247" s="53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59">
        <v>0</v>
      </c>
      <c r="CG247" s="67">
        <f t="shared" si="26"/>
        <v>9</v>
      </c>
      <c r="CH247" s="69">
        <f t="shared" si="27"/>
        <v>6</v>
      </c>
      <c r="CI247" s="30">
        <f t="shared" si="28"/>
        <v>0</v>
      </c>
      <c r="CJ247" s="30">
        <f t="shared" si="29"/>
        <v>8</v>
      </c>
      <c r="CK247" s="30">
        <f t="shared" si="30"/>
        <v>1</v>
      </c>
      <c r="CL247" s="67">
        <f t="shared" si="31"/>
        <v>2</v>
      </c>
      <c r="CM247" s="30">
        <v>8</v>
      </c>
      <c r="CN247" s="30">
        <v>0</v>
      </c>
      <c r="CO247" s="30">
        <v>0</v>
      </c>
      <c r="CP247" s="30">
        <v>1</v>
      </c>
      <c r="CQ247" s="67">
        <v>1</v>
      </c>
    </row>
    <row r="248" spans="1:95" x14ac:dyDescent="0.3">
      <c r="A248" s="11">
        <v>121</v>
      </c>
      <c r="B248" s="11" t="s">
        <v>0</v>
      </c>
      <c r="C248" s="11" t="s">
        <v>1</v>
      </c>
      <c r="D248" s="11" t="s">
        <v>5</v>
      </c>
      <c r="E248" s="11">
        <v>5</v>
      </c>
      <c r="F248" s="11" t="s">
        <v>6</v>
      </c>
      <c r="G248" s="11">
        <v>7.06</v>
      </c>
      <c r="H248" s="11">
        <v>18</v>
      </c>
      <c r="I248" s="11">
        <v>3.1890000000000001</v>
      </c>
      <c r="J248" s="11">
        <v>1.7010000000000001</v>
      </c>
      <c r="K248" s="11">
        <v>46.660395108184382</v>
      </c>
      <c r="L248" s="11">
        <v>75.906515580736539</v>
      </c>
      <c r="M248" s="12">
        <f t="shared" si="32"/>
        <v>4.3136004959875907</v>
      </c>
      <c r="N248" s="11">
        <v>43.7</v>
      </c>
      <c r="O248" s="11">
        <v>1.52</v>
      </c>
      <c r="P248" s="11">
        <v>9.5009999999999994</v>
      </c>
      <c r="Q248" s="11">
        <v>0.30399999999999999</v>
      </c>
      <c r="R248" s="11">
        <v>0.32062000000000002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53">
        <v>0</v>
      </c>
      <c r="AG248" s="54">
        <v>0</v>
      </c>
      <c r="AH248" s="6">
        <v>0</v>
      </c>
      <c r="AI248" s="6">
        <v>0</v>
      </c>
      <c r="AJ248" s="53">
        <v>0</v>
      </c>
      <c r="AK248" s="55">
        <v>0</v>
      </c>
      <c r="AL248" s="56">
        <v>0</v>
      </c>
      <c r="AM248" s="56">
        <v>0</v>
      </c>
      <c r="AN248" s="57">
        <v>0</v>
      </c>
      <c r="AO248" s="56">
        <v>0</v>
      </c>
      <c r="AP248" s="53">
        <v>0</v>
      </c>
      <c r="AQ248" s="6">
        <v>0</v>
      </c>
      <c r="AR248" s="53">
        <v>0</v>
      </c>
      <c r="AS248" s="55">
        <v>0</v>
      </c>
      <c r="AT248" s="6">
        <v>0</v>
      </c>
      <c r="AU248" s="6">
        <v>0</v>
      </c>
      <c r="AV248" s="6">
        <v>0</v>
      </c>
      <c r="AW248" s="53">
        <v>0</v>
      </c>
      <c r="AX248" s="6">
        <v>0</v>
      </c>
      <c r="AY248" s="6">
        <v>0</v>
      </c>
      <c r="AZ248" s="53">
        <v>0</v>
      </c>
      <c r="BA248" s="6">
        <v>0</v>
      </c>
      <c r="BB248" s="6">
        <v>0</v>
      </c>
      <c r="BC248" s="53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53">
        <v>0</v>
      </c>
      <c r="BL248" s="53">
        <v>0</v>
      </c>
      <c r="BM248" s="53">
        <v>0</v>
      </c>
      <c r="BN248" s="53">
        <v>0</v>
      </c>
      <c r="BO248" s="53">
        <v>0</v>
      </c>
      <c r="BP248" s="6">
        <v>0</v>
      </c>
      <c r="BQ248" s="6">
        <v>0</v>
      </c>
      <c r="BR248" s="53">
        <v>0</v>
      </c>
      <c r="BS248" s="58">
        <v>0</v>
      </c>
      <c r="BT248" s="6">
        <v>0</v>
      </c>
      <c r="BU248" s="53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59">
        <v>0</v>
      </c>
      <c r="CG248" s="67">
        <f t="shared" si="26"/>
        <v>0</v>
      </c>
      <c r="CH248" s="69">
        <f t="shared" si="27"/>
        <v>0</v>
      </c>
      <c r="CI248" s="30">
        <f t="shared" si="28"/>
        <v>0</v>
      </c>
      <c r="CJ248" s="30">
        <f t="shared" si="29"/>
        <v>0</v>
      </c>
      <c r="CK248" s="30">
        <f t="shared" si="30"/>
        <v>0</v>
      </c>
      <c r="CL248" s="67">
        <f t="shared" si="31"/>
        <v>0</v>
      </c>
      <c r="CM248" s="30">
        <v>0</v>
      </c>
      <c r="CN248" s="30">
        <v>0</v>
      </c>
      <c r="CO248" s="30">
        <v>0</v>
      </c>
      <c r="CP248" s="30">
        <v>0</v>
      </c>
      <c r="CQ248" s="67">
        <v>0</v>
      </c>
    </row>
    <row r="249" spans="1:95" x14ac:dyDescent="0.3">
      <c r="A249" s="11">
        <v>135</v>
      </c>
      <c r="B249" s="11" t="s">
        <v>0</v>
      </c>
      <c r="C249" s="11" t="s">
        <v>14</v>
      </c>
      <c r="D249" s="11" t="s">
        <v>5</v>
      </c>
      <c r="E249" s="11">
        <v>4</v>
      </c>
      <c r="F249" s="11" t="s">
        <v>6</v>
      </c>
      <c r="G249" s="11">
        <v>7</v>
      </c>
      <c r="H249" s="11">
        <v>18</v>
      </c>
      <c r="I249" s="11">
        <v>2.835</v>
      </c>
      <c r="J249" s="11">
        <v>2.0030000000000001</v>
      </c>
      <c r="K249" s="11">
        <v>29.347442680776009</v>
      </c>
      <c r="L249" s="11">
        <v>71.385714285714286</v>
      </c>
      <c r="M249" s="12">
        <f t="shared" si="32"/>
        <v>4.1416358502677966</v>
      </c>
      <c r="N249" s="11">
        <v>45.1</v>
      </c>
      <c r="O249" s="11">
        <v>1.6539999999999999</v>
      </c>
      <c r="P249" s="11">
        <v>10.337</v>
      </c>
      <c r="Q249" s="11">
        <v>0.26700000000000002</v>
      </c>
      <c r="R249" s="11">
        <v>3.2000000000000028E-2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53">
        <v>0</v>
      </c>
      <c r="AG249" s="54">
        <v>5</v>
      </c>
      <c r="AH249" s="6">
        <v>0</v>
      </c>
      <c r="AI249" s="6">
        <v>0</v>
      </c>
      <c r="AJ249" s="53">
        <v>0</v>
      </c>
      <c r="AK249" s="55">
        <v>0</v>
      </c>
      <c r="AL249" s="56">
        <v>0</v>
      </c>
      <c r="AM249" s="56">
        <v>0</v>
      </c>
      <c r="AN249" s="57">
        <v>0</v>
      </c>
      <c r="AO249" s="56">
        <v>0</v>
      </c>
      <c r="AP249" s="53">
        <v>0</v>
      </c>
      <c r="AQ249" s="6">
        <v>0</v>
      </c>
      <c r="AR249" s="53">
        <v>0</v>
      </c>
      <c r="AS249" s="55">
        <v>0</v>
      </c>
      <c r="AT249" s="6">
        <v>0</v>
      </c>
      <c r="AU249" s="6">
        <v>0</v>
      </c>
      <c r="AV249" s="6">
        <v>0</v>
      </c>
      <c r="AW249" s="53">
        <v>0</v>
      </c>
      <c r="AX249" s="6">
        <v>0</v>
      </c>
      <c r="AY249" s="6">
        <v>0</v>
      </c>
      <c r="AZ249" s="53">
        <v>0</v>
      </c>
      <c r="BA249" s="6">
        <v>0</v>
      </c>
      <c r="BB249" s="6">
        <v>0</v>
      </c>
      <c r="BC249" s="53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53">
        <v>0</v>
      </c>
      <c r="BL249" s="53">
        <v>0</v>
      </c>
      <c r="BM249" s="53">
        <v>0</v>
      </c>
      <c r="BN249" s="53">
        <v>0</v>
      </c>
      <c r="BO249" s="53">
        <v>0</v>
      </c>
      <c r="BP249" s="6">
        <v>0</v>
      </c>
      <c r="BQ249" s="6">
        <v>0</v>
      </c>
      <c r="BR249" s="53">
        <v>0</v>
      </c>
      <c r="BS249" s="58">
        <v>0</v>
      </c>
      <c r="BT249" s="6">
        <v>0</v>
      </c>
      <c r="BU249" s="53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59">
        <v>0</v>
      </c>
      <c r="CG249" s="67">
        <f t="shared" si="26"/>
        <v>5</v>
      </c>
      <c r="CH249" s="69">
        <f t="shared" si="27"/>
        <v>1</v>
      </c>
      <c r="CI249" s="30">
        <f t="shared" si="28"/>
        <v>0</v>
      </c>
      <c r="CJ249" s="30">
        <f t="shared" si="29"/>
        <v>5</v>
      </c>
      <c r="CK249" s="30">
        <f t="shared" si="30"/>
        <v>0</v>
      </c>
      <c r="CL249" s="67">
        <f t="shared" si="31"/>
        <v>1</v>
      </c>
      <c r="CM249" s="30">
        <v>5</v>
      </c>
      <c r="CN249" s="30">
        <v>0</v>
      </c>
      <c r="CO249" s="30">
        <v>0</v>
      </c>
      <c r="CP249" s="30">
        <v>0</v>
      </c>
      <c r="CQ249" s="67">
        <v>1</v>
      </c>
    </row>
    <row r="250" spans="1:95" x14ac:dyDescent="0.3">
      <c r="A250" s="11">
        <v>137</v>
      </c>
      <c r="B250" s="11" t="s">
        <v>0</v>
      </c>
      <c r="C250" s="11" t="s">
        <v>14</v>
      </c>
      <c r="D250" s="11" t="s">
        <v>5</v>
      </c>
      <c r="E250" s="11">
        <v>5</v>
      </c>
      <c r="F250" s="11" t="s">
        <v>6</v>
      </c>
      <c r="G250" s="11">
        <v>7.09</v>
      </c>
      <c r="H250" s="11">
        <v>18</v>
      </c>
      <c r="I250" s="11">
        <v>5.5010000000000003</v>
      </c>
      <c r="J250" s="11">
        <v>2.6070000000000002</v>
      </c>
      <c r="K250" s="11">
        <v>52.608616615160877</v>
      </c>
      <c r="L250" s="11">
        <v>63.229901269393508</v>
      </c>
      <c r="M250" s="12">
        <f t="shared" si="32"/>
        <v>3.8908569634888361</v>
      </c>
      <c r="N250" s="11">
        <v>45.38</v>
      </c>
      <c r="O250" s="11">
        <v>1.5740000000000001</v>
      </c>
      <c r="P250" s="11">
        <v>9.8379999999999992</v>
      </c>
      <c r="Q250" s="11">
        <v>0.28100000000000003</v>
      </c>
      <c r="R250" s="11">
        <v>0.309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53">
        <v>0</v>
      </c>
      <c r="AG250" s="54">
        <v>3</v>
      </c>
      <c r="AH250" s="6">
        <v>0</v>
      </c>
      <c r="AI250" s="6">
        <v>0</v>
      </c>
      <c r="AJ250" s="53">
        <v>0</v>
      </c>
      <c r="AK250" s="55">
        <v>0</v>
      </c>
      <c r="AL250" s="56">
        <v>0</v>
      </c>
      <c r="AM250" s="56">
        <v>0</v>
      </c>
      <c r="AN250" s="57">
        <v>0</v>
      </c>
      <c r="AO250" s="56">
        <v>0</v>
      </c>
      <c r="AP250" s="53">
        <v>0</v>
      </c>
      <c r="AQ250" s="6">
        <v>2</v>
      </c>
      <c r="AR250" s="53">
        <v>0</v>
      </c>
      <c r="AS250" s="55">
        <v>0</v>
      </c>
      <c r="AT250" s="6">
        <v>0</v>
      </c>
      <c r="AU250" s="6">
        <v>0</v>
      </c>
      <c r="AV250" s="6">
        <v>0</v>
      </c>
      <c r="AW250" s="53">
        <v>0</v>
      </c>
      <c r="AX250" s="6">
        <v>0</v>
      </c>
      <c r="AY250" s="6">
        <v>0</v>
      </c>
      <c r="AZ250" s="53">
        <v>0</v>
      </c>
      <c r="BA250" s="6">
        <v>0</v>
      </c>
      <c r="BB250" s="6">
        <v>0</v>
      </c>
      <c r="BC250" s="53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53">
        <v>0</v>
      </c>
      <c r="BL250" s="53">
        <v>0</v>
      </c>
      <c r="BM250" s="53">
        <v>0</v>
      </c>
      <c r="BN250" s="53">
        <v>0</v>
      </c>
      <c r="BO250" s="53">
        <v>0</v>
      </c>
      <c r="BP250" s="6">
        <v>0</v>
      </c>
      <c r="BQ250" s="6">
        <v>0</v>
      </c>
      <c r="BR250" s="53">
        <v>0</v>
      </c>
      <c r="BS250" s="58">
        <v>0</v>
      </c>
      <c r="BT250" s="6">
        <v>0</v>
      </c>
      <c r="BU250" s="53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59">
        <v>0</v>
      </c>
      <c r="CG250" s="67">
        <f t="shared" si="26"/>
        <v>5</v>
      </c>
      <c r="CH250" s="69">
        <f t="shared" si="27"/>
        <v>2</v>
      </c>
      <c r="CI250" s="30">
        <f t="shared" si="28"/>
        <v>0</v>
      </c>
      <c r="CJ250" s="30">
        <f t="shared" si="29"/>
        <v>5</v>
      </c>
      <c r="CK250" s="30">
        <f t="shared" si="30"/>
        <v>0</v>
      </c>
      <c r="CL250" s="67">
        <f t="shared" si="31"/>
        <v>1</v>
      </c>
      <c r="CM250" s="30">
        <v>5</v>
      </c>
      <c r="CN250" s="30">
        <v>0</v>
      </c>
      <c r="CO250" s="30">
        <v>0</v>
      </c>
      <c r="CP250" s="30">
        <v>0</v>
      </c>
      <c r="CQ250" s="67">
        <v>1</v>
      </c>
    </row>
    <row r="251" spans="1:95" x14ac:dyDescent="0.3">
      <c r="A251" s="11">
        <v>142</v>
      </c>
      <c r="B251" s="11" t="s">
        <v>0</v>
      </c>
      <c r="C251" s="11" t="s">
        <v>1</v>
      </c>
      <c r="D251" s="11" t="s">
        <v>5</v>
      </c>
      <c r="E251" s="11">
        <v>3</v>
      </c>
      <c r="F251" s="11" t="s">
        <v>6</v>
      </c>
      <c r="G251" s="11">
        <v>7.09</v>
      </c>
      <c r="H251" s="11">
        <v>18</v>
      </c>
      <c r="I251" s="11">
        <v>3.4390000000000001</v>
      </c>
      <c r="J251" s="11">
        <v>2.0009999999999999</v>
      </c>
      <c r="K251" s="11">
        <v>41.814480953765631</v>
      </c>
      <c r="L251" s="11">
        <v>71.777150916784223</v>
      </c>
      <c r="M251" s="12">
        <f t="shared" si="32"/>
        <v>4.1554100428386045</v>
      </c>
      <c r="N251" s="11">
        <v>41.25</v>
      </c>
      <c r="O251" s="11">
        <v>1.4059999999999999</v>
      </c>
      <c r="P251" s="11">
        <v>8.7910000000000004</v>
      </c>
      <c r="Q251" s="11">
        <v>0.26800000000000002</v>
      </c>
      <c r="R251" s="11">
        <v>0.46800000000000003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53">
        <v>0</v>
      </c>
      <c r="AG251" s="54">
        <v>0</v>
      </c>
      <c r="AH251" s="6">
        <v>0</v>
      </c>
      <c r="AI251" s="6">
        <v>0</v>
      </c>
      <c r="AJ251" s="53">
        <v>0</v>
      </c>
      <c r="AK251" s="55">
        <v>0</v>
      </c>
      <c r="AL251" s="56">
        <v>0</v>
      </c>
      <c r="AM251" s="56">
        <v>0</v>
      </c>
      <c r="AN251" s="57">
        <v>0</v>
      </c>
      <c r="AO251" s="56">
        <v>0</v>
      </c>
      <c r="AP251" s="53">
        <v>0</v>
      </c>
      <c r="AQ251" s="6">
        <v>0</v>
      </c>
      <c r="AR251" s="53">
        <v>0</v>
      </c>
      <c r="AS251" s="55">
        <v>0</v>
      </c>
      <c r="AT251" s="6">
        <v>0</v>
      </c>
      <c r="AU251" s="6">
        <v>0</v>
      </c>
      <c r="AV251" s="6">
        <v>0</v>
      </c>
      <c r="AW251" s="53">
        <v>0</v>
      </c>
      <c r="AX251" s="6">
        <v>0</v>
      </c>
      <c r="AY251" s="6">
        <v>0</v>
      </c>
      <c r="AZ251" s="53">
        <v>0</v>
      </c>
      <c r="BA251" s="6">
        <v>0</v>
      </c>
      <c r="BB251" s="6">
        <v>0</v>
      </c>
      <c r="BC251" s="53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53">
        <v>0</v>
      </c>
      <c r="BL251" s="53">
        <v>0</v>
      </c>
      <c r="BM251" s="53">
        <v>0</v>
      </c>
      <c r="BN251" s="53">
        <v>0</v>
      </c>
      <c r="BO251" s="53">
        <v>0</v>
      </c>
      <c r="BP251" s="6">
        <v>0</v>
      </c>
      <c r="BQ251" s="6">
        <v>0</v>
      </c>
      <c r="BR251" s="53">
        <v>0</v>
      </c>
      <c r="BS251" s="58">
        <v>0</v>
      </c>
      <c r="BT251" s="6">
        <v>0</v>
      </c>
      <c r="BU251" s="53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59">
        <v>0</v>
      </c>
      <c r="CG251" s="67">
        <f t="shared" si="26"/>
        <v>0</v>
      </c>
      <c r="CH251" s="69">
        <f t="shared" si="27"/>
        <v>0</v>
      </c>
      <c r="CI251" s="30">
        <f t="shared" si="28"/>
        <v>0</v>
      </c>
      <c r="CJ251" s="30">
        <f t="shared" si="29"/>
        <v>0</v>
      </c>
      <c r="CK251" s="30">
        <f t="shared" si="30"/>
        <v>0</v>
      </c>
      <c r="CL251" s="67">
        <f t="shared" si="31"/>
        <v>0</v>
      </c>
      <c r="CM251" s="30">
        <v>0</v>
      </c>
      <c r="CN251" s="30">
        <v>0</v>
      </c>
      <c r="CO251" s="30">
        <v>0</v>
      </c>
      <c r="CP251" s="30">
        <v>0</v>
      </c>
      <c r="CQ251" s="67">
        <v>0</v>
      </c>
    </row>
    <row r="252" spans="1:95" x14ac:dyDescent="0.3">
      <c r="A252" s="11">
        <v>144</v>
      </c>
      <c r="B252" s="11" t="s">
        <v>0</v>
      </c>
      <c r="C252" s="11" t="s">
        <v>14</v>
      </c>
      <c r="D252" s="11" t="s">
        <v>5</v>
      </c>
      <c r="E252" s="11">
        <v>3</v>
      </c>
      <c r="F252" s="11" t="s">
        <v>6</v>
      </c>
      <c r="G252" s="11">
        <v>7.07</v>
      </c>
      <c r="H252" s="11">
        <v>18</v>
      </c>
      <c r="I252" s="11">
        <v>3.7879999999999998</v>
      </c>
      <c r="J252" s="11">
        <v>2.9039999999999999</v>
      </c>
      <c r="K252" s="11">
        <v>23.336853220696934</v>
      </c>
      <c r="L252" s="11">
        <v>58.925035360678926</v>
      </c>
      <c r="M252" s="12">
        <f t="shared" si="32"/>
        <v>3.7801431408420965</v>
      </c>
      <c r="N252" s="11">
        <v>44.19</v>
      </c>
      <c r="O252" s="11">
        <v>1.6679999999999999</v>
      </c>
      <c r="P252" s="11">
        <v>10.423999999999999</v>
      </c>
      <c r="Q252" s="11">
        <v>0.26900000000000002</v>
      </c>
      <c r="R252" s="11">
        <v>0.16900000000000004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53">
        <v>0</v>
      </c>
      <c r="AG252" s="54">
        <v>0</v>
      </c>
      <c r="AH252" s="6">
        <v>0</v>
      </c>
      <c r="AI252" s="6">
        <v>0</v>
      </c>
      <c r="AJ252" s="53">
        <v>0</v>
      </c>
      <c r="AK252" s="55">
        <v>0</v>
      </c>
      <c r="AL252" s="56">
        <v>0</v>
      </c>
      <c r="AM252" s="56">
        <v>0</v>
      </c>
      <c r="AN252" s="57">
        <v>0</v>
      </c>
      <c r="AO252" s="56">
        <v>0</v>
      </c>
      <c r="AP252" s="53">
        <v>0</v>
      </c>
      <c r="AQ252" s="6">
        <v>0</v>
      </c>
      <c r="AR252" s="53">
        <v>0</v>
      </c>
      <c r="AS252" s="55">
        <v>0</v>
      </c>
      <c r="AT252" s="6">
        <v>0</v>
      </c>
      <c r="AU252" s="6">
        <v>0</v>
      </c>
      <c r="AV252" s="6">
        <v>0</v>
      </c>
      <c r="AW252" s="53">
        <v>0</v>
      </c>
      <c r="AX252" s="6">
        <v>0</v>
      </c>
      <c r="AY252" s="6">
        <v>0</v>
      </c>
      <c r="AZ252" s="53">
        <v>0</v>
      </c>
      <c r="BA252" s="6">
        <v>0</v>
      </c>
      <c r="BB252" s="6">
        <v>0</v>
      </c>
      <c r="BC252" s="53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53">
        <v>0</v>
      </c>
      <c r="BL252" s="53">
        <v>0</v>
      </c>
      <c r="BM252" s="53">
        <v>0</v>
      </c>
      <c r="BN252" s="53">
        <v>0</v>
      </c>
      <c r="BO252" s="53">
        <v>0</v>
      </c>
      <c r="BP252" s="6">
        <v>0</v>
      </c>
      <c r="BQ252" s="6">
        <v>0</v>
      </c>
      <c r="BR252" s="53">
        <v>0</v>
      </c>
      <c r="BS252" s="58">
        <v>0</v>
      </c>
      <c r="BT252" s="6">
        <v>0</v>
      </c>
      <c r="BU252" s="53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59">
        <v>0</v>
      </c>
      <c r="CG252" s="67">
        <f t="shared" si="26"/>
        <v>0</v>
      </c>
      <c r="CH252" s="69">
        <f t="shared" si="27"/>
        <v>0</v>
      </c>
      <c r="CI252" s="30">
        <f t="shared" si="28"/>
        <v>0</v>
      </c>
      <c r="CJ252" s="30">
        <f t="shared" si="29"/>
        <v>0</v>
      </c>
      <c r="CK252" s="30">
        <f t="shared" si="30"/>
        <v>0</v>
      </c>
      <c r="CL252" s="67">
        <f t="shared" si="31"/>
        <v>0</v>
      </c>
      <c r="CM252" s="30">
        <v>0</v>
      </c>
      <c r="CN252" s="30">
        <v>0</v>
      </c>
      <c r="CO252" s="30">
        <v>0</v>
      </c>
      <c r="CP252" s="30">
        <v>0</v>
      </c>
      <c r="CQ252" s="67">
        <v>0</v>
      </c>
    </row>
    <row r="253" spans="1:95" x14ac:dyDescent="0.3">
      <c r="A253" s="11">
        <v>155</v>
      </c>
      <c r="B253" s="11" t="s">
        <v>0</v>
      </c>
      <c r="C253" s="11" t="s">
        <v>1</v>
      </c>
      <c r="D253" s="11" t="s">
        <v>5</v>
      </c>
      <c r="E253" s="11">
        <v>4</v>
      </c>
      <c r="F253" s="11" t="s">
        <v>6</v>
      </c>
      <c r="G253" s="11">
        <v>7.01</v>
      </c>
      <c r="H253" s="11">
        <v>18</v>
      </c>
      <c r="I253" s="11">
        <v>60.712000000000003</v>
      </c>
      <c r="J253" s="11">
        <v>1.2549999999999999</v>
      </c>
      <c r="K253" s="11">
        <v>97.932863354855698</v>
      </c>
      <c r="L253" s="11">
        <v>82.097004279600569</v>
      </c>
      <c r="M253" s="12">
        <f t="shared" si="32"/>
        <v>4.6105738863589165</v>
      </c>
      <c r="N253" s="11">
        <v>42.7</v>
      </c>
      <c r="O253" s="11">
        <v>1.3069999999999999</v>
      </c>
      <c r="P253" s="11">
        <v>8.1709999999999994</v>
      </c>
      <c r="Q253" s="11">
        <v>0.28799999999999998</v>
      </c>
      <c r="R253" s="11">
        <v>0.11961999999999999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53">
        <v>0</v>
      </c>
      <c r="AG253" s="54">
        <v>0</v>
      </c>
      <c r="AH253" s="6">
        <v>0</v>
      </c>
      <c r="AI253" s="6">
        <v>0</v>
      </c>
      <c r="AJ253" s="53">
        <v>0</v>
      </c>
      <c r="AK253" s="55">
        <v>0</v>
      </c>
      <c r="AL253" s="56">
        <v>0</v>
      </c>
      <c r="AM253" s="56">
        <v>0</v>
      </c>
      <c r="AN253" s="57">
        <v>0</v>
      </c>
      <c r="AO253" s="56">
        <v>0</v>
      </c>
      <c r="AP253" s="53">
        <v>0</v>
      </c>
      <c r="AQ253" s="6">
        <v>0</v>
      </c>
      <c r="AR253" s="53">
        <v>0</v>
      </c>
      <c r="AS253" s="55">
        <v>0</v>
      </c>
      <c r="AT253" s="6">
        <v>0</v>
      </c>
      <c r="AU253" s="6">
        <v>0</v>
      </c>
      <c r="AV253" s="6">
        <v>0</v>
      </c>
      <c r="AW253" s="53">
        <v>0</v>
      </c>
      <c r="AX253" s="6">
        <v>0</v>
      </c>
      <c r="AY253" s="6">
        <v>0</v>
      </c>
      <c r="AZ253" s="53">
        <v>0</v>
      </c>
      <c r="BA253" s="6">
        <v>0</v>
      </c>
      <c r="BB253" s="6">
        <v>0</v>
      </c>
      <c r="BC253" s="53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53">
        <v>0</v>
      </c>
      <c r="BL253" s="53">
        <v>0</v>
      </c>
      <c r="BM253" s="53">
        <v>0</v>
      </c>
      <c r="BN253" s="53">
        <v>0</v>
      </c>
      <c r="BO253" s="53">
        <v>0</v>
      </c>
      <c r="BP253" s="6">
        <v>0</v>
      </c>
      <c r="BQ253" s="6">
        <v>0</v>
      </c>
      <c r="BR253" s="53">
        <v>0</v>
      </c>
      <c r="BS253" s="58">
        <v>0</v>
      </c>
      <c r="BT253" s="6">
        <v>0</v>
      </c>
      <c r="BU253" s="53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59">
        <v>0</v>
      </c>
      <c r="CG253" s="67">
        <f t="shared" si="26"/>
        <v>0</v>
      </c>
      <c r="CH253" s="69">
        <f t="shared" si="27"/>
        <v>0</v>
      </c>
      <c r="CI253" s="30">
        <f t="shared" si="28"/>
        <v>0</v>
      </c>
      <c r="CJ253" s="30">
        <f t="shared" si="29"/>
        <v>0</v>
      </c>
      <c r="CK253" s="30">
        <f t="shared" si="30"/>
        <v>0</v>
      </c>
      <c r="CL253" s="67">
        <f t="shared" si="31"/>
        <v>0</v>
      </c>
      <c r="CM253" s="30">
        <v>0</v>
      </c>
      <c r="CN253" s="30">
        <v>0</v>
      </c>
      <c r="CO253" s="30">
        <v>0</v>
      </c>
      <c r="CP253" s="30">
        <v>0</v>
      </c>
      <c r="CQ253" s="67">
        <v>0</v>
      </c>
    </row>
    <row r="254" spans="1:95" x14ac:dyDescent="0.3">
      <c r="A254" s="11">
        <v>155</v>
      </c>
      <c r="B254" s="11" t="s">
        <v>0</v>
      </c>
      <c r="C254" s="11" t="s">
        <v>1</v>
      </c>
      <c r="D254" s="11" t="s">
        <v>5</v>
      </c>
      <c r="E254" s="11">
        <v>4</v>
      </c>
      <c r="F254" s="11" t="s">
        <v>6</v>
      </c>
      <c r="G254" s="11">
        <v>7</v>
      </c>
      <c r="H254" s="11">
        <v>18</v>
      </c>
      <c r="I254" s="11">
        <v>3.76</v>
      </c>
      <c r="J254" s="11">
        <v>1.234</v>
      </c>
      <c r="K254" s="11">
        <v>67.180851063829778</v>
      </c>
      <c r="L254" s="11">
        <v>82.371428571428567</v>
      </c>
      <c r="M254" s="12">
        <f t="shared" si="32"/>
        <v>4.6260209814682822</v>
      </c>
      <c r="N254" s="11">
        <v>45.28</v>
      </c>
      <c r="O254" s="11">
        <v>1.5369999999999999</v>
      </c>
      <c r="P254" s="11">
        <v>9.6069999999999993</v>
      </c>
      <c r="Q254" s="11">
        <v>0.27600000000000002</v>
      </c>
      <c r="R254" s="11">
        <v>0.23262000000000002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53">
        <v>0</v>
      </c>
      <c r="AG254" s="54">
        <v>0</v>
      </c>
      <c r="AH254" s="6">
        <v>0</v>
      </c>
      <c r="AI254" s="6">
        <v>0</v>
      </c>
      <c r="AJ254" s="53">
        <v>0</v>
      </c>
      <c r="AK254" s="55">
        <v>0</v>
      </c>
      <c r="AL254" s="56">
        <v>0</v>
      </c>
      <c r="AM254" s="56">
        <v>0</v>
      </c>
      <c r="AN254" s="57">
        <v>0</v>
      </c>
      <c r="AO254" s="56">
        <v>0</v>
      </c>
      <c r="AP254" s="53">
        <v>0</v>
      </c>
      <c r="AQ254" s="6">
        <v>0</v>
      </c>
      <c r="AR254" s="53">
        <v>0</v>
      </c>
      <c r="AS254" s="55">
        <v>0</v>
      </c>
      <c r="AT254" s="6">
        <v>0</v>
      </c>
      <c r="AU254" s="6">
        <v>0</v>
      </c>
      <c r="AV254" s="6">
        <v>0</v>
      </c>
      <c r="AW254" s="53">
        <v>0</v>
      </c>
      <c r="AX254" s="6">
        <v>0</v>
      </c>
      <c r="AY254" s="6">
        <v>0</v>
      </c>
      <c r="AZ254" s="53">
        <v>0</v>
      </c>
      <c r="BA254" s="6">
        <v>0</v>
      </c>
      <c r="BB254" s="6">
        <v>0</v>
      </c>
      <c r="BC254" s="53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53">
        <v>0</v>
      </c>
      <c r="BL254" s="53">
        <v>0</v>
      </c>
      <c r="BM254" s="53">
        <v>0</v>
      </c>
      <c r="BN254" s="53">
        <v>0</v>
      </c>
      <c r="BO254" s="53">
        <v>0</v>
      </c>
      <c r="BP254" s="6">
        <v>0</v>
      </c>
      <c r="BQ254" s="6">
        <v>0</v>
      </c>
      <c r="BR254" s="53">
        <v>0</v>
      </c>
      <c r="BS254" s="58">
        <v>0</v>
      </c>
      <c r="BT254" s="6">
        <v>0</v>
      </c>
      <c r="BU254" s="53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59">
        <v>0</v>
      </c>
      <c r="CG254" s="67">
        <f t="shared" si="26"/>
        <v>0</v>
      </c>
      <c r="CH254" s="69">
        <f t="shared" si="27"/>
        <v>0</v>
      </c>
      <c r="CI254" s="30">
        <f t="shared" si="28"/>
        <v>0</v>
      </c>
      <c r="CJ254" s="30">
        <f t="shared" si="29"/>
        <v>0</v>
      </c>
      <c r="CK254" s="30">
        <f t="shared" si="30"/>
        <v>0</v>
      </c>
      <c r="CL254" s="67">
        <f t="shared" si="31"/>
        <v>0</v>
      </c>
      <c r="CM254" s="30">
        <v>0</v>
      </c>
      <c r="CN254" s="30">
        <v>0</v>
      </c>
      <c r="CO254" s="30">
        <v>0</v>
      </c>
      <c r="CP254" s="30">
        <v>0</v>
      </c>
      <c r="CQ254" s="67">
        <v>0</v>
      </c>
    </row>
    <row r="255" spans="1:95" x14ac:dyDescent="0.3">
      <c r="A255" s="11">
        <v>174</v>
      </c>
      <c r="B255" s="11" t="s">
        <v>0</v>
      </c>
      <c r="C255" s="11" t="s">
        <v>14</v>
      </c>
      <c r="D255" s="11" t="s">
        <v>5</v>
      </c>
      <c r="E255" s="11">
        <v>1</v>
      </c>
      <c r="F255" s="11" t="s">
        <v>6</v>
      </c>
      <c r="G255" s="11">
        <v>7</v>
      </c>
      <c r="H255" s="11">
        <v>18</v>
      </c>
      <c r="I255" s="11">
        <v>3.82</v>
      </c>
      <c r="J255" s="11">
        <v>2.64</v>
      </c>
      <c r="K255" s="11">
        <v>30.890052356020938</v>
      </c>
      <c r="L255" s="11">
        <v>62.285714285714278</v>
      </c>
      <c r="M255" s="12">
        <f t="shared" si="32"/>
        <v>3.8655029897932529</v>
      </c>
      <c r="N255" s="11">
        <v>43.57</v>
      </c>
      <c r="O255" s="11">
        <v>1.454</v>
      </c>
      <c r="P255" s="11">
        <v>9.09</v>
      </c>
      <c r="Q255" s="11">
        <v>0.42899999999999999</v>
      </c>
      <c r="R255" s="11">
        <v>0.84861999999999993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53">
        <v>0</v>
      </c>
      <c r="AG255" s="54">
        <v>0</v>
      </c>
      <c r="AH255" s="6">
        <v>0</v>
      </c>
      <c r="AI255" s="6">
        <v>0</v>
      </c>
      <c r="AJ255" s="53">
        <v>0</v>
      </c>
      <c r="AK255" s="55">
        <v>0</v>
      </c>
      <c r="AL255" s="56">
        <v>0</v>
      </c>
      <c r="AM255" s="56">
        <v>0</v>
      </c>
      <c r="AN255" s="57">
        <v>0</v>
      </c>
      <c r="AO255" s="56">
        <v>0</v>
      </c>
      <c r="AP255" s="53">
        <v>0</v>
      </c>
      <c r="AQ255" s="6">
        <v>0</v>
      </c>
      <c r="AR255" s="53">
        <v>0</v>
      </c>
      <c r="AS255" s="55">
        <v>0</v>
      </c>
      <c r="AT255" s="6">
        <v>0</v>
      </c>
      <c r="AU255" s="6">
        <v>0</v>
      </c>
      <c r="AV255" s="6">
        <v>0</v>
      </c>
      <c r="AW255" s="53">
        <v>0</v>
      </c>
      <c r="AX255" s="6">
        <v>0</v>
      </c>
      <c r="AY255" s="6">
        <v>0</v>
      </c>
      <c r="AZ255" s="53">
        <v>0</v>
      </c>
      <c r="BA255" s="6">
        <v>0</v>
      </c>
      <c r="BB255" s="6">
        <v>0</v>
      </c>
      <c r="BC255" s="53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53">
        <v>0</v>
      </c>
      <c r="BL255" s="53">
        <v>0</v>
      </c>
      <c r="BM255" s="53">
        <v>0</v>
      </c>
      <c r="BN255" s="53">
        <v>0</v>
      </c>
      <c r="BO255" s="53">
        <v>0</v>
      </c>
      <c r="BP255" s="6">
        <v>0</v>
      </c>
      <c r="BQ255" s="6">
        <v>0</v>
      </c>
      <c r="BR255" s="53">
        <v>0</v>
      </c>
      <c r="BS255" s="58">
        <v>0</v>
      </c>
      <c r="BT255" s="6">
        <v>0</v>
      </c>
      <c r="BU255" s="53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59">
        <v>0</v>
      </c>
      <c r="CG255" s="67">
        <f t="shared" si="26"/>
        <v>0</v>
      </c>
      <c r="CH255" s="69">
        <f t="shared" si="27"/>
        <v>0</v>
      </c>
      <c r="CI255" s="30">
        <f t="shared" si="28"/>
        <v>0</v>
      </c>
      <c r="CJ255" s="30">
        <f t="shared" si="29"/>
        <v>0</v>
      </c>
      <c r="CK255" s="30">
        <f t="shared" si="30"/>
        <v>0</v>
      </c>
      <c r="CL255" s="67">
        <f t="shared" si="31"/>
        <v>0</v>
      </c>
      <c r="CM255" s="30">
        <v>0</v>
      </c>
      <c r="CN255" s="30">
        <v>0</v>
      </c>
      <c r="CO255" s="30">
        <v>0</v>
      </c>
      <c r="CP255" s="30">
        <v>0</v>
      </c>
      <c r="CQ255" s="67">
        <v>0</v>
      </c>
    </row>
    <row r="256" spans="1:95" x14ac:dyDescent="0.3">
      <c r="A256" s="11">
        <v>241</v>
      </c>
      <c r="B256" s="11" t="s">
        <v>2</v>
      </c>
      <c r="C256" s="11" t="s">
        <v>1</v>
      </c>
      <c r="D256" s="11" t="s">
        <v>4</v>
      </c>
      <c r="E256" s="11">
        <v>4</v>
      </c>
      <c r="F256" s="11" t="s">
        <v>6</v>
      </c>
      <c r="G256" s="11">
        <v>7.0299999999999994</v>
      </c>
      <c r="H256" s="11">
        <v>18</v>
      </c>
      <c r="I256" s="11">
        <v>8.6590000000000007</v>
      </c>
      <c r="J256" s="11">
        <v>1.8069999999999999</v>
      </c>
      <c r="K256" s="11">
        <v>79.131539438734265</v>
      </c>
      <c r="L256" s="11">
        <v>74.295874822190598</v>
      </c>
      <c r="M256" s="12">
        <f t="shared" si="32"/>
        <v>4.2488904521086468</v>
      </c>
      <c r="N256" s="11">
        <v>46.8</v>
      </c>
      <c r="O256" s="11">
        <v>1.6419999999999999</v>
      </c>
      <c r="P256" s="11">
        <v>10.262</v>
      </c>
      <c r="Q256" s="11">
        <v>0.39400000000000002</v>
      </c>
      <c r="R256" s="11">
        <v>0.51200000000000001</v>
      </c>
      <c r="S256" s="6">
        <v>3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1</v>
      </c>
      <c r="AB256" s="6">
        <v>0</v>
      </c>
      <c r="AC256" s="6">
        <v>0</v>
      </c>
      <c r="AD256" s="6">
        <v>1</v>
      </c>
      <c r="AE256" s="6">
        <v>0</v>
      </c>
      <c r="AF256" s="53">
        <v>0</v>
      </c>
      <c r="AG256" s="54">
        <v>9</v>
      </c>
      <c r="AH256" s="6">
        <v>0</v>
      </c>
      <c r="AI256" s="6">
        <v>0</v>
      </c>
      <c r="AJ256" s="53">
        <v>0</v>
      </c>
      <c r="AK256" s="55">
        <v>0</v>
      </c>
      <c r="AL256" s="56">
        <v>0</v>
      </c>
      <c r="AM256" s="56">
        <v>0</v>
      </c>
      <c r="AN256" s="57">
        <v>0</v>
      </c>
      <c r="AO256" s="56">
        <v>0</v>
      </c>
      <c r="AP256" s="53">
        <v>0</v>
      </c>
      <c r="AQ256" s="6">
        <v>1</v>
      </c>
      <c r="AR256" s="53">
        <v>0</v>
      </c>
      <c r="AS256" s="55">
        <v>0</v>
      </c>
      <c r="AT256" s="6">
        <v>0</v>
      </c>
      <c r="AU256" s="6">
        <v>0</v>
      </c>
      <c r="AV256" s="6">
        <v>0</v>
      </c>
      <c r="AW256" s="53">
        <v>0</v>
      </c>
      <c r="AX256" s="6">
        <v>0</v>
      </c>
      <c r="AY256" s="6">
        <v>0</v>
      </c>
      <c r="AZ256" s="53">
        <v>0</v>
      </c>
      <c r="BA256" s="6">
        <v>0</v>
      </c>
      <c r="BB256" s="6">
        <v>0</v>
      </c>
      <c r="BC256" s="53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1</v>
      </c>
      <c r="BI256" s="6">
        <v>0</v>
      </c>
      <c r="BJ256" s="6">
        <v>0</v>
      </c>
      <c r="BK256" s="53">
        <v>0</v>
      </c>
      <c r="BL256" s="53">
        <v>0</v>
      </c>
      <c r="BM256" s="53">
        <v>0</v>
      </c>
      <c r="BN256" s="53">
        <v>0</v>
      </c>
      <c r="BO256" s="53">
        <v>0</v>
      </c>
      <c r="BP256" s="6">
        <v>0</v>
      </c>
      <c r="BQ256" s="6">
        <v>0</v>
      </c>
      <c r="BR256" s="53">
        <v>0</v>
      </c>
      <c r="BS256" s="58">
        <v>0</v>
      </c>
      <c r="BT256" s="6">
        <v>0</v>
      </c>
      <c r="BU256" s="53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59">
        <v>0</v>
      </c>
      <c r="CG256" s="67">
        <f t="shared" si="26"/>
        <v>16</v>
      </c>
      <c r="CH256" s="69">
        <f t="shared" si="27"/>
        <v>6</v>
      </c>
      <c r="CI256" s="30">
        <f t="shared" si="28"/>
        <v>0</v>
      </c>
      <c r="CJ256" s="30">
        <f t="shared" si="29"/>
        <v>15</v>
      </c>
      <c r="CK256" s="30">
        <f t="shared" si="30"/>
        <v>1</v>
      </c>
      <c r="CL256" s="67">
        <f t="shared" si="31"/>
        <v>2</v>
      </c>
      <c r="CM256" s="30">
        <v>15</v>
      </c>
      <c r="CN256" s="30">
        <v>0</v>
      </c>
      <c r="CO256" s="30">
        <v>0</v>
      </c>
      <c r="CP256" s="30">
        <v>1</v>
      </c>
      <c r="CQ256" s="67">
        <v>1</v>
      </c>
    </row>
    <row r="257" spans="1:95" x14ac:dyDescent="0.3">
      <c r="A257" s="11">
        <v>243</v>
      </c>
      <c r="B257" s="11" t="s">
        <v>2</v>
      </c>
      <c r="C257" s="11" t="s">
        <v>1</v>
      </c>
      <c r="D257" s="11" t="s">
        <v>4</v>
      </c>
      <c r="E257" s="11">
        <v>5</v>
      </c>
      <c r="F257" s="11" t="s">
        <v>6</v>
      </c>
      <c r="G257" s="11">
        <v>6.8900000000000006</v>
      </c>
      <c r="H257" s="11">
        <v>18</v>
      </c>
      <c r="I257" s="11">
        <v>8.5419999999999998</v>
      </c>
      <c r="J257" s="11">
        <v>2.1150000000000002</v>
      </c>
      <c r="K257" s="11">
        <v>75.239990634511827</v>
      </c>
      <c r="L257" s="11">
        <v>69.303338171262695</v>
      </c>
      <c r="M257" s="12">
        <f t="shared" si="32"/>
        <v>4.0713880304234911</v>
      </c>
      <c r="N257" s="11">
        <v>45.72</v>
      </c>
      <c r="O257" s="11">
        <v>1.5669999999999999</v>
      </c>
      <c r="P257" s="11">
        <v>9.7919999999999998</v>
      </c>
      <c r="Q257" s="11">
        <v>0.309</v>
      </c>
      <c r="R257" s="11">
        <v>0.15962000000000001</v>
      </c>
      <c r="S257" s="6">
        <v>0</v>
      </c>
      <c r="T257" s="6">
        <v>1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53">
        <v>0</v>
      </c>
      <c r="AG257" s="54">
        <v>6</v>
      </c>
      <c r="AH257" s="6">
        <v>0</v>
      </c>
      <c r="AI257" s="6">
        <v>0</v>
      </c>
      <c r="AJ257" s="53">
        <v>0</v>
      </c>
      <c r="AK257" s="55">
        <v>0</v>
      </c>
      <c r="AL257" s="56">
        <v>0</v>
      </c>
      <c r="AM257" s="56">
        <v>0</v>
      </c>
      <c r="AN257" s="57">
        <v>0</v>
      </c>
      <c r="AO257" s="56">
        <v>0</v>
      </c>
      <c r="AP257" s="53">
        <v>0</v>
      </c>
      <c r="AQ257" s="6">
        <v>0</v>
      </c>
      <c r="AR257" s="53">
        <v>0</v>
      </c>
      <c r="AS257" s="55">
        <v>0</v>
      </c>
      <c r="AT257" s="6">
        <v>0</v>
      </c>
      <c r="AU257" s="6">
        <v>0</v>
      </c>
      <c r="AV257" s="6">
        <v>0</v>
      </c>
      <c r="AW257" s="53">
        <v>1</v>
      </c>
      <c r="AX257" s="6">
        <v>0</v>
      </c>
      <c r="AY257" s="6">
        <v>0</v>
      </c>
      <c r="AZ257" s="53">
        <v>0</v>
      </c>
      <c r="BA257" s="6">
        <v>0</v>
      </c>
      <c r="BB257" s="6">
        <v>0</v>
      </c>
      <c r="BC257" s="53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53">
        <v>0</v>
      </c>
      <c r="BL257" s="53">
        <v>0</v>
      </c>
      <c r="BM257" s="53">
        <v>0</v>
      </c>
      <c r="BN257" s="53">
        <v>0</v>
      </c>
      <c r="BO257" s="53">
        <v>0</v>
      </c>
      <c r="BP257" s="6">
        <v>0</v>
      </c>
      <c r="BQ257" s="6">
        <v>0</v>
      </c>
      <c r="BR257" s="53">
        <v>0</v>
      </c>
      <c r="BS257" s="58">
        <v>0</v>
      </c>
      <c r="BT257" s="6">
        <v>0</v>
      </c>
      <c r="BU257" s="53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59">
        <v>0</v>
      </c>
      <c r="CG257" s="67">
        <f t="shared" si="26"/>
        <v>8</v>
      </c>
      <c r="CH257" s="69">
        <f t="shared" si="27"/>
        <v>3</v>
      </c>
      <c r="CI257" s="30">
        <f t="shared" si="28"/>
        <v>0</v>
      </c>
      <c r="CJ257" s="30">
        <f t="shared" si="29"/>
        <v>7</v>
      </c>
      <c r="CK257" s="30">
        <f t="shared" si="30"/>
        <v>1</v>
      </c>
      <c r="CL257" s="67">
        <f t="shared" si="31"/>
        <v>2</v>
      </c>
      <c r="CM257" s="30">
        <v>8</v>
      </c>
      <c r="CN257" s="30">
        <v>0</v>
      </c>
      <c r="CO257" s="30">
        <v>0</v>
      </c>
      <c r="CP257" s="30">
        <v>0</v>
      </c>
      <c r="CQ257" s="67">
        <v>1</v>
      </c>
    </row>
    <row r="258" spans="1:95" x14ac:dyDescent="0.3">
      <c r="A258" s="11">
        <v>252</v>
      </c>
      <c r="B258" s="11" t="s">
        <v>2</v>
      </c>
      <c r="C258" s="11" t="s">
        <v>1</v>
      </c>
      <c r="D258" s="11" t="s">
        <v>4</v>
      </c>
      <c r="E258" s="11">
        <v>3</v>
      </c>
      <c r="F258" s="11" t="s">
        <v>6</v>
      </c>
      <c r="G258" s="11">
        <v>6.9200000000000008</v>
      </c>
      <c r="H258" s="11">
        <v>18</v>
      </c>
      <c r="I258" s="11">
        <v>6.0010000000000003</v>
      </c>
      <c r="J258" s="11">
        <v>2.302</v>
      </c>
      <c r="K258" s="11">
        <v>61.639726712214639</v>
      </c>
      <c r="L258" s="11">
        <v>66.734104046242777</v>
      </c>
      <c r="M258" s="12">
        <f t="shared" ref="M258:M321" si="33">-LN((J258/G258)/H258)</f>
        <v>3.9910092172260523</v>
      </c>
      <c r="N258" s="11">
        <v>45.59</v>
      </c>
      <c r="O258" s="11">
        <v>2.0569999999999999</v>
      </c>
      <c r="P258" s="11">
        <v>12.856</v>
      </c>
      <c r="Q258" s="11">
        <v>0.25800000000000001</v>
      </c>
      <c r="R258" s="11">
        <v>0.16400000000000003</v>
      </c>
      <c r="S258" s="6">
        <v>2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53">
        <v>0</v>
      </c>
      <c r="AG258" s="54">
        <v>1</v>
      </c>
      <c r="AH258" s="6">
        <v>0</v>
      </c>
      <c r="AI258" s="6">
        <v>0</v>
      </c>
      <c r="AJ258" s="53">
        <v>0</v>
      </c>
      <c r="AK258" s="55">
        <v>0</v>
      </c>
      <c r="AL258" s="56">
        <v>0</v>
      </c>
      <c r="AM258" s="56">
        <v>0</v>
      </c>
      <c r="AN258" s="57">
        <v>0</v>
      </c>
      <c r="AO258" s="56">
        <v>0</v>
      </c>
      <c r="AP258" s="53">
        <v>0</v>
      </c>
      <c r="AQ258" s="6">
        <v>0</v>
      </c>
      <c r="AR258" s="53">
        <v>0</v>
      </c>
      <c r="AS258" s="55">
        <v>0</v>
      </c>
      <c r="AT258" s="6">
        <v>0</v>
      </c>
      <c r="AU258" s="6">
        <v>0</v>
      </c>
      <c r="AV258" s="6">
        <v>0</v>
      </c>
      <c r="AW258" s="53">
        <v>0</v>
      </c>
      <c r="AX258" s="6">
        <v>0</v>
      </c>
      <c r="AY258" s="6">
        <v>0</v>
      </c>
      <c r="AZ258" s="53">
        <v>0</v>
      </c>
      <c r="BA258" s="6">
        <v>0</v>
      </c>
      <c r="BB258" s="6">
        <v>0</v>
      </c>
      <c r="BC258" s="53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53">
        <v>0</v>
      </c>
      <c r="BL258" s="53">
        <v>0</v>
      </c>
      <c r="BM258" s="53">
        <v>0</v>
      </c>
      <c r="BN258" s="53">
        <v>0</v>
      </c>
      <c r="BO258" s="53">
        <v>0</v>
      </c>
      <c r="BP258" s="6">
        <v>0</v>
      </c>
      <c r="BQ258" s="6">
        <v>0</v>
      </c>
      <c r="BR258" s="53">
        <v>0</v>
      </c>
      <c r="BS258" s="58">
        <v>0</v>
      </c>
      <c r="BT258" s="6">
        <v>0</v>
      </c>
      <c r="BU258" s="53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59">
        <v>0</v>
      </c>
      <c r="CG258" s="67">
        <f t="shared" ref="CG258:CG298" si="34">SUM(S258:CF258)</f>
        <v>3</v>
      </c>
      <c r="CH258" s="69">
        <f t="shared" ref="CH258:CH298" si="35">COUNTIF(S258:CF258,"&gt;0")</f>
        <v>2</v>
      </c>
      <c r="CI258" s="30">
        <f t="shared" ref="CI258:CI298" si="36">SUM(AS258)</f>
        <v>0</v>
      </c>
      <c r="CJ258" s="30">
        <f t="shared" ref="CJ258:CJ298" si="37">SUM(S258:AH258,AJ258,AL258:AO258,AQ258:AR258,BL258:BM258)</f>
        <v>3</v>
      </c>
      <c r="CK258" s="30">
        <f t="shared" ref="CK258:CK298" si="38">SUM(AI258,AK258,AT258:BK258,BN258:CF258)</f>
        <v>0</v>
      </c>
      <c r="CL258" s="67">
        <f t="shared" ref="CL258:CL298" si="39">COUNTIF(CI258:CK258,"&gt;0")</f>
        <v>1</v>
      </c>
      <c r="CM258" s="30">
        <v>3</v>
      </c>
      <c r="CN258" s="30">
        <v>0</v>
      </c>
      <c r="CO258" s="30">
        <v>0</v>
      </c>
      <c r="CP258" s="30">
        <v>0</v>
      </c>
      <c r="CQ258" s="67">
        <v>1</v>
      </c>
    </row>
    <row r="259" spans="1:95" x14ac:dyDescent="0.3">
      <c r="A259" s="11">
        <v>256</v>
      </c>
      <c r="B259" s="11" t="s">
        <v>2</v>
      </c>
      <c r="C259" s="11" t="s">
        <v>14</v>
      </c>
      <c r="D259" s="11" t="s">
        <v>4</v>
      </c>
      <c r="E259" s="11">
        <v>4</v>
      </c>
      <c r="F259" s="11" t="s">
        <v>6</v>
      </c>
      <c r="G259" s="11">
        <v>7.5099999999999989</v>
      </c>
      <c r="H259" s="11">
        <v>18</v>
      </c>
      <c r="I259" s="11">
        <v>10.59</v>
      </c>
      <c r="J259" s="11">
        <v>2.79</v>
      </c>
      <c r="K259" s="11">
        <v>73.654390934844187</v>
      </c>
      <c r="L259" s="11">
        <v>62.849533954727022</v>
      </c>
      <c r="M259" s="12">
        <f t="shared" si="33"/>
        <v>3.880565627838934</v>
      </c>
      <c r="N259" s="11">
        <v>46.88</v>
      </c>
      <c r="O259" s="11">
        <v>1.6839999999999999</v>
      </c>
      <c r="P259" s="11">
        <v>10.523999999999999</v>
      </c>
      <c r="Q259" s="11">
        <v>0.38600000000000001</v>
      </c>
      <c r="R259" s="11">
        <v>0.19762000000000002</v>
      </c>
      <c r="S259" s="6">
        <v>4</v>
      </c>
      <c r="T259" s="6">
        <v>2</v>
      </c>
      <c r="U259" s="6">
        <v>0</v>
      </c>
      <c r="V259" s="6">
        <v>1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1</v>
      </c>
      <c r="AD259" s="6">
        <v>0</v>
      </c>
      <c r="AE259" s="6">
        <v>0</v>
      </c>
      <c r="AF259" s="53">
        <v>0</v>
      </c>
      <c r="AG259" s="54">
        <v>21</v>
      </c>
      <c r="AH259" s="6">
        <v>0</v>
      </c>
      <c r="AI259" s="6">
        <v>0</v>
      </c>
      <c r="AJ259" s="53">
        <v>0</v>
      </c>
      <c r="AK259" s="55">
        <v>0</v>
      </c>
      <c r="AL259" s="56">
        <v>0</v>
      </c>
      <c r="AM259" s="56">
        <v>0</v>
      </c>
      <c r="AN259" s="57">
        <v>0</v>
      </c>
      <c r="AO259" s="56">
        <v>0</v>
      </c>
      <c r="AP259" s="53">
        <v>0</v>
      </c>
      <c r="AQ259" s="6">
        <v>1</v>
      </c>
      <c r="AR259" s="53">
        <v>0</v>
      </c>
      <c r="AS259" s="55">
        <v>0</v>
      </c>
      <c r="AT259" s="6">
        <v>0</v>
      </c>
      <c r="AU259" s="6">
        <v>0</v>
      </c>
      <c r="AV259" s="6">
        <v>0</v>
      </c>
      <c r="AW259" s="53">
        <v>0</v>
      </c>
      <c r="AX259" s="6">
        <v>0</v>
      </c>
      <c r="AY259" s="6">
        <v>0</v>
      </c>
      <c r="AZ259" s="53">
        <v>0</v>
      </c>
      <c r="BA259" s="6">
        <v>0</v>
      </c>
      <c r="BB259" s="6">
        <v>0</v>
      </c>
      <c r="BC259" s="53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53">
        <v>0</v>
      </c>
      <c r="BL259" s="53">
        <v>0</v>
      </c>
      <c r="BM259" s="53">
        <v>0</v>
      </c>
      <c r="BN259" s="53">
        <v>0</v>
      </c>
      <c r="BO259" s="53">
        <v>0</v>
      </c>
      <c r="BP259" s="6">
        <v>0</v>
      </c>
      <c r="BQ259" s="6">
        <v>0</v>
      </c>
      <c r="BR259" s="53">
        <v>0</v>
      </c>
      <c r="BS259" s="58">
        <v>0</v>
      </c>
      <c r="BT259" s="6">
        <v>0</v>
      </c>
      <c r="BU259" s="53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59">
        <v>0</v>
      </c>
      <c r="CG259" s="67">
        <f t="shared" si="34"/>
        <v>30</v>
      </c>
      <c r="CH259" s="69">
        <f t="shared" si="35"/>
        <v>6</v>
      </c>
      <c r="CI259" s="30">
        <f t="shared" si="36"/>
        <v>0</v>
      </c>
      <c r="CJ259" s="30">
        <f t="shared" si="37"/>
        <v>30</v>
      </c>
      <c r="CK259" s="30">
        <f t="shared" si="38"/>
        <v>0</v>
      </c>
      <c r="CL259" s="67">
        <f t="shared" si="39"/>
        <v>1</v>
      </c>
      <c r="CM259" s="30">
        <v>30</v>
      </c>
      <c r="CN259" s="30">
        <v>0</v>
      </c>
      <c r="CO259" s="30">
        <v>0</v>
      </c>
      <c r="CP259" s="30">
        <v>0</v>
      </c>
      <c r="CQ259" s="67">
        <v>1</v>
      </c>
    </row>
    <row r="260" spans="1:95" x14ac:dyDescent="0.3">
      <c r="A260" s="11">
        <v>258</v>
      </c>
      <c r="B260" s="11" t="s">
        <v>2</v>
      </c>
      <c r="C260" s="11" t="s">
        <v>1</v>
      </c>
      <c r="D260" s="11" t="s">
        <v>5</v>
      </c>
      <c r="E260" s="11">
        <v>1</v>
      </c>
      <c r="F260" s="11" t="s">
        <v>6</v>
      </c>
      <c r="G260" s="11">
        <v>6.92</v>
      </c>
      <c r="H260" s="11">
        <v>18</v>
      </c>
      <c r="I260" s="11">
        <v>5.17</v>
      </c>
      <c r="J260" s="11">
        <v>1.405</v>
      </c>
      <c r="K260" s="11">
        <v>72.823984526112184</v>
      </c>
      <c r="L260" s="11">
        <v>79.696531791907503</v>
      </c>
      <c r="M260" s="12">
        <f t="shared" si="33"/>
        <v>4.4847502247400337</v>
      </c>
      <c r="N260" s="11">
        <v>44.09</v>
      </c>
      <c r="O260" s="11">
        <v>1.47</v>
      </c>
      <c r="P260" s="11">
        <v>9.1890000000000001</v>
      </c>
      <c r="Q260" s="11">
        <v>0.33500000000000002</v>
      </c>
      <c r="R260" s="11">
        <v>0.245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1</v>
      </c>
      <c r="AB260" s="6">
        <v>0</v>
      </c>
      <c r="AC260" s="6">
        <v>0</v>
      </c>
      <c r="AD260" s="6">
        <v>0</v>
      </c>
      <c r="AE260" s="6">
        <v>0</v>
      </c>
      <c r="AF260" s="53">
        <v>0</v>
      </c>
      <c r="AG260" s="54">
        <v>0</v>
      </c>
      <c r="AH260" s="6">
        <v>0</v>
      </c>
      <c r="AI260" s="6">
        <v>0</v>
      </c>
      <c r="AJ260" s="53">
        <v>0</v>
      </c>
      <c r="AK260" s="55">
        <v>0</v>
      </c>
      <c r="AL260" s="56">
        <v>0</v>
      </c>
      <c r="AM260" s="56">
        <v>0</v>
      </c>
      <c r="AN260" s="57">
        <v>0</v>
      </c>
      <c r="AO260" s="56">
        <v>0</v>
      </c>
      <c r="AP260" s="53">
        <v>0</v>
      </c>
      <c r="AQ260" s="6">
        <v>0</v>
      </c>
      <c r="AR260" s="53">
        <v>0</v>
      </c>
      <c r="AS260" s="55">
        <v>0</v>
      </c>
      <c r="AT260" s="6">
        <v>0</v>
      </c>
      <c r="AU260" s="6">
        <v>0</v>
      </c>
      <c r="AV260" s="6">
        <v>0</v>
      </c>
      <c r="AW260" s="53">
        <v>0</v>
      </c>
      <c r="AX260" s="6">
        <v>0</v>
      </c>
      <c r="AY260" s="6">
        <v>0</v>
      </c>
      <c r="AZ260" s="53">
        <v>0</v>
      </c>
      <c r="BA260" s="6">
        <v>0</v>
      </c>
      <c r="BB260" s="6">
        <v>0</v>
      </c>
      <c r="BC260" s="53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53">
        <v>0</v>
      </c>
      <c r="BL260" s="53">
        <v>0</v>
      </c>
      <c r="BM260" s="53">
        <v>0</v>
      </c>
      <c r="BN260" s="53">
        <v>0</v>
      </c>
      <c r="BO260" s="53">
        <v>0</v>
      </c>
      <c r="BP260" s="6">
        <v>0</v>
      </c>
      <c r="BQ260" s="6">
        <v>0</v>
      </c>
      <c r="BR260" s="53">
        <v>0</v>
      </c>
      <c r="BS260" s="58">
        <v>0</v>
      </c>
      <c r="BT260" s="6">
        <v>0</v>
      </c>
      <c r="BU260" s="53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59">
        <v>0</v>
      </c>
      <c r="CG260" s="67">
        <f t="shared" si="34"/>
        <v>1</v>
      </c>
      <c r="CH260" s="69">
        <f t="shared" si="35"/>
        <v>1</v>
      </c>
      <c r="CI260" s="30">
        <f t="shared" si="36"/>
        <v>0</v>
      </c>
      <c r="CJ260" s="30">
        <f t="shared" si="37"/>
        <v>1</v>
      </c>
      <c r="CK260" s="30">
        <f t="shared" si="38"/>
        <v>0</v>
      </c>
      <c r="CL260" s="67">
        <f t="shared" si="39"/>
        <v>1</v>
      </c>
      <c r="CM260" s="30">
        <v>1</v>
      </c>
      <c r="CN260" s="30">
        <v>0</v>
      </c>
      <c r="CO260" s="30">
        <v>0</v>
      </c>
      <c r="CP260" s="30">
        <v>0</v>
      </c>
      <c r="CQ260" s="67">
        <v>1</v>
      </c>
    </row>
    <row r="261" spans="1:95" x14ac:dyDescent="0.3">
      <c r="A261" s="11">
        <v>268</v>
      </c>
      <c r="B261" s="11" t="s">
        <v>2</v>
      </c>
      <c r="C261" s="11" t="s">
        <v>14</v>
      </c>
      <c r="D261" s="11" t="s">
        <v>4</v>
      </c>
      <c r="E261" s="11">
        <v>1</v>
      </c>
      <c r="F261" s="11" t="s">
        <v>6</v>
      </c>
      <c r="G261" s="11">
        <v>7.01</v>
      </c>
      <c r="H261" s="11">
        <v>18</v>
      </c>
      <c r="I261" s="11">
        <v>11.458</v>
      </c>
      <c r="J261" s="11">
        <v>3.1469999999999998</v>
      </c>
      <c r="K261" s="11">
        <v>72.534473730144882</v>
      </c>
      <c r="L261" s="11">
        <v>55.106990014265335</v>
      </c>
      <c r="M261" s="12">
        <f t="shared" si="33"/>
        <v>3.6912598408603938</v>
      </c>
      <c r="N261" s="11">
        <v>47.77</v>
      </c>
      <c r="O261" s="11">
        <v>1.54</v>
      </c>
      <c r="P261" s="11">
        <v>9.6229999999999993</v>
      </c>
      <c r="Q261" s="11">
        <v>0.42899999999999999</v>
      </c>
      <c r="R261" s="11">
        <v>0.29661999999999999</v>
      </c>
      <c r="S261" s="6">
        <v>4</v>
      </c>
      <c r="T261" s="6">
        <v>2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53">
        <v>0</v>
      </c>
      <c r="AG261" s="54">
        <v>4</v>
      </c>
      <c r="AH261" s="6">
        <v>0</v>
      </c>
      <c r="AI261" s="6">
        <v>0</v>
      </c>
      <c r="AJ261" s="53">
        <v>0</v>
      </c>
      <c r="AK261" s="55">
        <v>0</v>
      </c>
      <c r="AL261" s="56">
        <v>0</v>
      </c>
      <c r="AM261" s="56">
        <v>0</v>
      </c>
      <c r="AN261" s="57">
        <v>0</v>
      </c>
      <c r="AO261" s="56">
        <v>0</v>
      </c>
      <c r="AP261" s="53">
        <v>0</v>
      </c>
      <c r="AQ261" s="6">
        <v>0</v>
      </c>
      <c r="AR261" s="53">
        <v>0</v>
      </c>
      <c r="AS261" s="55">
        <v>0</v>
      </c>
      <c r="AT261" s="6">
        <v>0</v>
      </c>
      <c r="AU261" s="6">
        <v>0</v>
      </c>
      <c r="AV261" s="6">
        <v>0</v>
      </c>
      <c r="AW261" s="53">
        <v>0</v>
      </c>
      <c r="AX261" s="6">
        <v>0</v>
      </c>
      <c r="AY261" s="6">
        <v>0</v>
      </c>
      <c r="AZ261" s="53">
        <v>0</v>
      </c>
      <c r="BA261" s="6">
        <v>0</v>
      </c>
      <c r="BB261" s="6">
        <v>0</v>
      </c>
      <c r="BC261" s="53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53">
        <v>0</v>
      </c>
      <c r="BL261" s="53">
        <v>0</v>
      </c>
      <c r="BM261" s="53">
        <v>0</v>
      </c>
      <c r="BN261" s="53">
        <v>0</v>
      </c>
      <c r="BO261" s="53">
        <v>0</v>
      </c>
      <c r="BP261" s="6">
        <v>0</v>
      </c>
      <c r="BQ261" s="6">
        <v>0</v>
      </c>
      <c r="BR261" s="53">
        <v>0</v>
      </c>
      <c r="BS261" s="58">
        <v>0</v>
      </c>
      <c r="BT261" s="6">
        <v>0</v>
      </c>
      <c r="BU261" s="53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59">
        <v>0</v>
      </c>
      <c r="CG261" s="67">
        <f t="shared" si="34"/>
        <v>10</v>
      </c>
      <c r="CH261" s="69">
        <f t="shared" si="35"/>
        <v>3</v>
      </c>
      <c r="CI261" s="30">
        <f t="shared" si="36"/>
        <v>0</v>
      </c>
      <c r="CJ261" s="30">
        <f t="shared" si="37"/>
        <v>10</v>
      </c>
      <c r="CK261" s="30">
        <f t="shared" si="38"/>
        <v>0</v>
      </c>
      <c r="CL261" s="67">
        <f t="shared" si="39"/>
        <v>1</v>
      </c>
      <c r="CM261" s="30">
        <v>10</v>
      </c>
      <c r="CN261" s="30">
        <v>0</v>
      </c>
      <c r="CO261" s="30">
        <v>0</v>
      </c>
      <c r="CP261" s="30">
        <v>0</v>
      </c>
      <c r="CQ261" s="67">
        <v>1</v>
      </c>
    </row>
    <row r="262" spans="1:95" x14ac:dyDescent="0.3">
      <c r="A262" s="11">
        <v>270</v>
      </c>
      <c r="B262" s="11" t="s">
        <v>2</v>
      </c>
      <c r="C262" s="11" t="s">
        <v>1</v>
      </c>
      <c r="D262" s="11" t="s">
        <v>4</v>
      </c>
      <c r="E262" s="11">
        <v>2</v>
      </c>
      <c r="F262" s="11" t="s">
        <v>6</v>
      </c>
      <c r="G262" s="11">
        <v>7.0400000000000009</v>
      </c>
      <c r="H262" s="11">
        <v>18</v>
      </c>
      <c r="I262" s="11">
        <v>12.635999999999999</v>
      </c>
      <c r="J262" s="11">
        <v>2.7440000000000002</v>
      </c>
      <c r="K262" s="11">
        <v>78.284267173156067</v>
      </c>
      <c r="L262" s="11">
        <v>61.02272727272728</v>
      </c>
      <c r="M262" s="12">
        <f t="shared" si="33"/>
        <v>3.8325632182024769</v>
      </c>
      <c r="N262" s="11">
        <v>48.06</v>
      </c>
      <c r="O262" s="11">
        <v>1.637</v>
      </c>
      <c r="P262" s="11">
        <v>10.231999999999999</v>
      </c>
      <c r="Q262" s="11">
        <v>0.28199999999999997</v>
      </c>
      <c r="R262" s="11">
        <v>0.31062000000000001</v>
      </c>
      <c r="S262" s="6">
        <v>1</v>
      </c>
      <c r="T262" s="6">
        <v>0</v>
      </c>
      <c r="U262" s="6">
        <v>0</v>
      </c>
      <c r="V262" s="6">
        <v>4</v>
      </c>
      <c r="W262" s="6">
        <v>0</v>
      </c>
      <c r="X262" s="6">
        <v>0</v>
      </c>
      <c r="Y262" s="6">
        <v>0</v>
      </c>
      <c r="Z262" s="6">
        <v>1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53">
        <v>0</v>
      </c>
      <c r="AG262" s="54">
        <v>2</v>
      </c>
      <c r="AH262" s="6">
        <v>0</v>
      </c>
      <c r="AI262" s="6">
        <v>0</v>
      </c>
      <c r="AJ262" s="53">
        <v>0</v>
      </c>
      <c r="AK262" s="55">
        <v>0</v>
      </c>
      <c r="AL262" s="56">
        <v>0</v>
      </c>
      <c r="AM262" s="56">
        <v>0</v>
      </c>
      <c r="AN262" s="57">
        <v>0</v>
      </c>
      <c r="AO262" s="56">
        <v>0</v>
      </c>
      <c r="AP262" s="53">
        <v>0</v>
      </c>
      <c r="AQ262" s="6">
        <v>1</v>
      </c>
      <c r="AR262" s="53">
        <v>0</v>
      </c>
      <c r="AS262" s="55">
        <v>0</v>
      </c>
      <c r="AT262" s="6">
        <v>0</v>
      </c>
      <c r="AU262" s="6">
        <v>0</v>
      </c>
      <c r="AV262" s="6">
        <v>0</v>
      </c>
      <c r="AW262" s="53">
        <v>0</v>
      </c>
      <c r="AX262" s="6">
        <v>0</v>
      </c>
      <c r="AY262" s="6">
        <v>0</v>
      </c>
      <c r="AZ262" s="53">
        <v>0</v>
      </c>
      <c r="BA262" s="6">
        <v>0</v>
      </c>
      <c r="BB262" s="6">
        <v>0</v>
      </c>
      <c r="BC262" s="53">
        <v>1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53">
        <v>0</v>
      </c>
      <c r="BL262" s="53">
        <v>0</v>
      </c>
      <c r="BM262" s="53">
        <v>0</v>
      </c>
      <c r="BN262" s="53">
        <v>0</v>
      </c>
      <c r="BO262" s="53">
        <v>0</v>
      </c>
      <c r="BP262" s="6">
        <v>0</v>
      </c>
      <c r="BQ262" s="6">
        <v>0</v>
      </c>
      <c r="BR262" s="53">
        <v>0</v>
      </c>
      <c r="BS262" s="58">
        <v>0</v>
      </c>
      <c r="BT262" s="6">
        <v>0</v>
      </c>
      <c r="BU262" s="53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59">
        <v>0</v>
      </c>
      <c r="CG262" s="67">
        <f t="shared" si="34"/>
        <v>10</v>
      </c>
      <c r="CH262" s="69">
        <f t="shared" si="35"/>
        <v>6</v>
      </c>
      <c r="CI262" s="30">
        <f t="shared" si="36"/>
        <v>0</v>
      </c>
      <c r="CJ262" s="30">
        <f t="shared" si="37"/>
        <v>9</v>
      </c>
      <c r="CK262" s="30">
        <f t="shared" si="38"/>
        <v>1</v>
      </c>
      <c r="CL262" s="67">
        <f t="shared" si="39"/>
        <v>2</v>
      </c>
      <c r="CM262" s="30">
        <v>10</v>
      </c>
      <c r="CN262" s="30">
        <v>0</v>
      </c>
      <c r="CO262" s="30">
        <v>0</v>
      </c>
      <c r="CP262" s="30">
        <v>0</v>
      </c>
      <c r="CQ262" s="67">
        <v>1</v>
      </c>
    </row>
    <row r="263" spans="1:95" x14ac:dyDescent="0.3">
      <c r="A263" s="11">
        <v>276</v>
      </c>
      <c r="B263" s="11" t="s">
        <v>2</v>
      </c>
      <c r="C263" s="11" t="s">
        <v>14</v>
      </c>
      <c r="D263" s="11" t="s">
        <v>4</v>
      </c>
      <c r="E263" s="11">
        <v>3</v>
      </c>
      <c r="F263" s="11" t="s">
        <v>6</v>
      </c>
      <c r="G263" s="11">
        <v>6.9899999999999993</v>
      </c>
      <c r="H263" s="11">
        <v>18</v>
      </c>
      <c r="I263" s="11">
        <v>12.234999999999999</v>
      </c>
      <c r="J263" s="11">
        <v>2.2130000000000001</v>
      </c>
      <c r="K263" s="11">
        <v>81.912545974662848</v>
      </c>
      <c r="L263" s="11">
        <v>68.340486409155929</v>
      </c>
      <c r="M263" s="12">
        <f t="shared" si="33"/>
        <v>4.0405032530729708</v>
      </c>
      <c r="N263" s="11">
        <v>47.05</v>
      </c>
      <c r="O263" s="11">
        <v>1.9410000000000001</v>
      </c>
      <c r="P263" s="11">
        <v>12.132999999999999</v>
      </c>
      <c r="Q263" s="11">
        <v>0.23200000000000001</v>
      </c>
      <c r="R263" s="11">
        <v>0.21200000000000002</v>
      </c>
      <c r="S263" s="6">
        <v>0</v>
      </c>
      <c r="T263" s="6">
        <v>1</v>
      </c>
      <c r="U263" s="6">
        <v>0</v>
      </c>
      <c r="V263" s="6">
        <v>0</v>
      </c>
      <c r="W263" s="6">
        <v>1</v>
      </c>
      <c r="X263" s="6">
        <v>1</v>
      </c>
      <c r="Y263" s="6">
        <v>0</v>
      </c>
      <c r="Z263" s="6">
        <v>0</v>
      </c>
      <c r="AA263" s="6">
        <v>1</v>
      </c>
      <c r="AB263" s="6">
        <v>0</v>
      </c>
      <c r="AC263" s="6">
        <v>0</v>
      </c>
      <c r="AD263" s="6">
        <v>0</v>
      </c>
      <c r="AE263" s="6">
        <v>0</v>
      </c>
      <c r="AF263" s="53">
        <v>0</v>
      </c>
      <c r="AG263" s="54">
        <v>19</v>
      </c>
      <c r="AH263" s="6">
        <v>0</v>
      </c>
      <c r="AI263" s="6">
        <v>0</v>
      </c>
      <c r="AJ263" s="53">
        <v>0</v>
      </c>
      <c r="AK263" s="55">
        <v>0</v>
      </c>
      <c r="AL263" s="56">
        <v>0</v>
      </c>
      <c r="AM263" s="56">
        <v>0</v>
      </c>
      <c r="AN263" s="57">
        <v>0</v>
      </c>
      <c r="AO263" s="56">
        <v>0</v>
      </c>
      <c r="AP263" s="53">
        <v>0</v>
      </c>
      <c r="AQ263" s="6">
        <v>0</v>
      </c>
      <c r="AR263" s="53">
        <v>0</v>
      </c>
      <c r="AS263" s="55">
        <v>0</v>
      </c>
      <c r="AT263" s="6">
        <v>0</v>
      </c>
      <c r="AU263" s="6">
        <v>0</v>
      </c>
      <c r="AV263" s="6">
        <v>0</v>
      </c>
      <c r="AW263" s="53">
        <v>0</v>
      </c>
      <c r="AX263" s="6">
        <v>0</v>
      </c>
      <c r="AY263" s="6">
        <v>0</v>
      </c>
      <c r="AZ263" s="53">
        <v>0</v>
      </c>
      <c r="BA263" s="6">
        <v>0</v>
      </c>
      <c r="BB263" s="6">
        <v>0</v>
      </c>
      <c r="BC263" s="53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53">
        <v>0</v>
      </c>
      <c r="BL263" s="53">
        <v>0</v>
      </c>
      <c r="BM263" s="53">
        <v>0</v>
      </c>
      <c r="BN263" s="53">
        <v>0</v>
      </c>
      <c r="BO263" s="53">
        <v>0</v>
      </c>
      <c r="BP263" s="6">
        <v>0</v>
      </c>
      <c r="BQ263" s="6">
        <v>0</v>
      </c>
      <c r="BR263" s="53">
        <v>0</v>
      </c>
      <c r="BS263" s="58">
        <v>0</v>
      </c>
      <c r="BT263" s="6">
        <v>0</v>
      </c>
      <c r="BU263" s="53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59">
        <v>0</v>
      </c>
      <c r="CG263" s="67">
        <f t="shared" si="34"/>
        <v>23</v>
      </c>
      <c r="CH263" s="69">
        <f t="shared" si="35"/>
        <v>5</v>
      </c>
      <c r="CI263" s="30">
        <f t="shared" si="36"/>
        <v>0</v>
      </c>
      <c r="CJ263" s="30">
        <f t="shared" si="37"/>
        <v>23</v>
      </c>
      <c r="CK263" s="30">
        <f t="shared" si="38"/>
        <v>0</v>
      </c>
      <c r="CL263" s="67">
        <f t="shared" si="39"/>
        <v>1</v>
      </c>
      <c r="CM263" s="30">
        <v>23</v>
      </c>
      <c r="CN263" s="30">
        <v>0</v>
      </c>
      <c r="CO263" s="30">
        <v>0</v>
      </c>
      <c r="CP263" s="30">
        <v>0</v>
      </c>
      <c r="CQ263" s="67">
        <v>1</v>
      </c>
    </row>
    <row r="264" spans="1:95" x14ac:dyDescent="0.3">
      <c r="A264" s="11">
        <v>289</v>
      </c>
      <c r="B264" s="11" t="s">
        <v>2</v>
      </c>
      <c r="C264" s="11" t="s">
        <v>14</v>
      </c>
      <c r="D264" s="11" t="s">
        <v>4</v>
      </c>
      <c r="E264" s="11">
        <v>2</v>
      </c>
      <c r="F264" s="11" t="s">
        <v>6</v>
      </c>
      <c r="G264" s="11">
        <v>6.97</v>
      </c>
      <c r="H264" s="11">
        <v>18</v>
      </c>
      <c r="I264" s="11">
        <v>10.379</v>
      </c>
      <c r="J264" s="11">
        <v>2.4510000000000001</v>
      </c>
      <c r="K264" s="11">
        <v>76.385008189613629</v>
      </c>
      <c r="L264" s="11">
        <v>64.835007173601156</v>
      </c>
      <c r="M264" s="12">
        <f t="shared" si="33"/>
        <v>3.9354908781226214</v>
      </c>
      <c r="N264" s="11">
        <v>45.45</v>
      </c>
      <c r="O264" s="11">
        <v>1.72</v>
      </c>
      <c r="P264" s="11">
        <v>10.747</v>
      </c>
      <c r="Q264" s="11">
        <v>0.26900000000000002</v>
      </c>
      <c r="R264" s="11">
        <v>0.23762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53">
        <v>0</v>
      </c>
      <c r="AG264" s="54">
        <v>0</v>
      </c>
      <c r="AH264" s="6">
        <v>0</v>
      </c>
      <c r="AI264" s="6">
        <v>0</v>
      </c>
      <c r="AJ264" s="53">
        <v>6</v>
      </c>
      <c r="AK264" s="55">
        <v>0</v>
      </c>
      <c r="AL264" s="56">
        <v>0</v>
      </c>
      <c r="AM264" s="56">
        <v>0</v>
      </c>
      <c r="AN264" s="57">
        <v>0</v>
      </c>
      <c r="AO264" s="56">
        <v>0</v>
      </c>
      <c r="AP264" s="53">
        <v>0</v>
      </c>
      <c r="AQ264" s="6">
        <v>0</v>
      </c>
      <c r="AR264" s="53">
        <v>0</v>
      </c>
      <c r="AS264" s="55">
        <v>0</v>
      </c>
      <c r="AT264" s="6">
        <v>0</v>
      </c>
      <c r="AU264" s="6">
        <v>0</v>
      </c>
      <c r="AV264" s="6">
        <v>0</v>
      </c>
      <c r="AW264" s="53">
        <v>0</v>
      </c>
      <c r="AX264" s="6">
        <v>0</v>
      </c>
      <c r="AY264" s="6">
        <v>0</v>
      </c>
      <c r="AZ264" s="53">
        <v>0</v>
      </c>
      <c r="BA264" s="6">
        <v>0</v>
      </c>
      <c r="BB264" s="6">
        <v>0</v>
      </c>
      <c r="BC264" s="53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53">
        <v>0</v>
      </c>
      <c r="BL264" s="53">
        <v>0</v>
      </c>
      <c r="BM264" s="53">
        <v>0</v>
      </c>
      <c r="BN264" s="53">
        <v>0</v>
      </c>
      <c r="BO264" s="53">
        <v>0</v>
      </c>
      <c r="BP264" s="6">
        <v>0</v>
      </c>
      <c r="BQ264" s="6">
        <v>0</v>
      </c>
      <c r="BR264" s="53">
        <v>0</v>
      </c>
      <c r="BS264" s="58">
        <v>0</v>
      </c>
      <c r="BT264" s="6">
        <v>0</v>
      </c>
      <c r="BU264" s="53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59">
        <v>0</v>
      </c>
      <c r="CG264" s="67">
        <f t="shared" si="34"/>
        <v>6</v>
      </c>
      <c r="CH264" s="69">
        <f t="shared" si="35"/>
        <v>1</v>
      </c>
      <c r="CI264" s="30">
        <f t="shared" si="36"/>
        <v>0</v>
      </c>
      <c r="CJ264" s="30">
        <f t="shared" si="37"/>
        <v>6</v>
      </c>
      <c r="CK264" s="30">
        <f t="shared" si="38"/>
        <v>0</v>
      </c>
      <c r="CL264" s="67">
        <f t="shared" si="39"/>
        <v>1</v>
      </c>
      <c r="CM264" s="30">
        <v>6</v>
      </c>
      <c r="CN264" s="30">
        <v>0</v>
      </c>
      <c r="CO264" s="30">
        <v>0</v>
      </c>
      <c r="CP264" s="30">
        <v>0</v>
      </c>
      <c r="CQ264" s="67">
        <v>1</v>
      </c>
    </row>
    <row r="265" spans="1:95" x14ac:dyDescent="0.3">
      <c r="A265" s="11">
        <v>376</v>
      </c>
      <c r="B265" s="11" t="s">
        <v>2</v>
      </c>
      <c r="C265" s="11" t="s">
        <v>1</v>
      </c>
      <c r="D265" s="11" t="s">
        <v>5</v>
      </c>
      <c r="E265" s="11">
        <v>2</v>
      </c>
      <c r="F265" s="11" t="s">
        <v>6</v>
      </c>
      <c r="G265" s="11">
        <v>6.94</v>
      </c>
      <c r="H265" s="11">
        <v>18</v>
      </c>
      <c r="I265" s="11">
        <v>9.9740000000000002</v>
      </c>
      <c r="J265" s="11">
        <v>3.577</v>
      </c>
      <c r="K265" s="11">
        <v>64.13675556446762</v>
      </c>
      <c r="L265" s="11">
        <v>48.458213256484157</v>
      </c>
      <c r="M265" s="12">
        <f t="shared" si="33"/>
        <v>3.5531490721379972</v>
      </c>
      <c r="N265" s="11">
        <v>46.52</v>
      </c>
      <c r="O265" s="11">
        <v>1.357</v>
      </c>
      <c r="P265" s="11">
        <v>8.4830000000000005</v>
      </c>
      <c r="Q265" s="11">
        <v>0.29099999999999998</v>
      </c>
      <c r="R265" s="11">
        <v>0.23762</v>
      </c>
      <c r="S265" s="6">
        <v>0</v>
      </c>
      <c r="T265" s="6">
        <v>1</v>
      </c>
      <c r="U265" s="6">
        <v>0</v>
      </c>
      <c r="V265" s="6">
        <v>2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53">
        <v>0</v>
      </c>
      <c r="AG265" s="54">
        <v>1</v>
      </c>
      <c r="AH265" s="6">
        <v>0</v>
      </c>
      <c r="AI265" s="6">
        <v>0</v>
      </c>
      <c r="AJ265" s="53">
        <v>0</v>
      </c>
      <c r="AK265" s="55">
        <v>0</v>
      </c>
      <c r="AL265" s="56">
        <v>0</v>
      </c>
      <c r="AM265" s="56">
        <v>0</v>
      </c>
      <c r="AN265" s="57">
        <v>0</v>
      </c>
      <c r="AO265" s="56">
        <v>0</v>
      </c>
      <c r="AP265" s="53">
        <v>0</v>
      </c>
      <c r="AQ265" s="6">
        <v>2</v>
      </c>
      <c r="AR265" s="53">
        <v>0</v>
      </c>
      <c r="AS265" s="55">
        <v>0</v>
      </c>
      <c r="AT265" s="6">
        <v>0</v>
      </c>
      <c r="AU265" s="6">
        <v>0</v>
      </c>
      <c r="AV265" s="6">
        <v>0</v>
      </c>
      <c r="AW265" s="53">
        <v>0</v>
      </c>
      <c r="AX265" s="6">
        <v>0</v>
      </c>
      <c r="AY265" s="6">
        <v>0</v>
      </c>
      <c r="AZ265" s="53">
        <v>0</v>
      </c>
      <c r="BA265" s="6">
        <v>0</v>
      </c>
      <c r="BB265" s="6">
        <v>0</v>
      </c>
      <c r="BC265" s="53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53">
        <v>0</v>
      </c>
      <c r="BL265" s="53">
        <v>0</v>
      </c>
      <c r="BM265" s="53">
        <v>0</v>
      </c>
      <c r="BN265" s="53">
        <v>0</v>
      </c>
      <c r="BO265" s="53">
        <v>0</v>
      </c>
      <c r="BP265" s="6">
        <v>0</v>
      </c>
      <c r="BQ265" s="6">
        <v>0</v>
      </c>
      <c r="BR265" s="53">
        <v>0</v>
      </c>
      <c r="BS265" s="58">
        <v>0</v>
      </c>
      <c r="BT265" s="6">
        <v>0</v>
      </c>
      <c r="BU265" s="53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59">
        <v>0</v>
      </c>
      <c r="CG265" s="67">
        <f t="shared" si="34"/>
        <v>6</v>
      </c>
      <c r="CH265" s="69">
        <f t="shared" si="35"/>
        <v>4</v>
      </c>
      <c r="CI265" s="30">
        <f t="shared" si="36"/>
        <v>0</v>
      </c>
      <c r="CJ265" s="30">
        <f t="shared" si="37"/>
        <v>6</v>
      </c>
      <c r="CK265" s="30">
        <f t="shared" si="38"/>
        <v>0</v>
      </c>
      <c r="CL265" s="67">
        <f t="shared" si="39"/>
        <v>1</v>
      </c>
      <c r="CM265" s="30">
        <v>6</v>
      </c>
      <c r="CN265" s="30">
        <v>0</v>
      </c>
      <c r="CO265" s="30">
        <v>0</v>
      </c>
      <c r="CP265" s="30">
        <v>0</v>
      </c>
      <c r="CQ265" s="67">
        <v>1</v>
      </c>
    </row>
    <row r="266" spans="1:95" x14ac:dyDescent="0.3">
      <c r="A266" s="11">
        <v>377</v>
      </c>
      <c r="B266" s="11" t="s">
        <v>2</v>
      </c>
      <c r="C266" s="11" t="s">
        <v>14</v>
      </c>
      <c r="D266" s="11" t="s">
        <v>5</v>
      </c>
      <c r="E266" s="11">
        <v>1</v>
      </c>
      <c r="F266" s="11" t="s">
        <v>6</v>
      </c>
      <c r="G266" s="11">
        <v>7.01</v>
      </c>
      <c r="H266" s="11">
        <v>18</v>
      </c>
      <c r="I266" s="11">
        <v>6.3360000000000003</v>
      </c>
      <c r="J266" s="11">
        <v>2.6859999999999999</v>
      </c>
      <c r="K266" s="11">
        <v>57.607323232323239</v>
      </c>
      <c r="L266" s="11">
        <v>61.683309557774614</v>
      </c>
      <c r="M266" s="12">
        <f t="shared" si="33"/>
        <v>3.8496563608416174</v>
      </c>
      <c r="N266" s="11">
        <v>46.96</v>
      </c>
      <c r="O266" s="11">
        <v>1.4430000000000001</v>
      </c>
      <c r="P266" s="11">
        <v>9.0169999999999995</v>
      </c>
      <c r="Q266" s="11">
        <v>0.317</v>
      </c>
      <c r="R266" s="11">
        <v>0.28361999999999998</v>
      </c>
      <c r="S266" s="6">
        <v>1</v>
      </c>
      <c r="T266" s="6">
        <v>1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53">
        <v>0</v>
      </c>
      <c r="AG266" s="54">
        <v>6</v>
      </c>
      <c r="AH266" s="6">
        <v>0</v>
      </c>
      <c r="AI266" s="6">
        <v>0</v>
      </c>
      <c r="AJ266" s="53">
        <v>0</v>
      </c>
      <c r="AK266" s="55">
        <v>0</v>
      </c>
      <c r="AL266" s="56">
        <v>0</v>
      </c>
      <c r="AM266" s="56">
        <v>0</v>
      </c>
      <c r="AN266" s="57">
        <v>0</v>
      </c>
      <c r="AO266" s="56">
        <v>0</v>
      </c>
      <c r="AP266" s="53">
        <v>0</v>
      </c>
      <c r="AQ266" s="6">
        <v>0</v>
      </c>
      <c r="AR266" s="53">
        <v>0</v>
      </c>
      <c r="AS266" s="55">
        <v>0</v>
      </c>
      <c r="AT266" s="6">
        <v>0</v>
      </c>
      <c r="AU266" s="6">
        <v>0</v>
      </c>
      <c r="AV266" s="6">
        <v>0</v>
      </c>
      <c r="AW266" s="53">
        <v>0</v>
      </c>
      <c r="AX266" s="6">
        <v>0</v>
      </c>
      <c r="AY266" s="6">
        <v>0</v>
      </c>
      <c r="AZ266" s="53">
        <v>0</v>
      </c>
      <c r="BA266" s="6">
        <v>0</v>
      </c>
      <c r="BB266" s="6">
        <v>0</v>
      </c>
      <c r="BC266" s="53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53">
        <v>0</v>
      </c>
      <c r="BL266" s="53">
        <v>0</v>
      </c>
      <c r="BM266" s="53">
        <v>0</v>
      </c>
      <c r="BN266" s="53">
        <v>0</v>
      </c>
      <c r="BO266" s="53">
        <v>0</v>
      </c>
      <c r="BP266" s="6">
        <v>0</v>
      </c>
      <c r="BQ266" s="6">
        <v>0</v>
      </c>
      <c r="BR266" s="53">
        <v>0</v>
      </c>
      <c r="BS266" s="58">
        <v>0</v>
      </c>
      <c r="BT266" s="6">
        <v>0</v>
      </c>
      <c r="BU266" s="53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59">
        <v>0</v>
      </c>
      <c r="CG266" s="67">
        <f t="shared" si="34"/>
        <v>8</v>
      </c>
      <c r="CH266" s="69">
        <f t="shared" si="35"/>
        <v>3</v>
      </c>
      <c r="CI266" s="30">
        <f t="shared" si="36"/>
        <v>0</v>
      </c>
      <c r="CJ266" s="30">
        <f t="shared" si="37"/>
        <v>8</v>
      </c>
      <c r="CK266" s="30">
        <f t="shared" si="38"/>
        <v>0</v>
      </c>
      <c r="CL266" s="67">
        <f t="shared" si="39"/>
        <v>1</v>
      </c>
      <c r="CM266" s="30">
        <v>8</v>
      </c>
      <c r="CN266" s="30">
        <v>0</v>
      </c>
      <c r="CO266" s="30">
        <v>0</v>
      </c>
      <c r="CP266" s="30">
        <v>0</v>
      </c>
      <c r="CQ266" s="67">
        <v>1</v>
      </c>
    </row>
    <row r="267" spans="1:95" x14ac:dyDescent="0.3">
      <c r="A267" s="11">
        <v>380</v>
      </c>
      <c r="B267" s="11" t="s">
        <v>2</v>
      </c>
      <c r="C267" s="11" t="s">
        <v>1</v>
      </c>
      <c r="D267" s="11" t="s">
        <v>5</v>
      </c>
      <c r="E267" s="11">
        <v>3</v>
      </c>
      <c r="F267" s="11" t="s">
        <v>6</v>
      </c>
      <c r="G267" s="11">
        <v>6.99</v>
      </c>
      <c r="H267" s="11">
        <v>18</v>
      </c>
      <c r="I267" s="11">
        <v>5.4809999999999999</v>
      </c>
      <c r="J267" s="11">
        <v>2.5950000000000002</v>
      </c>
      <c r="K267" s="11">
        <v>52.65462506841817</v>
      </c>
      <c r="L267" s="11">
        <v>62.875536480686691</v>
      </c>
      <c r="M267" s="12">
        <f t="shared" si="33"/>
        <v>3.8812657975240317</v>
      </c>
      <c r="N267" s="11">
        <v>45.82</v>
      </c>
      <c r="O267" s="11">
        <v>1.3839999999999999</v>
      </c>
      <c r="P267" s="11">
        <v>8.6479999999999997</v>
      </c>
      <c r="Q267" s="11">
        <v>0.26400000000000001</v>
      </c>
      <c r="R267" s="11">
        <v>0.19362000000000001</v>
      </c>
      <c r="S267" s="6">
        <v>1</v>
      </c>
      <c r="T267" s="6">
        <v>2</v>
      </c>
      <c r="U267" s="6">
        <v>0</v>
      </c>
      <c r="V267" s="6">
        <v>2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53">
        <v>0</v>
      </c>
      <c r="AG267" s="54">
        <v>1</v>
      </c>
      <c r="AH267" s="6">
        <v>1</v>
      </c>
      <c r="AI267" s="6">
        <v>0</v>
      </c>
      <c r="AJ267" s="53">
        <v>0</v>
      </c>
      <c r="AK267" s="55">
        <v>0</v>
      </c>
      <c r="AL267" s="56">
        <v>0</v>
      </c>
      <c r="AM267" s="56">
        <v>0</v>
      </c>
      <c r="AN267" s="57">
        <v>0</v>
      </c>
      <c r="AO267" s="56">
        <v>0</v>
      </c>
      <c r="AP267" s="53">
        <v>0</v>
      </c>
      <c r="AQ267" s="6">
        <v>0</v>
      </c>
      <c r="AR267" s="53">
        <v>0</v>
      </c>
      <c r="AS267" s="55">
        <v>0</v>
      </c>
      <c r="AT267" s="6">
        <v>0</v>
      </c>
      <c r="AU267" s="6">
        <v>0</v>
      </c>
      <c r="AV267" s="6">
        <v>0</v>
      </c>
      <c r="AW267" s="53">
        <v>0</v>
      </c>
      <c r="AX267" s="6">
        <v>0</v>
      </c>
      <c r="AY267" s="6">
        <v>0</v>
      </c>
      <c r="AZ267" s="53">
        <v>0</v>
      </c>
      <c r="BA267" s="6">
        <v>0</v>
      </c>
      <c r="BB267" s="6">
        <v>0</v>
      </c>
      <c r="BC267" s="53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53">
        <v>0</v>
      </c>
      <c r="BL267" s="53">
        <v>0</v>
      </c>
      <c r="BM267" s="53">
        <v>0</v>
      </c>
      <c r="BN267" s="53">
        <v>0</v>
      </c>
      <c r="BO267" s="53">
        <v>0</v>
      </c>
      <c r="BP267" s="6">
        <v>0</v>
      </c>
      <c r="BQ267" s="6">
        <v>0</v>
      </c>
      <c r="BR267" s="53">
        <v>0</v>
      </c>
      <c r="BS267" s="58">
        <v>0</v>
      </c>
      <c r="BT267" s="6">
        <v>0</v>
      </c>
      <c r="BU267" s="53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59">
        <v>0</v>
      </c>
      <c r="CG267" s="67">
        <f t="shared" si="34"/>
        <v>7</v>
      </c>
      <c r="CH267" s="69">
        <f t="shared" si="35"/>
        <v>5</v>
      </c>
      <c r="CI267" s="30">
        <f t="shared" si="36"/>
        <v>0</v>
      </c>
      <c r="CJ267" s="30">
        <f t="shared" si="37"/>
        <v>7</v>
      </c>
      <c r="CK267" s="30">
        <f t="shared" si="38"/>
        <v>0</v>
      </c>
      <c r="CL267" s="67">
        <f t="shared" si="39"/>
        <v>1</v>
      </c>
      <c r="CM267" s="30">
        <v>7</v>
      </c>
      <c r="CN267" s="30">
        <v>0</v>
      </c>
      <c r="CO267" s="30">
        <v>0</v>
      </c>
      <c r="CP267" s="30">
        <v>0</v>
      </c>
      <c r="CQ267" s="67">
        <v>1</v>
      </c>
    </row>
    <row r="268" spans="1:95" x14ac:dyDescent="0.3">
      <c r="A268" s="11">
        <v>388</v>
      </c>
      <c r="B268" s="11" t="s">
        <v>2</v>
      </c>
      <c r="C268" s="11" t="s">
        <v>1</v>
      </c>
      <c r="D268" s="11" t="s">
        <v>5</v>
      </c>
      <c r="E268" s="11">
        <v>1</v>
      </c>
      <c r="F268" s="11" t="s">
        <v>6</v>
      </c>
      <c r="G268" s="11">
        <v>6.98</v>
      </c>
      <c r="H268" s="11">
        <v>18</v>
      </c>
      <c r="I268" s="11">
        <v>11.471</v>
      </c>
      <c r="J268" s="11">
        <v>1.3240000000000001</v>
      </c>
      <c r="K268" s="11">
        <v>88.45785023101736</v>
      </c>
      <c r="L268" s="11">
        <v>81.031518624641848</v>
      </c>
      <c r="M268" s="12">
        <f t="shared" si="33"/>
        <v>4.5527632171556291</v>
      </c>
      <c r="N268" s="11">
        <v>46.15</v>
      </c>
      <c r="O268" s="11">
        <v>1.173</v>
      </c>
      <c r="P268" s="11">
        <v>7.3339999999999996</v>
      </c>
      <c r="Q268" s="11">
        <v>0.23899999999999999</v>
      </c>
      <c r="R268" s="11">
        <v>0.29899999999999999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53">
        <v>0</v>
      </c>
      <c r="AG268" s="54">
        <v>0</v>
      </c>
      <c r="AH268" s="6">
        <v>0</v>
      </c>
      <c r="AI268" s="6">
        <v>0</v>
      </c>
      <c r="AJ268" s="53">
        <v>1</v>
      </c>
      <c r="AK268" s="55">
        <v>0</v>
      </c>
      <c r="AL268" s="56">
        <v>0</v>
      </c>
      <c r="AM268" s="56">
        <v>0</v>
      </c>
      <c r="AN268" s="57">
        <v>0</v>
      </c>
      <c r="AO268" s="56">
        <v>0</v>
      </c>
      <c r="AP268" s="53">
        <v>0</v>
      </c>
      <c r="AQ268" s="6">
        <v>0</v>
      </c>
      <c r="AR268" s="53">
        <v>1</v>
      </c>
      <c r="AS268" s="55">
        <v>0</v>
      </c>
      <c r="AT268" s="6">
        <v>0</v>
      </c>
      <c r="AU268" s="6">
        <v>0</v>
      </c>
      <c r="AV268" s="6">
        <v>0</v>
      </c>
      <c r="AW268" s="53">
        <v>0</v>
      </c>
      <c r="AX268" s="6">
        <v>0</v>
      </c>
      <c r="AY268" s="6">
        <v>0</v>
      </c>
      <c r="AZ268" s="53">
        <v>0</v>
      </c>
      <c r="BA268" s="6">
        <v>0</v>
      </c>
      <c r="BB268" s="6">
        <v>0</v>
      </c>
      <c r="BC268" s="53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53">
        <v>0</v>
      </c>
      <c r="BL268" s="53">
        <v>0</v>
      </c>
      <c r="BM268" s="53">
        <v>0</v>
      </c>
      <c r="BN268" s="53">
        <v>0</v>
      </c>
      <c r="BO268" s="53">
        <v>0</v>
      </c>
      <c r="BP268" s="6">
        <v>0</v>
      </c>
      <c r="BQ268" s="6">
        <v>0</v>
      </c>
      <c r="BR268" s="53">
        <v>0</v>
      </c>
      <c r="BS268" s="58">
        <v>0</v>
      </c>
      <c r="BT268" s="6">
        <v>0</v>
      </c>
      <c r="BU268" s="53">
        <v>2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59">
        <v>0</v>
      </c>
      <c r="CG268" s="67">
        <f t="shared" si="34"/>
        <v>4</v>
      </c>
      <c r="CH268" s="69">
        <f t="shared" si="35"/>
        <v>3</v>
      </c>
      <c r="CI268" s="30">
        <f t="shared" si="36"/>
        <v>0</v>
      </c>
      <c r="CJ268" s="30">
        <f t="shared" si="37"/>
        <v>2</v>
      </c>
      <c r="CK268" s="30">
        <f t="shared" si="38"/>
        <v>2</v>
      </c>
      <c r="CL268" s="67">
        <f t="shared" si="39"/>
        <v>2</v>
      </c>
      <c r="CM268" s="30">
        <v>4</v>
      </c>
      <c r="CN268" s="30">
        <v>0</v>
      </c>
      <c r="CO268" s="30">
        <v>0</v>
      </c>
      <c r="CP268" s="30">
        <v>0</v>
      </c>
      <c r="CQ268" s="67">
        <v>1</v>
      </c>
    </row>
    <row r="269" spans="1:95" x14ac:dyDescent="0.3">
      <c r="A269" s="11">
        <v>400</v>
      </c>
      <c r="B269" s="11" t="s">
        <v>2</v>
      </c>
      <c r="C269" s="11" t="s">
        <v>14</v>
      </c>
      <c r="D269" s="11" t="s">
        <v>5</v>
      </c>
      <c r="E269" s="11">
        <v>3</v>
      </c>
      <c r="F269" s="11" t="s">
        <v>6</v>
      </c>
      <c r="G269" s="11">
        <v>6.91</v>
      </c>
      <c r="H269" s="11">
        <v>18</v>
      </c>
      <c r="I269" s="11">
        <v>10.029</v>
      </c>
      <c r="J269" s="11">
        <v>2.448</v>
      </c>
      <c r="K269" s="11">
        <v>75.590786718516298</v>
      </c>
      <c r="L269" s="11">
        <v>64.573082489146159</v>
      </c>
      <c r="M269" s="12">
        <f t="shared" si="33"/>
        <v>3.9280700310256633</v>
      </c>
      <c r="N269" s="11">
        <v>46.1</v>
      </c>
      <c r="O269" s="11">
        <v>1.4610000000000001</v>
      </c>
      <c r="P269" s="11">
        <v>9.1310000000000002</v>
      </c>
      <c r="Q269" s="11">
        <v>0.309</v>
      </c>
      <c r="R269" s="11">
        <v>0.26862000000000003</v>
      </c>
      <c r="S269" s="6">
        <v>1</v>
      </c>
      <c r="T269" s="6">
        <v>0</v>
      </c>
      <c r="U269" s="6">
        <v>0</v>
      </c>
      <c r="V269" s="6">
        <v>1</v>
      </c>
      <c r="W269" s="6">
        <v>0</v>
      </c>
      <c r="X269" s="6">
        <v>1</v>
      </c>
      <c r="Y269" s="6">
        <v>0</v>
      </c>
      <c r="Z269" s="6">
        <v>0</v>
      </c>
      <c r="AA269" s="6">
        <v>1</v>
      </c>
      <c r="AB269" s="6">
        <v>0</v>
      </c>
      <c r="AC269" s="6">
        <v>0</v>
      </c>
      <c r="AD269" s="6">
        <v>0</v>
      </c>
      <c r="AE269" s="6">
        <v>0</v>
      </c>
      <c r="AF269" s="53">
        <v>0</v>
      </c>
      <c r="AG269" s="54">
        <v>32</v>
      </c>
      <c r="AH269" s="6">
        <v>1</v>
      </c>
      <c r="AI269" s="6">
        <v>0</v>
      </c>
      <c r="AJ269" s="53">
        <v>0</v>
      </c>
      <c r="AK269" s="55">
        <v>0</v>
      </c>
      <c r="AL269" s="56">
        <v>0</v>
      </c>
      <c r="AM269" s="56">
        <v>0</v>
      </c>
      <c r="AN269" s="57">
        <v>0</v>
      </c>
      <c r="AO269" s="56">
        <v>0</v>
      </c>
      <c r="AP269" s="53">
        <v>0</v>
      </c>
      <c r="AQ269" s="6">
        <v>0</v>
      </c>
      <c r="AR269" s="53">
        <v>0</v>
      </c>
      <c r="AS269" s="55">
        <v>0</v>
      </c>
      <c r="AT269" s="6">
        <v>0</v>
      </c>
      <c r="AU269" s="6">
        <v>0</v>
      </c>
      <c r="AV269" s="6">
        <v>0</v>
      </c>
      <c r="AW269" s="53">
        <v>0</v>
      </c>
      <c r="AX269" s="6">
        <v>0</v>
      </c>
      <c r="AY269" s="6">
        <v>0</v>
      </c>
      <c r="AZ269" s="53">
        <v>0</v>
      </c>
      <c r="BA269" s="6">
        <v>0</v>
      </c>
      <c r="BB269" s="6">
        <v>0</v>
      </c>
      <c r="BC269" s="53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53">
        <v>0</v>
      </c>
      <c r="BL269" s="53">
        <v>0</v>
      </c>
      <c r="BM269" s="53">
        <v>0</v>
      </c>
      <c r="BN269" s="53">
        <v>0</v>
      </c>
      <c r="BO269" s="53">
        <v>0</v>
      </c>
      <c r="BP269" s="6">
        <v>0</v>
      </c>
      <c r="BQ269" s="6">
        <v>0</v>
      </c>
      <c r="BR269" s="53">
        <v>0</v>
      </c>
      <c r="BS269" s="58">
        <v>0</v>
      </c>
      <c r="BT269" s="6">
        <v>0</v>
      </c>
      <c r="BU269" s="53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59">
        <v>0</v>
      </c>
      <c r="CG269" s="67">
        <f t="shared" si="34"/>
        <v>37</v>
      </c>
      <c r="CH269" s="69">
        <f t="shared" si="35"/>
        <v>6</v>
      </c>
      <c r="CI269" s="30">
        <f t="shared" si="36"/>
        <v>0</v>
      </c>
      <c r="CJ269" s="30">
        <f t="shared" si="37"/>
        <v>37</v>
      </c>
      <c r="CK269" s="30">
        <f t="shared" si="38"/>
        <v>0</v>
      </c>
      <c r="CL269" s="67">
        <f t="shared" si="39"/>
        <v>1</v>
      </c>
      <c r="CM269" s="30">
        <v>37</v>
      </c>
      <c r="CN269" s="30">
        <v>0</v>
      </c>
      <c r="CO269" s="30">
        <v>0</v>
      </c>
      <c r="CP269" s="30">
        <v>0</v>
      </c>
      <c r="CQ269" s="67">
        <v>1</v>
      </c>
    </row>
    <row r="270" spans="1:95" x14ac:dyDescent="0.3">
      <c r="A270" s="11">
        <v>406</v>
      </c>
      <c r="B270" s="11" t="s">
        <v>2</v>
      </c>
      <c r="C270" s="11" t="s">
        <v>14</v>
      </c>
      <c r="D270" s="11" t="s">
        <v>5</v>
      </c>
      <c r="E270" s="11">
        <v>4</v>
      </c>
      <c r="F270" s="11" t="s">
        <v>6</v>
      </c>
      <c r="G270" s="11">
        <v>6.97</v>
      </c>
      <c r="H270" s="11">
        <v>18</v>
      </c>
      <c r="I270" s="11">
        <v>8.3879999999999999</v>
      </c>
      <c r="J270" s="11">
        <v>2.036</v>
      </c>
      <c r="K270" s="11">
        <v>75.727229375298037</v>
      </c>
      <c r="L270" s="11">
        <v>70.789096126255373</v>
      </c>
      <c r="M270" s="12">
        <f t="shared" si="33"/>
        <v>4.1209998839803212</v>
      </c>
      <c r="N270" s="11">
        <v>45.98</v>
      </c>
      <c r="O270" s="11">
        <v>1.512</v>
      </c>
      <c r="P270" s="11">
        <v>9.4480000000000004</v>
      </c>
      <c r="Q270" s="11">
        <v>0.32400000000000001</v>
      </c>
      <c r="R270" s="11">
        <v>0.40062000000000003</v>
      </c>
      <c r="S270" s="6">
        <v>1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1</v>
      </c>
      <c r="AC270" s="6">
        <v>0</v>
      </c>
      <c r="AD270" s="6">
        <v>1</v>
      </c>
      <c r="AE270" s="6">
        <v>1</v>
      </c>
      <c r="AF270" s="53">
        <v>0</v>
      </c>
      <c r="AG270" s="54">
        <v>15</v>
      </c>
      <c r="AH270" s="6">
        <v>0</v>
      </c>
      <c r="AI270" s="6">
        <v>0</v>
      </c>
      <c r="AJ270" s="53">
        <v>0</v>
      </c>
      <c r="AK270" s="55">
        <v>0</v>
      </c>
      <c r="AL270" s="56">
        <v>0</v>
      </c>
      <c r="AM270" s="56">
        <v>0</v>
      </c>
      <c r="AN270" s="57">
        <v>0</v>
      </c>
      <c r="AO270" s="56">
        <v>0</v>
      </c>
      <c r="AP270" s="53">
        <v>0</v>
      </c>
      <c r="AQ270" s="6">
        <v>1</v>
      </c>
      <c r="AR270" s="53">
        <v>0</v>
      </c>
      <c r="AS270" s="55">
        <v>0</v>
      </c>
      <c r="AT270" s="6">
        <v>0</v>
      </c>
      <c r="AU270" s="6">
        <v>0</v>
      </c>
      <c r="AV270" s="6">
        <v>0</v>
      </c>
      <c r="AW270" s="53">
        <v>0</v>
      </c>
      <c r="AX270" s="6">
        <v>0</v>
      </c>
      <c r="AY270" s="6">
        <v>0</v>
      </c>
      <c r="AZ270" s="53">
        <v>0</v>
      </c>
      <c r="BA270" s="6">
        <v>0</v>
      </c>
      <c r="BB270" s="6">
        <v>0</v>
      </c>
      <c r="BC270" s="53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53">
        <v>0</v>
      </c>
      <c r="BL270" s="53">
        <v>0</v>
      </c>
      <c r="BM270" s="53">
        <v>0</v>
      </c>
      <c r="BN270" s="53">
        <v>0</v>
      </c>
      <c r="BO270" s="53">
        <v>0</v>
      </c>
      <c r="BP270" s="6">
        <v>0</v>
      </c>
      <c r="BQ270" s="6">
        <v>0</v>
      </c>
      <c r="BR270" s="53">
        <v>0</v>
      </c>
      <c r="BS270" s="58">
        <v>0</v>
      </c>
      <c r="BT270" s="6">
        <v>0</v>
      </c>
      <c r="BU270" s="53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59">
        <v>0</v>
      </c>
      <c r="CG270" s="67">
        <f t="shared" si="34"/>
        <v>20</v>
      </c>
      <c r="CH270" s="69">
        <f t="shared" si="35"/>
        <v>6</v>
      </c>
      <c r="CI270" s="30">
        <f t="shared" si="36"/>
        <v>0</v>
      </c>
      <c r="CJ270" s="30">
        <f t="shared" si="37"/>
        <v>20</v>
      </c>
      <c r="CK270" s="30">
        <f t="shared" si="38"/>
        <v>0</v>
      </c>
      <c r="CL270" s="67">
        <f t="shared" si="39"/>
        <v>1</v>
      </c>
      <c r="CM270" s="30">
        <v>19</v>
      </c>
      <c r="CN270" s="30">
        <v>0</v>
      </c>
      <c r="CO270" s="30">
        <v>0</v>
      </c>
      <c r="CP270" s="30">
        <v>1</v>
      </c>
      <c r="CQ270" s="67">
        <v>1</v>
      </c>
    </row>
    <row r="271" spans="1:95" x14ac:dyDescent="0.3">
      <c r="A271" s="11">
        <v>409</v>
      </c>
      <c r="B271" s="11" t="s">
        <v>2</v>
      </c>
      <c r="C271" s="11" t="s">
        <v>14</v>
      </c>
      <c r="D271" s="11" t="s">
        <v>5</v>
      </c>
      <c r="E271" s="11">
        <v>2</v>
      </c>
      <c r="F271" s="11" t="s">
        <v>6</v>
      </c>
      <c r="G271" s="11">
        <v>6.93</v>
      </c>
      <c r="H271" s="11">
        <v>18</v>
      </c>
      <c r="I271" s="11">
        <v>6.2649999999999997</v>
      </c>
      <c r="J271" s="11">
        <v>1.863</v>
      </c>
      <c r="K271" s="11">
        <v>70.263367916999201</v>
      </c>
      <c r="L271" s="11">
        <v>73.11688311688313</v>
      </c>
      <c r="M271" s="12">
        <f t="shared" si="33"/>
        <v>4.2040434794785249</v>
      </c>
      <c r="N271" s="11">
        <v>45.92</v>
      </c>
      <c r="O271" s="11">
        <v>1.5009999999999999</v>
      </c>
      <c r="P271" s="11">
        <v>9.3810000000000002</v>
      </c>
      <c r="Q271" s="11">
        <v>0.26100000000000001</v>
      </c>
      <c r="R271" s="11">
        <v>0.33</v>
      </c>
      <c r="S271" s="6">
        <v>2</v>
      </c>
      <c r="T271" s="6">
        <v>1</v>
      </c>
      <c r="U271" s="6">
        <v>0</v>
      </c>
      <c r="V271" s="6">
        <v>1</v>
      </c>
      <c r="W271" s="6">
        <v>0</v>
      </c>
      <c r="X271" s="6">
        <v>1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53">
        <v>0</v>
      </c>
      <c r="AG271" s="54">
        <v>2</v>
      </c>
      <c r="AH271" s="6">
        <v>0</v>
      </c>
      <c r="AI271" s="6">
        <v>0</v>
      </c>
      <c r="AJ271" s="53">
        <v>0</v>
      </c>
      <c r="AK271" s="55">
        <v>0</v>
      </c>
      <c r="AL271" s="56">
        <v>0</v>
      </c>
      <c r="AM271" s="56">
        <v>0</v>
      </c>
      <c r="AN271" s="57">
        <v>0</v>
      </c>
      <c r="AO271" s="56">
        <v>0</v>
      </c>
      <c r="AP271" s="53">
        <v>0</v>
      </c>
      <c r="AQ271" s="6">
        <v>0</v>
      </c>
      <c r="AR271" s="53">
        <v>0</v>
      </c>
      <c r="AS271" s="55">
        <v>0</v>
      </c>
      <c r="AT271" s="6">
        <v>0</v>
      </c>
      <c r="AU271" s="6">
        <v>0</v>
      </c>
      <c r="AV271" s="6">
        <v>0</v>
      </c>
      <c r="AW271" s="53">
        <v>1</v>
      </c>
      <c r="AX271" s="6">
        <v>0</v>
      </c>
      <c r="AY271" s="6">
        <v>0</v>
      </c>
      <c r="AZ271" s="53">
        <v>0</v>
      </c>
      <c r="BA271" s="6">
        <v>0</v>
      </c>
      <c r="BB271" s="6">
        <v>0</v>
      </c>
      <c r="BC271" s="53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53">
        <v>0</v>
      </c>
      <c r="BL271" s="53">
        <v>0</v>
      </c>
      <c r="BM271" s="53">
        <v>0</v>
      </c>
      <c r="BN271" s="53">
        <v>0</v>
      </c>
      <c r="BO271" s="53">
        <v>0</v>
      </c>
      <c r="BP271" s="6">
        <v>0</v>
      </c>
      <c r="BQ271" s="6">
        <v>0</v>
      </c>
      <c r="BR271" s="53">
        <v>0</v>
      </c>
      <c r="BS271" s="58">
        <v>0</v>
      </c>
      <c r="BT271" s="6">
        <v>0</v>
      </c>
      <c r="BU271" s="53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59">
        <v>0</v>
      </c>
      <c r="CG271" s="67">
        <f t="shared" si="34"/>
        <v>8</v>
      </c>
      <c r="CH271" s="69">
        <f t="shared" si="35"/>
        <v>6</v>
      </c>
      <c r="CI271" s="30">
        <f t="shared" si="36"/>
        <v>0</v>
      </c>
      <c r="CJ271" s="30">
        <f t="shared" si="37"/>
        <v>7</v>
      </c>
      <c r="CK271" s="30">
        <f t="shared" si="38"/>
        <v>1</v>
      </c>
      <c r="CL271" s="67">
        <f t="shared" si="39"/>
        <v>2</v>
      </c>
      <c r="CM271" s="30">
        <v>8</v>
      </c>
      <c r="CN271" s="30">
        <v>0</v>
      </c>
      <c r="CO271" s="30">
        <v>0</v>
      </c>
      <c r="CP271" s="30">
        <v>0</v>
      </c>
      <c r="CQ271" s="67">
        <v>1</v>
      </c>
    </row>
    <row r="272" spans="1:95" x14ac:dyDescent="0.3">
      <c r="A272" s="11">
        <v>410</v>
      </c>
      <c r="B272" s="11" t="s">
        <v>2</v>
      </c>
      <c r="C272" s="11" t="s">
        <v>1</v>
      </c>
      <c r="D272" s="11" t="s">
        <v>5</v>
      </c>
      <c r="E272" s="11">
        <v>4</v>
      </c>
      <c r="F272" s="11" t="s">
        <v>6</v>
      </c>
      <c r="G272" s="11">
        <v>6.95</v>
      </c>
      <c r="H272" s="11">
        <v>18</v>
      </c>
      <c r="I272" s="11">
        <v>4.8129999999999997</v>
      </c>
      <c r="J272" s="11">
        <v>1.3640000000000001</v>
      </c>
      <c r="K272" s="11">
        <v>71.660087263660927</v>
      </c>
      <c r="L272" s="11">
        <v>80.374100719424462</v>
      </c>
      <c r="M272" s="12">
        <f t="shared" si="33"/>
        <v>4.5186918580515956</v>
      </c>
      <c r="N272" s="11">
        <v>47.7</v>
      </c>
      <c r="O272" s="11">
        <v>1.331</v>
      </c>
      <c r="P272" s="11">
        <v>8.3209999999999997</v>
      </c>
      <c r="Q272" s="11">
        <v>0.30499999999999999</v>
      </c>
      <c r="R272" s="11">
        <v>0.13762000000000002</v>
      </c>
      <c r="S272" s="6">
        <v>2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1</v>
      </c>
      <c r="AE272" s="6">
        <v>0</v>
      </c>
      <c r="AF272" s="53">
        <v>0</v>
      </c>
      <c r="AG272" s="54">
        <v>10</v>
      </c>
      <c r="AH272" s="6">
        <v>0</v>
      </c>
      <c r="AI272" s="6">
        <v>0</v>
      </c>
      <c r="AJ272" s="53">
        <v>0</v>
      </c>
      <c r="AK272" s="55">
        <v>0</v>
      </c>
      <c r="AL272" s="56">
        <v>0</v>
      </c>
      <c r="AM272" s="56">
        <v>0</v>
      </c>
      <c r="AN272" s="57">
        <v>0</v>
      </c>
      <c r="AO272" s="56">
        <v>0</v>
      </c>
      <c r="AP272" s="53">
        <v>0</v>
      </c>
      <c r="AQ272" s="6">
        <v>4</v>
      </c>
      <c r="AR272" s="53">
        <v>0</v>
      </c>
      <c r="AS272" s="55">
        <v>0</v>
      </c>
      <c r="AT272" s="6">
        <v>0</v>
      </c>
      <c r="AU272" s="6">
        <v>0</v>
      </c>
      <c r="AV272" s="6">
        <v>0</v>
      </c>
      <c r="AW272" s="53">
        <v>0</v>
      </c>
      <c r="AX272" s="6">
        <v>0</v>
      </c>
      <c r="AY272" s="6">
        <v>0</v>
      </c>
      <c r="AZ272" s="53">
        <v>0</v>
      </c>
      <c r="BA272" s="6">
        <v>0</v>
      </c>
      <c r="BB272" s="6">
        <v>0</v>
      </c>
      <c r="BC272" s="53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1</v>
      </c>
      <c r="BI272" s="6">
        <v>0</v>
      </c>
      <c r="BJ272" s="6">
        <v>0</v>
      </c>
      <c r="BK272" s="53">
        <v>0</v>
      </c>
      <c r="BL272" s="53">
        <v>0</v>
      </c>
      <c r="BM272" s="53">
        <v>0</v>
      </c>
      <c r="BN272" s="53">
        <v>0</v>
      </c>
      <c r="BO272" s="53">
        <v>0</v>
      </c>
      <c r="BP272" s="6">
        <v>0</v>
      </c>
      <c r="BQ272" s="6">
        <v>0</v>
      </c>
      <c r="BR272" s="53">
        <v>0</v>
      </c>
      <c r="BS272" s="58">
        <v>0</v>
      </c>
      <c r="BT272" s="6">
        <v>0</v>
      </c>
      <c r="BU272" s="53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1</v>
      </c>
      <c r="CD272" s="6">
        <v>0</v>
      </c>
      <c r="CE272" s="6">
        <v>0</v>
      </c>
      <c r="CF272" s="59">
        <v>0</v>
      </c>
      <c r="CG272" s="67">
        <f t="shared" si="34"/>
        <v>19</v>
      </c>
      <c r="CH272" s="69">
        <f t="shared" si="35"/>
        <v>6</v>
      </c>
      <c r="CI272" s="30">
        <f t="shared" si="36"/>
        <v>0</v>
      </c>
      <c r="CJ272" s="30">
        <f t="shared" si="37"/>
        <v>17</v>
      </c>
      <c r="CK272" s="30">
        <f t="shared" si="38"/>
        <v>2</v>
      </c>
      <c r="CL272" s="67">
        <f t="shared" si="39"/>
        <v>2</v>
      </c>
      <c r="CM272" s="30">
        <v>17</v>
      </c>
      <c r="CN272" s="30">
        <v>0</v>
      </c>
      <c r="CO272" s="30">
        <v>0</v>
      </c>
      <c r="CP272" s="30">
        <v>2</v>
      </c>
      <c r="CQ272" s="67">
        <v>1</v>
      </c>
    </row>
    <row r="273" spans="1:95" x14ac:dyDescent="0.3">
      <c r="A273" s="11">
        <v>411</v>
      </c>
      <c r="B273" s="11" t="s">
        <v>2</v>
      </c>
      <c r="C273" s="11" t="s">
        <v>1</v>
      </c>
      <c r="D273" s="11" t="s">
        <v>5</v>
      </c>
      <c r="E273" s="11">
        <v>5</v>
      </c>
      <c r="F273" s="11" t="s">
        <v>6</v>
      </c>
      <c r="G273" s="11">
        <v>7.01</v>
      </c>
      <c r="H273" s="11">
        <v>18</v>
      </c>
      <c r="I273" s="11">
        <v>10.593999999999999</v>
      </c>
      <c r="J273" s="11">
        <v>3.1480000000000001</v>
      </c>
      <c r="K273" s="11">
        <v>70.285067019067398</v>
      </c>
      <c r="L273" s="11">
        <v>55.092724679029956</v>
      </c>
      <c r="M273" s="12">
        <f t="shared" si="33"/>
        <v>3.6909421283875066</v>
      </c>
      <c r="N273" s="11">
        <v>45.22</v>
      </c>
      <c r="O273" s="11">
        <v>1.38</v>
      </c>
      <c r="P273" s="11">
        <v>8.6229999999999993</v>
      </c>
      <c r="Q273" s="11">
        <v>0.32900000000000001</v>
      </c>
      <c r="R273" s="11">
        <v>0.12562000000000001</v>
      </c>
      <c r="S273" s="6">
        <v>0</v>
      </c>
      <c r="T273" s="6">
        <v>1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1</v>
      </c>
      <c r="AE273" s="6">
        <v>0</v>
      </c>
      <c r="AF273" s="53">
        <v>0</v>
      </c>
      <c r="AG273" s="54">
        <v>3</v>
      </c>
      <c r="AH273" s="6">
        <v>0</v>
      </c>
      <c r="AI273" s="6">
        <v>0</v>
      </c>
      <c r="AJ273" s="53">
        <v>0</v>
      </c>
      <c r="AK273" s="55">
        <v>0</v>
      </c>
      <c r="AL273" s="56">
        <v>0</v>
      </c>
      <c r="AM273" s="56">
        <v>0</v>
      </c>
      <c r="AN273" s="57">
        <v>0</v>
      </c>
      <c r="AO273" s="56">
        <v>0</v>
      </c>
      <c r="AP273" s="53">
        <v>0</v>
      </c>
      <c r="AQ273" s="6">
        <v>0</v>
      </c>
      <c r="AR273" s="53">
        <v>0</v>
      </c>
      <c r="AS273" s="55">
        <v>0</v>
      </c>
      <c r="AT273" s="6">
        <v>0</v>
      </c>
      <c r="AU273" s="6">
        <v>0</v>
      </c>
      <c r="AV273" s="6">
        <v>0</v>
      </c>
      <c r="AW273" s="53">
        <v>0</v>
      </c>
      <c r="AX273" s="6">
        <v>0</v>
      </c>
      <c r="AY273" s="6">
        <v>0</v>
      </c>
      <c r="AZ273" s="53">
        <v>0</v>
      </c>
      <c r="BA273" s="6">
        <v>0</v>
      </c>
      <c r="BB273" s="6">
        <v>0</v>
      </c>
      <c r="BC273" s="53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53">
        <v>0</v>
      </c>
      <c r="BL273" s="53">
        <v>0</v>
      </c>
      <c r="BM273" s="53">
        <v>0</v>
      </c>
      <c r="BN273" s="53">
        <v>0</v>
      </c>
      <c r="BO273" s="53">
        <v>0</v>
      </c>
      <c r="BP273" s="6">
        <v>0</v>
      </c>
      <c r="BQ273" s="6">
        <v>0</v>
      </c>
      <c r="BR273" s="53">
        <v>0</v>
      </c>
      <c r="BS273" s="58">
        <v>0</v>
      </c>
      <c r="BT273" s="6">
        <v>0</v>
      </c>
      <c r="BU273" s="53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59">
        <v>0</v>
      </c>
      <c r="CG273" s="67">
        <f t="shared" si="34"/>
        <v>5</v>
      </c>
      <c r="CH273" s="69">
        <f t="shared" si="35"/>
        <v>3</v>
      </c>
      <c r="CI273" s="30">
        <f t="shared" si="36"/>
        <v>0</v>
      </c>
      <c r="CJ273" s="30">
        <f t="shared" si="37"/>
        <v>5</v>
      </c>
      <c r="CK273" s="30">
        <f t="shared" si="38"/>
        <v>0</v>
      </c>
      <c r="CL273" s="67">
        <f t="shared" si="39"/>
        <v>1</v>
      </c>
      <c r="CM273" s="30">
        <v>4</v>
      </c>
      <c r="CN273" s="30">
        <v>0</v>
      </c>
      <c r="CO273" s="30">
        <v>0</v>
      </c>
      <c r="CP273" s="30">
        <v>1</v>
      </c>
      <c r="CQ273" s="67">
        <v>1</v>
      </c>
    </row>
    <row r="274" spans="1:95" x14ac:dyDescent="0.3">
      <c r="A274" s="11">
        <v>458</v>
      </c>
      <c r="B274" s="11" t="s">
        <v>0</v>
      </c>
      <c r="C274" s="11" t="s">
        <v>14</v>
      </c>
      <c r="D274" s="11" t="s">
        <v>5</v>
      </c>
      <c r="E274" s="11">
        <v>2</v>
      </c>
      <c r="F274" s="11" t="s">
        <v>6</v>
      </c>
      <c r="G274" s="11">
        <v>7.04</v>
      </c>
      <c r="H274" s="11">
        <v>18</v>
      </c>
      <c r="I274" s="11">
        <v>3.4689999999999999</v>
      </c>
      <c r="J274" s="11">
        <v>1.92</v>
      </c>
      <c r="K274" s="11">
        <v>44.652637647737095</v>
      </c>
      <c r="L274" s="11">
        <v>72.727272727272734</v>
      </c>
      <c r="M274" s="12">
        <f t="shared" si="33"/>
        <v>4.1896547420264261</v>
      </c>
      <c r="N274" s="11">
        <v>49.07</v>
      </c>
      <c r="O274" s="11">
        <v>1.5720000000000001</v>
      </c>
      <c r="P274" s="11">
        <v>9.8249999999999993</v>
      </c>
      <c r="Q274" s="11">
        <v>0.30099999999999999</v>
      </c>
      <c r="R274" s="11">
        <v>0.30599999999999999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53">
        <v>0</v>
      </c>
      <c r="AG274" s="54">
        <v>0</v>
      </c>
      <c r="AH274" s="6">
        <v>0</v>
      </c>
      <c r="AI274" s="6">
        <v>0</v>
      </c>
      <c r="AJ274" s="53">
        <v>0</v>
      </c>
      <c r="AK274" s="55">
        <v>0</v>
      </c>
      <c r="AL274" s="56">
        <v>0</v>
      </c>
      <c r="AM274" s="56">
        <v>0</v>
      </c>
      <c r="AN274" s="57">
        <v>0</v>
      </c>
      <c r="AO274" s="56">
        <v>0</v>
      </c>
      <c r="AP274" s="53">
        <v>0</v>
      </c>
      <c r="AQ274" s="6">
        <v>0</v>
      </c>
      <c r="AR274" s="53">
        <v>0</v>
      </c>
      <c r="AS274" s="55">
        <v>0</v>
      </c>
      <c r="AT274" s="6">
        <v>0</v>
      </c>
      <c r="AU274" s="6">
        <v>0</v>
      </c>
      <c r="AV274" s="6">
        <v>0</v>
      </c>
      <c r="AW274" s="53">
        <v>0</v>
      </c>
      <c r="AX274" s="6">
        <v>0</v>
      </c>
      <c r="AY274" s="6">
        <v>0</v>
      </c>
      <c r="AZ274" s="53">
        <v>0</v>
      </c>
      <c r="BA274" s="6">
        <v>0</v>
      </c>
      <c r="BB274" s="6">
        <v>0</v>
      </c>
      <c r="BC274" s="53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53">
        <v>0</v>
      </c>
      <c r="BL274" s="53">
        <v>0</v>
      </c>
      <c r="BM274" s="53">
        <v>0</v>
      </c>
      <c r="BN274" s="53">
        <v>0</v>
      </c>
      <c r="BO274" s="53">
        <v>0</v>
      </c>
      <c r="BP274" s="6">
        <v>0</v>
      </c>
      <c r="BQ274" s="6">
        <v>0</v>
      </c>
      <c r="BR274" s="53">
        <v>0</v>
      </c>
      <c r="BS274" s="58">
        <v>0</v>
      </c>
      <c r="BT274" s="6">
        <v>0</v>
      </c>
      <c r="BU274" s="53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59">
        <v>0</v>
      </c>
      <c r="CG274" s="67">
        <f t="shared" si="34"/>
        <v>0</v>
      </c>
      <c r="CH274" s="69">
        <f t="shared" si="35"/>
        <v>0</v>
      </c>
      <c r="CI274" s="30">
        <f t="shared" si="36"/>
        <v>0</v>
      </c>
      <c r="CJ274" s="30">
        <f t="shared" si="37"/>
        <v>0</v>
      </c>
      <c r="CK274" s="30">
        <f t="shared" si="38"/>
        <v>0</v>
      </c>
      <c r="CL274" s="67">
        <f t="shared" si="39"/>
        <v>0</v>
      </c>
      <c r="CM274" s="30">
        <v>0</v>
      </c>
      <c r="CN274" s="30">
        <v>0</v>
      </c>
      <c r="CO274" s="30">
        <v>0</v>
      </c>
      <c r="CP274" s="30">
        <v>0</v>
      </c>
      <c r="CQ274" s="67">
        <v>0</v>
      </c>
    </row>
    <row r="275" spans="1:95" x14ac:dyDescent="0.3">
      <c r="A275" s="11">
        <v>484</v>
      </c>
      <c r="B275" s="11" t="s">
        <v>3</v>
      </c>
      <c r="C275" s="11" t="s">
        <v>1</v>
      </c>
      <c r="D275" s="11" t="s">
        <v>4</v>
      </c>
      <c r="E275" s="11">
        <v>2</v>
      </c>
      <c r="F275" s="11" t="s">
        <v>6</v>
      </c>
      <c r="G275" s="11">
        <v>7.06</v>
      </c>
      <c r="H275" s="11">
        <v>18</v>
      </c>
      <c r="I275" s="11">
        <v>5.694</v>
      </c>
      <c r="J275" s="11">
        <v>1.88</v>
      </c>
      <c r="K275" s="11">
        <v>33.017211099402878</v>
      </c>
      <c r="L275" s="11">
        <v>73.371104815864015</v>
      </c>
      <c r="M275" s="12">
        <f t="shared" si="33"/>
        <v>4.2135450325594572</v>
      </c>
      <c r="N275" s="11">
        <v>46.41</v>
      </c>
      <c r="O275" s="11">
        <v>1.4930000000000001</v>
      </c>
      <c r="P275" s="11">
        <v>9.3290000000000006</v>
      </c>
      <c r="Q275" s="11">
        <v>0.43</v>
      </c>
      <c r="R275" s="11">
        <v>0.43062</v>
      </c>
      <c r="S275" s="6">
        <v>1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53">
        <v>0</v>
      </c>
      <c r="AG275" s="54">
        <v>0</v>
      </c>
      <c r="AH275" s="6">
        <v>0</v>
      </c>
      <c r="AI275" s="6">
        <v>0</v>
      </c>
      <c r="AJ275" s="53">
        <v>0</v>
      </c>
      <c r="AK275" s="55">
        <v>0</v>
      </c>
      <c r="AL275" s="56">
        <v>0</v>
      </c>
      <c r="AM275" s="56">
        <v>0</v>
      </c>
      <c r="AN275" s="57">
        <v>0</v>
      </c>
      <c r="AO275" s="56">
        <v>0</v>
      </c>
      <c r="AP275" s="53">
        <v>0</v>
      </c>
      <c r="AQ275" s="6">
        <v>0</v>
      </c>
      <c r="AR275" s="53">
        <v>0</v>
      </c>
      <c r="AS275" s="55">
        <v>0</v>
      </c>
      <c r="AT275" s="6">
        <v>0</v>
      </c>
      <c r="AU275" s="6">
        <v>0</v>
      </c>
      <c r="AV275" s="6">
        <v>0</v>
      </c>
      <c r="AW275" s="53">
        <v>0</v>
      </c>
      <c r="AX275" s="6">
        <v>0</v>
      </c>
      <c r="AY275" s="6">
        <v>0</v>
      </c>
      <c r="AZ275" s="53">
        <v>0</v>
      </c>
      <c r="BA275" s="6">
        <v>0</v>
      </c>
      <c r="BB275" s="6">
        <v>0</v>
      </c>
      <c r="BC275" s="53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53">
        <v>0</v>
      </c>
      <c r="BL275" s="53">
        <v>0</v>
      </c>
      <c r="BM275" s="53">
        <v>0</v>
      </c>
      <c r="BN275" s="53">
        <v>0</v>
      </c>
      <c r="BO275" s="53">
        <v>0</v>
      </c>
      <c r="BP275" s="6">
        <v>0</v>
      </c>
      <c r="BQ275" s="6">
        <v>0</v>
      </c>
      <c r="BR275" s="53">
        <v>0</v>
      </c>
      <c r="BS275" s="58">
        <v>0</v>
      </c>
      <c r="BT275" s="6">
        <v>0</v>
      </c>
      <c r="BU275" s="53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59">
        <v>0</v>
      </c>
      <c r="CG275" s="67">
        <f t="shared" si="34"/>
        <v>1</v>
      </c>
      <c r="CH275" s="69">
        <f t="shared" si="35"/>
        <v>1</v>
      </c>
      <c r="CI275" s="30">
        <f t="shared" si="36"/>
        <v>0</v>
      </c>
      <c r="CJ275" s="30">
        <f t="shared" si="37"/>
        <v>1</v>
      </c>
      <c r="CK275" s="30">
        <f t="shared" si="38"/>
        <v>0</v>
      </c>
      <c r="CL275" s="67">
        <f t="shared" si="39"/>
        <v>1</v>
      </c>
      <c r="CM275" s="30">
        <v>1</v>
      </c>
      <c r="CN275" s="30">
        <v>0</v>
      </c>
      <c r="CO275" s="30">
        <v>0</v>
      </c>
      <c r="CP275" s="30">
        <v>0</v>
      </c>
      <c r="CQ275" s="67">
        <v>1</v>
      </c>
    </row>
    <row r="276" spans="1:95" x14ac:dyDescent="0.3">
      <c r="A276" s="11">
        <v>485</v>
      </c>
      <c r="B276" s="11" t="s">
        <v>3</v>
      </c>
      <c r="C276" s="11" t="s">
        <v>14</v>
      </c>
      <c r="D276" s="11" t="s">
        <v>4</v>
      </c>
      <c r="E276" s="11">
        <v>4</v>
      </c>
      <c r="F276" s="11" t="s">
        <v>6</v>
      </c>
      <c r="G276" s="11">
        <v>7</v>
      </c>
      <c r="H276" s="11">
        <v>18</v>
      </c>
      <c r="I276" s="11">
        <v>9.2940000000000005</v>
      </c>
      <c r="J276" s="11">
        <v>2.609</v>
      </c>
      <c r="K276" s="11">
        <v>28.071874327523133</v>
      </c>
      <c r="L276" s="11">
        <v>62.728571428571435</v>
      </c>
      <c r="M276" s="12">
        <f t="shared" si="33"/>
        <v>3.8773149007968866</v>
      </c>
      <c r="N276" s="11">
        <v>46.72</v>
      </c>
      <c r="O276" s="11">
        <v>1.679</v>
      </c>
      <c r="P276" s="11">
        <v>10.492000000000001</v>
      </c>
      <c r="Q276" s="11">
        <v>0.44400000000000001</v>
      </c>
      <c r="R276" s="11">
        <v>0.40399999999999997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1</v>
      </c>
      <c r="AE276" s="6">
        <v>0</v>
      </c>
      <c r="AF276" s="53">
        <v>0</v>
      </c>
      <c r="AG276" s="54">
        <v>19</v>
      </c>
      <c r="AH276" s="6">
        <v>0</v>
      </c>
      <c r="AI276" s="6">
        <v>0</v>
      </c>
      <c r="AJ276" s="53">
        <v>0</v>
      </c>
      <c r="AK276" s="55">
        <v>0</v>
      </c>
      <c r="AL276" s="56">
        <v>0</v>
      </c>
      <c r="AM276" s="56">
        <v>0</v>
      </c>
      <c r="AN276" s="57">
        <v>0</v>
      </c>
      <c r="AO276" s="56">
        <v>0</v>
      </c>
      <c r="AP276" s="53">
        <v>0</v>
      </c>
      <c r="AQ276" s="6">
        <v>0</v>
      </c>
      <c r="AR276" s="53">
        <v>0</v>
      </c>
      <c r="AS276" s="55">
        <v>0</v>
      </c>
      <c r="AT276" s="6">
        <v>0</v>
      </c>
      <c r="AU276" s="6">
        <v>0</v>
      </c>
      <c r="AV276" s="6">
        <v>0</v>
      </c>
      <c r="AW276" s="53">
        <v>0</v>
      </c>
      <c r="AX276" s="6">
        <v>0</v>
      </c>
      <c r="AY276" s="6">
        <v>0</v>
      </c>
      <c r="AZ276" s="53">
        <v>0</v>
      </c>
      <c r="BA276" s="6">
        <v>0</v>
      </c>
      <c r="BB276" s="6">
        <v>0</v>
      </c>
      <c r="BC276" s="53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53">
        <v>0</v>
      </c>
      <c r="BL276" s="53">
        <v>0</v>
      </c>
      <c r="BM276" s="53">
        <v>0</v>
      </c>
      <c r="BN276" s="53">
        <v>0</v>
      </c>
      <c r="BO276" s="53">
        <v>0</v>
      </c>
      <c r="BP276" s="6">
        <v>0</v>
      </c>
      <c r="BQ276" s="6">
        <v>0</v>
      </c>
      <c r="BR276" s="53">
        <v>0</v>
      </c>
      <c r="BS276" s="58">
        <v>0</v>
      </c>
      <c r="BT276" s="6">
        <v>0</v>
      </c>
      <c r="BU276" s="53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59">
        <v>0</v>
      </c>
      <c r="CG276" s="67">
        <f t="shared" si="34"/>
        <v>20</v>
      </c>
      <c r="CH276" s="69">
        <f t="shared" si="35"/>
        <v>2</v>
      </c>
      <c r="CI276" s="30">
        <f t="shared" si="36"/>
        <v>0</v>
      </c>
      <c r="CJ276" s="30">
        <f t="shared" si="37"/>
        <v>20</v>
      </c>
      <c r="CK276" s="30">
        <f t="shared" si="38"/>
        <v>0</v>
      </c>
      <c r="CL276" s="67">
        <f t="shared" si="39"/>
        <v>1</v>
      </c>
      <c r="CM276" s="30">
        <v>19</v>
      </c>
      <c r="CN276" s="30">
        <v>0</v>
      </c>
      <c r="CO276" s="30">
        <v>0</v>
      </c>
      <c r="CP276" s="30">
        <v>1</v>
      </c>
      <c r="CQ276" s="67">
        <v>1</v>
      </c>
    </row>
    <row r="277" spans="1:95" x14ac:dyDescent="0.3">
      <c r="A277" s="11">
        <v>495</v>
      </c>
      <c r="B277" s="11" t="s">
        <v>3</v>
      </c>
      <c r="C277" s="11" t="s">
        <v>1</v>
      </c>
      <c r="D277" s="11" t="s">
        <v>4</v>
      </c>
      <c r="E277" s="11">
        <v>4</v>
      </c>
      <c r="F277" s="11" t="s">
        <v>6</v>
      </c>
      <c r="G277" s="11">
        <v>6.99</v>
      </c>
      <c r="H277" s="11">
        <v>18</v>
      </c>
      <c r="I277" s="11">
        <v>6.4180000000000001</v>
      </c>
      <c r="J277" s="11">
        <v>2.133</v>
      </c>
      <c r="K277" s="11">
        <v>33.234652539732004</v>
      </c>
      <c r="L277" s="11">
        <v>69.484978540772531</v>
      </c>
      <c r="M277" s="12">
        <f t="shared" si="33"/>
        <v>4.07732287465267</v>
      </c>
      <c r="N277" s="11">
        <v>42.86</v>
      </c>
      <c r="O277" s="11">
        <v>1.5409999999999999</v>
      </c>
      <c r="P277" s="11">
        <v>9.6280000000000001</v>
      </c>
      <c r="Q277" s="11">
        <v>0.40799999999999997</v>
      </c>
      <c r="R277" s="11">
        <v>0.37762000000000001</v>
      </c>
      <c r="S277" s="6">
        <v>4</v>
      </c>
      <c r="T277" s="6">
        <v>3</v>
      </c>
      <c r="U277" s="6">
        <v>0</v>
      </c>
      <c r="V277" s="6">
        <v>0</v>
      </c>
      <c r="W277" s="6">
        <v>2</v>
      </c>
      <c r="X277" s="6">
        <v>1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1</v>
      </c>
      <c r="AE277" s="6">
        <v>0</v>
      </c>
      <c r="AF277" s="53">
        <v>0</v>
      </c>
      <c r="AG277" s="54">
        <v>3</v>
      </c>
      <c r="AH277" s="6">
        <v>0</v>
      </c>
      <c r="AI277" s="6">
        <v>0</v>
      </c>
      <c r="AJ277" s="53">
        <v>0</v>
      </c>
      <c r="AK277" s="55">
        <v>0</v>
      </c>
      <c r="AL277" s="56">
        <v>0</v>
      </c>
      <c r="AM277" s="56">
        <v>0</v>
      </c>
      <c r="AN277" s="57">
        <v>0</v>
      </c>
      <c r="AO277" s="56">
        <v>0</v>
      </c>
      <c r="AP277" s="53">
        <v>0</v>
      </c>
      <c r="AQ277" s="6">
        <v>0</v>
      </c>
      <c r="AR277" s="53">
        <v>0</v>
      </c>
      <c r="AS277" s="55">
        <v>0</v>
      </c>
      <c r="AT277" s="6">
        <v>0</v>
      </c>
      <c r="AU277" s="6">
        <v>0</v>
      </c>
      <c r="AV277" s="6">
        <v>0</v>
      </c>
      <c r="AW277" s="53">
        <v>0</v>
      </c>
      <c r="AX277" s="6">
        <v>0</v>
      </c>
      <c r="AY277" s="6">
        <v>0</v>
      </c>
      <c r="AZ277" s="53">
        <v>0</v>
      </c>
      <c r="BA277" s="6">
        <v>0</v>
      </c>
      <c r="BB277" s="6">
        <v>0</v>
      </c>
      <c r="BC277" s="53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53">
        <v>0</v>
      </c>
      <c r="BL277" s="53">
        <v>0</v>
      </c>
      <c r="BM277" s="53">
        <v>0</v>
      </c>
      <c r="BN277" s="53">
        <v>0</v>
      </c>
      <c r="BO277" s="53">
        <v>0</v>
      </c>
      <c r="BP277" s="6">
        <v>0</v>
      </c>
      <c r="BQ277" s="6">
        <v>0</v>
      </c>
      <c r="BR277" s="53">
        <v>0</v>
      </c>
      <c r="BS277" s="58">
        <v>0</v>
      </c>
      <c r="BT277" s="6">
        <v>0</v>
      </c>
      <c r="BU277" s="53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59">
        <v>0</v>
      </c>
      <c r="CG277" s="67">
        <f t="shared" si="34"/>
        <v>14</v>
      </c>
      <c r="CH277" s="69">
        <f t="shared" si="35"/>
        <v>6</v>
      </c>
      <c r="CI277" s="30">
        <f t="shared" si="36"/>
        <v>0</v>
      </c>
      <c r="CJ277" s="30">
        <f t="shared" si="37"/>
        <v>14</v>
      </c>
      <c r="CK277" s="30">
        <f t="shared" si="38"/>
        <v>0</v>
      </c>
      <c r="CL277" s="67">
        <f t="shared" si="39"/>
        <v>1</v>
      </c>
      <c r="CM277" s="30">
        <v>13</v>
      </c>
      <c r="CN277" s="30">
        <v>0</v>
      </c>
      <c r="CO277" s="30">
        <v>0</v>
      </c>
      <c r="CP277" s="30">
        <v>1</v>
      </c>
      <c r="CQ277" s="67">
        <v>1</v>
      </c>
    </row>
    <row r="278" spans="1:95" x14ac:dyDescent="0.3">
      <c r="A278" s="11">
        <v>504</v>
      </c>
      <c r="B278" s="11" t="s">
        <v>3</v>
      </c>
      <c r="C278" s="11" t="s">
        <v>14</v>
      </c>
      <c r="D278" s="11" t="s">
        <v>4</v>
      </c>
      <c r="E278" s="11">
        <v>1</v>
      </c>
      <c r="F278" s="11" t="s">
        <v>6</v>
      </c>
      <c r="G278" s="11">
        <v>6.9</v>
      </c>
      <c r="H278" s="11">
        <v>18</v>
      </c>
      <c r="I278" s="11">
        <v>3.2210000000000001</v>
      </c>
      <c r="J278" s="11">
        <v>1.4359999999999999</v>
      </c>
      <c r="K278" s="11">
        <v>44.582427817447993</v>
      </c>
      <c r="L278" s="11">
        <v>79.188405797101453</v>
      </c>
      <c r="M278" s="12">
        <f t="shared" si="33"/>
        <v>4.4600316988733457</v>
      </c>
      <c r="N278" s="11">
        <v>46.64</v>
      </c>
      <c r="O278" s="11">
        <v>1.8140000000000001</v>
      </c>
      <c r="P278" s="11">
        <v>11.335000000000001</v>
      </c>
      <c r="Q278" s="11">
        <v>0.435</v>
      </c>
      <c r="R278" s="11">
        <v>0.37862000000000001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53">
        <v>0</v>
      </c>
      <c r="AG278" s="54">
        <v>0</v>
      </c>
      <c r="AH278" s="6">
        <v>0</v>
      </c>
      <c r="AI278" s="6">
        <v>0</v>
      </c>
      <c r="AJ278" s="53">
        <v>0</v>
      </c>
      <c r="AK278" s="55">
        <v>0</v>
      </c>
      <c r="AL278" s="56">
        <v>0</v>
      </c>
      <c r="AM278" s="56">
        <v>0</v>
      </c>
      <c r="AN278" s="57">
        <v>0</v>
      </c>
      <c r="AO278" s="56">
        <v>0</v>
      </c>
      <c r="AP278" s="53">
        <v>0</v>
      </c>
      <c r="AQ278" s="6">
        <v>0</v>
      </c>
      <c r="AR278" s="53">
        <v>0</v>
      </c>
      <c r="AS278" s="55">
        <v>0</v>
      </c>
      <c r="AT278" s="6">
        <v>0</v>
      </c>
      <c r="AU278" s="6">
        <v>0</v>
      </c>
      <c r="AV278" s="6">
        <v>0</v>
      </c>
      <c r="AW278" s="53">
        <v>0</v>
      </c>
      <c r="AX278" s="6">
        <v>0</v>
      </c>
      <c r="AY278" s="6">
        <v>0</v>
      </c>
      <c r="AZ278" s="53">
        <v>0</v>
      </c>
      <c r="BA278" s="6">
        <v>0</v>
      </c>
      <c r="BB278" s="6">
        <v>0</v>
      </c>
      <c r="BC278" s="53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53">
        <v>0</v>
      </c>
      <c r="BL278" s="53">
        <v>0</v>
      </c>
      <c r="BM278" s="53">
        <v>0</v>
      </c>
      <c r="BN278" s="53">
        <v>0</v>
      </c>
      <c r="BO278" s="53">
        <v>0</v>
      </c>
      <c r="BP278" s="6">
        <v>0</v>
      </c>
      <c r="BQ278" s="6">
        <v>0</v>
      </c>
      <c r="BR278" s="53">
        <v>0</v>
      </c>
      <c r="BS278" s="58">
        <v>0</v>
      </c>
      <c r="BT278" s="6">
        <v>0</v>
      </c>
      <c r="BU278" s="53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59">
        <v>0</v>
      </c>
      <c r="CG278" s="67">
        <f t="shared" si="34"/>
        <v>0</v>
      </c>
      <c r="CH278" s="69">
        <f t="shared" si="35"/>
        <v>0</v>
      </c>
      <c r="CI278" s="30">
        <f t="shared" si="36"/>
        <v>0</v>
      </c>
      <c r="CJ278" s="30">
        <f t="shared" si="37"/>
        <v>0</v>
      </c>
      <c r="CK278" s="30">
        <f t="shared" si="38"/>
        <v>0</v>
      </c>
      <c r="CL278" s="67">
        <f t="shared" si="39"/>
        <v>0</v>
      </c>
      <c r="CM278" s="30">
        <v>0</v>
      </c>
      <c r="CN278" s="30">
        <v>0</v>
      </c>
      <c r="CO278" s="30">
        <v>0</v>
      </c>
      <c r="CP278" s="30">
        <v>0</v>
      </c>
      <c r="CQ278" s="67">
        <v>0</v>
      </c>
    </row>
    <row r="279" spans="1:95" x14ac:dyDescent="0.3">
      <c r="A279" s="11">
        <v>509</v>
      </c>
      <c r="B279" s="11" t="s">
        <v>3</v>
      </c>
      <c r="C279" s="11" t="s">
        <v>1</v>
      </c>
      <c r="D279" s="11" t="s">
        <v>4</v>
      </c>
      <c r="E279" s="11">
        <v>1</v>
      </c>
      <c r="F279" s="11" t="s">
        <v>6</v>
      </c>
      <c r="G279" s="11">
        <v>7.04</v>
      </c>
      <c r="H279" s="11">
        <v>18</v>
      </c>
      <c r="I279" s="11">
        <v>4.9059999999999997</v>
      </c>
      <c r="J279" s="11">
        <v>2.1</v>
      </c>
      <c r="K279" s="11">
        <v>42.804728903383612</v>
      </c>
      <c r="L279" s="11">
        <v>70.170454545454547</v>
      </c>
      <c r="M279" s="12">
        <f t="shared" si="33"/>
        <v>4.1000425833367382</v>
      </c>
      <c r="N279" s="11">
        <v>45.38</v>
      </c>
      <c r="O279" s="11">
        <v>1.91</v>
      </c>
      <c r="P279" s="11">
        <v>11.938000000000001</v>
      </c>
      <c r="Q279" s="11">
        <v>0.24299999999999999</v>
      </c>
      <c r="R279" s="11">
        <v>0.13662000000000002</v>
      </c>
      <c r="S279" s="6">
        <v>2</v>
      </c>
      <c r="T279" s="6">
        <v>3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53">
        <v>0</v>
      </c>
      <c r="AG279" s="54">
        <v>5</v>
      </c>
      <c r="AH279" s="6">
        <v>0</v>
      </c>
      <c r="AI279" s="6">
        <v>0</v>
      </c>
      <c r="AJ279" s="53">
        <v>0</v>
      </c>
      <c r="AK279" s="55">
        <v>0</v>
      </c>
      <c r="AL279" s="56">
        <v>0</v>
      </c>
      <c r="AM279" s="56">
        <v>0</v>
      </c>
      <c r="AN279" s="57">
        <v>0</v>
      </c>
      <c r="AO279" s="56">
        <v>0</v>
      </c>
      <c r="AP279" s="53">
        <v>0</v>
      </c>
      <c r="AQ279" s="6">
        <v>5</v>
      </c>
      <c r="AR279" s="53">
        <v>0</v>
      </c>
      <c r="AS279" s="55">
        <v>0</v>
      </c>
      <c r="AT279" s="6">
        <v>0</v>
      </c>
      <c r="AU279" s="6">
        <v>0</v>
      </c>
      <c r="AV279" s="6">
        <v>0</v>
      </c>
      <c r="AW279" s="53">
        <v>1</v>
      </c>
      <c r="AX279" s="6">
        <v>0</v>
      </c>
      <c r="AY279" s="6">
        <v>0</v>
      </c>
      <c r="AZ279" s="53">
        <v>0</v>
      </c>
      <c r="BA279" s="6">
        <v>0</v>
      </c>
      <c r="BB279" s="6">
        <v>0</v>
      </c>
      <c r="BC279" s="53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53">
        <v>0</v>
      </c>
      <c r="BL279" s="53">
        <v>0</v>
      </c>
      <c r="BM279" s="53">
        <v>0</v>
      </c>
      <c r="BN279" s="53">
        <v>0</v>
      </c>
      <c r="BO279" s="53">
        <v>0</v>
      </c>
      <c r="BP279" s="6">
        <v>0</v>
      </c>
      <c r="BQ279" s="6">
        <v>0</v>
      </c>
      <c r="BR279" s="53">
        <v>0</v>
      </c>
      <c r="BS279" s="58">
        <v>0</v>
      </c>
      <c r="BT279" s="6">
        <v>0</v>
      </c>
      <c r="BU279" s="53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59">
        <v>0</v>
      </c>
      <c r="CG279" s="67">
        <f t="shared" si="34"/>
        <v>16</v>
      </c>
      <c r="CH279" s="69">
        <f t="shared" si="35"/>
        <v>5</v>
      </c>
      <c r="CI279" s="30">
        <f t="shared" si="36"/>
        <v>0</v>
      </c>
      <c r="CJ279" s="30">
        <f t="shared" si="37"/>
        <v>15</v>
      </c>
      <c r="CK279" s="30">
        <f t="shared" si="38"/>
        <v>1</v>
      </c>
      <c r="CL279" s="67">
        <f t="shared" si="39"/>
        <v>2</v>
      </c>
      <c r="CM279" s="30">
        <v>16</v>
      </c>
      <c r="CN279" s="30">
        <v>0</v>
      </c>
      <c r="CO279" s="30">
        <v>0</v>
      </c>
      <c r="CP279" s="30">
        <v>0</v>
      </c>
      <c r="CQ279" s="67">
        <v>1</v>
      </c>
    </row>
    <row r="280" spans="1:95" x14ac:dyDescent="0.3">
      <c r="A280" s="11">
        <v>512</v>
      </c>
      <c r="B280" s="11" t="s">
        <v>3</v>
      </c>
      <c r="C280" s="11" t="s">
        <v>1</v>
      </c>
      <c r="D280" s="11" t="s">
        <v>4</v>
      </c>
      <c r="E280" s="11">
        <v>3</v>
      </c>
      <c r="F280" s="11" t="s">
        <v>6</v>
      </c>
      <c r="G280" s="11">
        <v>7.08</v>
      </c>
      <c r="H280" s="11">
        <v>18</v>
      </c>
      <c r="I280" s="11">
        <v>8.2509999999999994</v>
      </c>
      <c r="J280" s="11">
        <v>1.8120000000000001</v>
      </c>
      <c r="K280" s="11">
        <v>21.960974427342141</v>
      </c>
      <c r="L280" s="11">
        <v>74.406779661016941</v>
      </c>
      <c r="M280" s="12">
        <f t="shared" si="33"/>
        <v>4.2532144579810058</v>
      </c>
      <c r="N280" s="11">
        <v>45.44</v>
      </c>
      <c r="O280" s="11">
        <v>1.4550000000000001</v>
      </c>
      <c r="P280" s="11">
        <v>9.0950000000000006</v>
      </c>
      <c r="Q280" s="11">
        <v>0.46400000000000002</v>
      </c>
      <c r="R280" s="11">
        <v>0.49200000000000005</v>
      </c>
      <c r="S280" s="6">
        <v>0</v>
      </c>
      <c r="T280" s="6">
        <v>1</v>
      </c>
      <c r="U280" s="6">
        <v>0</v>
      </c>
      <c r="V280" s="6">
        <v>0</v>
      </c>
      <c r="W280" s="6">
        <v>1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53">
        <v>0</v>
      </c>
      <c r="AG280" s="54">
        <v>10</v>
      </c>
      <c r="AH280" s="6">
        <v>0</v>
      </c>
      <c r="AI280" s="6">
        <v>0</v>
      </c>
      <c r="AJ280" s="53">
        <v>0</v>
      </c>
      <c r="AK280" s="55">
        <v>0</v>
      </c>
      <c r="AL280" s="56">
        <v>0</v>
      </c>
      <c r="AM280" s="56">
        <v>0</v>
      </c>
      <c r="AN280" s="57">
        <v>0</v>
      </c>
      <c r="AO280" s="56">
        <v>0</v>
      </c>
      <c r="AP280" s="53">
        <v>0</v>
      </c>
      <c r="AQ280" s="6">
        <v>2</v>
      </c>
      <c r="AR280" s="53">
        <v>0</v>
      </c>
      <c r="AS280" s="55">
        <v>0</v>
      </c>
      <c r="AT280" s="6">
        <v>0</v>
      </c>
      <c r="AU280" s="6">
        <v>0</v>
      </c>
      <c r="AV280" s="6">
        <v>0</v>
      </c>
      <c r="AW280" s="53">
        <v>0</v>
      </c>
      <c r="AX280" s="6">
        <v>0</v>
      </c>
      <c r="AY280" s="6">
        <v>0</v>
      </c>
      <c r="AZ280" s="53">
        <v>0</v>
      </c>
      <c r="BA280" s="6">
        <v>0</v>
      </c>
      <c r="BB280" s="6">
        <v>1</v>
      </c>
      <c r="BC280" s="53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53">
        <v>0</v>
      </c>
      <c r="BL280" s="53">
        <v>0</v>
      </c>
      <c r="BM280" s="53">
        <v>0</v>
      </c>
      <c r="BN280" s="53">
        <v>0</v>
      </c>
      <c r="BO280" s="53">
        <v>0</v>
      </c>
      <c r="BP280" s="6">
        <v>0</v>
      </c>
      <c r="BQ280" s="6">
        <v>0</v>
      </c>
      <c r="BR280" s="53">
        <v>0</v>
      </c>
      <c r="BS280" s="58">
        <v>0</v>
      </c>
      <c r="BT280" s="6">
        <v>0</v>
      </c>
      <c r="BU280" s="53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59">
        <v>0</v>
      </c>
      <c r="CG280" s="67">
        <f t="shared" si="34"/>
        <v>15</v>
      </c>
      <c r="CH280" s="69">
        <f t="shared" si="35"/>
        <v>5</v>
      </c>
      <c r="CI280" s="30">
        <f t="shared" si="36"/>
        <v>0</v>
      </c>
      <c r="CJ280" s="30">
        <f t="shared" si="37"/>
        <v>14</v>
      </c>
      <c r="CK280" s="30">
        <f t="shared" si="38"/>
        <v>1</v>
      </c>
      <c r="CL280" s="67">
        <f t="shared" si="39"/>
        <v>2</v>
      </c>
      <c r="CM280" s="30">
        <v>15</v>
      </c>
      <c r="CN280" s="30">
        <v>0</v>
      </c>
      <c r="CO280" s="30">
        <v>0</v>
      </c>
      <c r="CP280" s="30">
        <v>0</v>
      </c>
      <c r="CQ280" s="67">
        <v>1</v>
      </c>
    </row>
    <row r="281" spans="1:95" x14ac:dyDescent="0.3">
      <c r="A281" s="11">
        <v>519</v>
      </c>
      <c r="B281" s="11" t="s">
        <v>3</v>
      </c>
      <c r="C281" s="11" t="s">
        <v>14</v>
      </c>
      <c r="D281" s="11" t="s">
        <v>4</v>
      </c>
      <c r="E281" s="11">
        <v>2</v>
      </c>
      <c r="F281" s="11" t="s">
        <v>6</v>
      </c>
      <c r="G281" s="11">
        <v>7</v>
      </c>
      <c r="H281" s="11">
        <v>18</v>
      </c>
      <c r="I281" s="11">
        <v>7.3620000000000001</v>
      </c>
      <c r="J281" s="11">
        <v>2.8380000000000001</v>
      </c>
      <c r="K281" s="11">
        <v>38.549307253463731</v>
      </c>
      <c r="L281" s="11">
        <v>59.457142857142856</v>
      </c>
      <c r="M281" s="12">
        <f t="shared" si="33"/>
        <v>3.7931823282136272</v>
      </c>
      <c r="N281" s="11">
        <v>45.5</v>
      </c>
      <c r="O281" s="11">
        <v>1.6160000000000001</v>
      </c>
      <c r="P281" s="11">
        <v>10.102</v>
      </c>
      <c r="Q281" s="11">
        <v>0.51</v>
      </c>
      <c r="R281" s="11">
        <v>0.34100000000000003</v>
      </c>
      <c r="S281" s="6">
        <v>5</v>
      </c>
      <c r="T281" s="6">
        <v>4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53">
        <v>0</v>
      </c>
      <c r="AG281" s="54">
        <v>7</v>
      </c>
      <c r="AH281" s="6">
        <v>0</v>
      </c>
      <c r="AI281" s="6">
        <v>0</v>
      </c>
      <c r="AJ281" s="53">
        <v>0</v>
      </c>
      <c r="AK281" s="55">
        <v>0</v>
      </c>
      <c r="AL281" s="56">
        <v>0</v>
      </c>
      <c r="AM281" s="56">
        <v>0</v>
      </c>
      <c r="AN281" s="57">
        <v>0</v>
      </c>
      <c r="AO281" s="56">
        <v>0</v>
      </c>
      <c r="AP281" s="53">
        <v>0</v>
      </c>
      <c r="AQ281" s="6">
        <v>0</v>
      </c>
      <c r="AR281" s="53">
        <v>0</v>
      </c>
      <c r="AS281" s="55">
        <v>0</v>
      </c>
      <c r="AT281" s="6">
        <v>0</v>
      </c>
      <c r="AU281" s="6">
        <v>0</v>
      </c>
      <c r="AV281" s="6">
        <v>0</v>
      </c>
      <c r="AW281" s="53">
        <v>0</v>
      </c>
      <c r="AX281" s="6">
        <v>0</v>
      </c>
      <c r="AY281" s="6">
        <v>0</v>
      </c>
      <c r="AZ281" s="53">
        <v>0</v>
      </c>
      <c r="BA281" s="6">
        <v>0</v>
      </c>
      <c r="BB281" s="6">
        <v>0</v>
      </c>
      <c r="BC281" s="53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53">
        <v>0</v>
      </c>
      <c r="BL281" s="53">
        <v>0</v>
      </c>
      <c r="BM281" s="53">
        <v>0</v>
      </c>
      <c r="BN281" s="53">
        <v>0</v>
      </c>
      <c r="BO281" s="53">
        <v>0</v>
      </c>
      <c r="BP281" s="6">
        <v>0</v>
      </c>
      <c r="BQ281" s="6">
        <v>0</v>
      </c>
      <c r="BR281" s="53">
        <v>0</v>
      </c>
      <c r="BS281" s="58">
        <v>0</v>
      </c>
      <c r="BT281" s="6">
        <v>0</v>
      </c>
      <c r="BU281" s="53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59">
        <v>0</v>
      </c>
      <c r="CG281" s="67">
        <f t="shared" si="34"/>
        <v>16</v>
      </c>
      <c r="CH281" s="69">
        <f t="shared" si="35"/>
        <v>3</v>
      </c>
      <c r="CI281" s="30">
        <f t="shared" si="36"/>
        <v>0</v>
      </c>
      <c r="CJ281" s="30">
        <f t="shared" si="37"/>
        <v>16</v>
      </c>
      <c r="CK281" s="30">
        <f t="shared" si="38"/>
        <v>0</v>
      </c>
      <c r="CL281" s="67">
        <f t="shared" si="39"/>
        <v>1</v>
      </c>
      <c r="CM281" s="30">
        <v>16</v>
      </c>
      <c r="CN281" s="30">
        <v>0</v>
      </c>
      <c r="CO281" s="30">
        <v>0</v>
      </c>
      <c r="CP281" s="30">
        <v>0</v>
      </c>
      <c r="CQ281" s="67">
        <v>1</v>
      </c>
    </row>
    <row r="282" spans="1:95" x14ac:dyDescent="0.3">
      <c r="A282" s="11">
        <v>520</v>
      </c>
      <c r="B282" s="11" t="s">
        <v>3</v>
      </c>
      <c r="C282" s="11" t="s">
        <v>14</v>
      </c>
      <c r="D282" s="11" t="s">
        <v>4</v>
      </c>
      <c r="E282" s="11">
        <v>3</v>
      </c>
      <c r="F282" s="11" t="s">
        <v>6</v>
      </c>
      <c r="G282" s="11">
        <v>7.07</v>
      </c>
      <c r="H282" s="11">
        <v>18</v>
      </c>
      <c r="I282" s="11">
        <v>6.2460000000000004</v>
      </c>
      <c r="J282" s="11">
        <v>2.637</v>
      </c>
      <c r="K282" s="11">
        <v>42.21902017291066</v>
      </c>
      <c r="L282" s="11">
        <v>62.701555869872692</v>
      </c>
      <c r="M282" s="12">
        <f t="shared" si="33"/>
        <v>3.8765903304334968</v>
      </c>
      <c r="N282" s="11">
        <v>43.09</v>
      </c>
      <c r="O282" s="11">
        <v>1.7110000000000001</v>
      </c>
      <c r="P282" s="11">
        <v>10.692</v>
      </c>
      <c r="Q282" s="11">
        <v>0.52700000000000002</v>
      </c>
      <c r="R282" s="11">
        <v>0.52961999999999998</v>
      </c>
      <c r="S282" s="6">
        <v>3</v>
      </c>
      <c r="T282" s="6">
        <v>2</v>
      </c>
      <c r="U282" s="6">
        <v>0</v>
      </c>
      <c r="V282" s="6">
        <v>0</v>
      </c>
      <c r="W282" s="6">
        <v>1</v>
      </c>
      <c r="X282" s="6">
        <v>1</v>
      </c>
      <c r="Y282" s="6">
        <v>0</v>
      </c>
      <c r="Z282" s="6">
        <v>0</v>
      </c>
      <c r="AA282" s="6">
        <v>0</v>
      </c>
      <c r="AB282" s="6">
        <v>1</v>
      </c>
      <c r="AC282" s="6">
        <v>0</v>
      </c>
      <c r="AD282" s="6">
        <v>0</v>
      </c>
      <c r="AE282" s="6">
        <v>0</v>
      </c>
      <c r="AF282" s="53">
        <v>0</v>
      </c>
      <c r="AG282" s="54">
        <v>0</v>
      </c>
      <c r="AH282" s="6">
        <v>0</v>
      </c>
      <c r="AI282" s="6">
        <v>0</v>
      </c>
      <c r="AJ282" s="53">
        <v>0</v>
      </c>
      <c r="AK282" s="55">
        <v>0</v>
      </c>
      <c r="AL282" s="56">
        <v>0</v>
      </c>
      <c r="AM282" s="56">
        <v>0</v>
      </c>
      <c r="AN282" s="57">
        <v>0</v>
      </c>
      <c r="AO282" s="56">
        <v>0</v>
      </c>
      <c r="AP282" s="53">
        <v>0</v>
      </c>
      <c r="AQ282" s="6">
        <v>0</v>
      </c>
      <c r="AR282" s="53">
        <v>0</v>
      </c>
      <c r="AS282" s="55">
        <v>0</v>
      </c>
      <c r="AT282" s="6">
        <v>0</v>
      </c>
      <c r="AU282" s="6">
        <v>0</v>
      </c>
      <c r="AV282" s="6">
        <v>0</v>
      </c>
      <c r="AW282" s="53">
        <v>0</v>
      </c>
      <c r="AX282" s="6">
        <v>0</v>
      </c>
      <c r="AY282" s="6">
        <v>0</v>
      </c>
      <c r="AZ282" s="53">
        <v>0</v>
      </c>
      <c r="BA282" s="6">
        <v>0</v>
      </c>
      <c r="BB282" s="6">
        <v>0</v>
      </c>
      <c r="BC282" s="53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53">
        <v>0</v>
      </c>
      <c r="BL282" s="53">
        <v>0</v>
      </c>
      <c r="BM282" s="53">
        <v>0</v>
      </c>
      <c r="BN282" s="53">
        <v>0</v>
      </c>
      <c r="BO282" s="53">
        <v>0</v>
      </c>
      <c r="BP282" s="6">
        <v>0</v>
      </c>
      <c r="BQ282" s="6">
        <v>0</v>
      </c>
      <c r="BR282" s="53">
        <v>0</v>
      </c>
      <c r="BS282" s="58">
        <v>0</v>
      </c>
      <c r="BT282" s="6">
        <v>0</v>
      </c>
      <c r="BU282" s="53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59">
        <v>0</v>
      </c>
      <c r="CG282" s="67">
        <f t="shared" si="34"/>
        <v>8</v>
      </c>
      <c r="CH282" s="69">
        <f t="shared" si="35"/>
        <v>5</v>
      </c>
      <c r="CI282" s="30">
        <f t="shared" si="36"/>
        <v>0</v>
      </c>
      <c r="CJ282" s="30">
        <f t="shared" si="37"/>
        <v>8</v>
      </c>
      <c r="CK282" s="30">
        <f t="shared" si="38"/>
        <v>0</v>
      </c>
      <c r="CL282" s="67">
        <f t="shared" si="39"/>
        <v>1</v>
      </c>
      <c r="CM282" s="30">
        <v>8</v>
      </c>
      <c r="CN282" s="30">
        <v>0</v>
      </c>
      <c r="CO282" s="30">
        <v>0</v>
      </c>
      <c r="CP282" s="30">
        <v>0</v>
      </c>
      <c r="CQ282" s="67">
        <v>1</v>
      </c>
    </row>
    <row r="283" spans="1:95" x14ac:dyDescent="0.3">
      <c r="A283" s="11">
        <v>538</v>
      </c>
      <c r="B283" s="11" t="s">
        <v>3</v>
      </c>
      <c r="C283" s="11" t="s">
        <v>1</v>
      </c>
      <c r="D283" s="11" t="s">
        <v>4</v>
      </c>
      <c r="E283" s="11">
        <v>5</v>
      </c>
      <c r="F283" s="11" t="s">
        <v>6</v>
      </c>
      <c r="G283" s="11">
        <v>7.06</v>
      </c>
      <c r="H283" s="11">
        <v>18</v>
      </c>
      <c r="I283" s="11">
        <v>5.8520000000000003</v>
      </c>
      <c r="J283" s="11">
        <v>1.8759999999999999</v>
      </c>
      <c r="K283" s="11">
        <v>32.057416267942578</v>
      </c>
      <c r="L283" s="11">
        <v>73.427762039660053</v>
      </c>
      <c r="M283" s="12">
        <f t="shared" si="33"/>
        <v>4.2156749588172824</v>
      </c>
      <c r="N283" s="11">
        <v>46.51</v>
      </c>
      <c r="O283" s="11">
        <v>1.744</v>
      </c>
      <c r="P283" s="11">
        <v>10.901999999999999</v>
      </c>
      <c r="Q283" s="11">
        <v>0.42599999999999999</v>
      </c>
      <c r="R283" s="11">
        <v>0.31562000000000001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53">
        <v>0</v>
      </c>
      <c r="AG283" s="54">
        <v>0</v>
      </c>
      <c r="AH283" s="6">
        <v>0</v>
      </c>
      <c r="AI283" s="6">
        <v>0</v>
      </c>
      <c r="AJ283" s="53">
        <v>0</v>
      </c>
      <c r="AK283" s="55">
        <v>0</v>
      </c>
      <c r="AL283" s="56">
        <v>0</v>
      </c>
      <c r="AM283" s="56">
        <v>0</v>
      </c>
      <c r="AN283" s="57">
        <v>0</v>
      </c>
      <c r="AO283" s="56">
        <v>0</v>
      </c>
      <c r="AP283" s="53">
        <v>0</v>
      </c>
      <c r="AQ283" s="6">
        <v>0</v>
      </c>
      <c r="AR283" s="53">
        <v>0</v>
      </c>
      <c r="AS283" s="55">
        <v>0</v>
      </c>
      <c r="AT283" s="6">
        <v>0</v>
      </c>
      <c r="AU283" s="6">
        <v>0</v>
      </c>
      <c r="AV283" s="6">
        <v>0</v>
      </c>
      <c r="AW283" s="53">
        <v>0</v>
      </c>
      <c r="AX283" s="6">
        <v>0</v>
      </c>
      <c r="AY283" s="6">
        <v>0</v>
      </c>
      <c r="AZ283" s="53">
        <v>0</v>
      </c>
      <c r="BA283" s="6">
        <v>0</v>
      </c>
      <c r="BB283" s="6">
        <v>0</v>
      </c>
      <c r="BC283" s="53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53">
        <v>0</v>
      </c>
      <c r="BL283" s="53">
        <v>0</v>
      </c>
      <c r="BM283" s="53">
        <v>0</v>
      </c>
      <c r="BN283" s="53">
        <v>0</v>
      </c>
      <c r="BO283" s="53">
        <v>0</v>
      </c>
      <c r="BP283" s="6">
        <v>0</v>
      </c>
      <c r="BQ283" s="6">
        <v>0</v>
      </c>
      <c r="BR283" s="53">
        <v>0</v>
      </c>
      <c r="BS283" s="58">
        <v>0</v>
      </c>
      <c r="BT283" s="6">
        <v>0</v>
      </c>
      <c r="BU283" s="53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59">
        <v>0</v>
      </c>
      <c r="CG283" s="67">
        <f t="shared" si="34"/>
        <v>0</v>
      </c>
      <c r="CH283" s="69">
        <f t="shared" si="35"/>
        <v>0</v>
      </c>
      <c r="CI283" s="30">
        <f t="shared" si="36"/>
        <v>0</v>
      </c>
      <c r="CJ283" s="30">
        <f t="shared" si="37"/>
        <v>0</v>
      </c>
      <c r="CK283" s="30">
        <f t="shared" si="38"/>
        <v>0</v>
      </c>
      <c r="CL283" s="67">
        <f t="shared" si="39"/>
        <v>0</v>
      </c>
      <c r="CM283" s="30">
        <v>0</v>
      </c>
      <c r="CN283" s="30">
        <v>0</v>
      </c>
      <c r="CO283" s="30">
        <v>0</v>
      </c>
      <c r="CP283" s="30">
        <v>0</v>
      </c>
      <c r="CQ283" s="67">
        <v>0</v>
      </c>
    </row>
    <row r="284" spans="1:95" x14ac:dyDescent="0.3">
      <c r="A284" s="11">
        <v>539</v>
      </c>
      <c r="B284" s="11" t="s">
        <v>3</v>
      </c>
      <c r="C284" s="11" t="s">
        <v>14</v>
      </c>
      <c r="D284" s="11" t="s">
        <v>4</v>
      </c>
      <c r="E284" s="11">
        <v>5</v>
      </c>
      <c r="F284" s="11" t="s">
        <v>6</v>
      </c>
      <c r="G284" s="11">
        <v>7.01</v>
      </c>
      <c r="H284" s="11">
        <v>18</v>
      </c>
      <c r="I284" s="11">
        <v>6.1340000000000003</v>
      </c>
      <c r="J284" s="11">
        <v>1.827</v>
      </c>
      <c r="K284" s="11">
        <v>29.784805999347896</v>
      </c>
      <c r="L284" s="11">
        <v>73.93723252496433</v>
      </c>
      <c r="M284" s="12">
        <f t="shared" si="33"/>
        <v>4.2350341815467933</v>
      </c>
      <c r="N284" s="11">
        <v>46.09</v>
      </c>
      <c r="O284" s="11">
        <v>1.919</v>
      </c>
      <c r="P284" s="11">
        <v>11.992000000000001</v>
      </c>
      <c r="Q284" s="11">
        <v>0.56999999999999995</v>
      </c>
      <c r="R284" s="11">
        <v>0.63761999999999996</v>
      </c>
      <c r="S284" s="6">
        <v>2</v>
      </c>
      <c r="T284" s="6">
        <v>6</v>
      </c>
      <c r="U284" s="6">
        <v>0</v>
      </c>
      <c r="V284" s="6">
        <v>0</v>
      </c>
      <c r="W284" s="6">
        <v>0</v>
      </c>
      <c r="X284" s="6">
        <v>1</v>
      </c>
      <c r="Y284" s="6">
        <v>0</v>
      </c>
      <c r="Z284" s="6">
        <v>0</v>
      </c>
      <c r="AA284" s="6">
        <v>0</v>
      </c>
      <c r="AB284" s="6">
        <v>1</v>
      </c>
      <c r="AC284" s="6">
        <v>0</v>
      </c>
      <c r="AD284" s="6">
        <v>2</v>
      </c>
      <c r="AE284" s="6">
        <v>0</v>
      </c>
      <c r="AF284" s="53">
        <v>0</v>
      </c>
      <c r="AG284" s="54">
        <v>12</v>
      </c>
      <c r="AH284" s="6">
        <v>0</v>
      </c>
      <c r="AI284" s="6">
        <v>0</v>
      </c>
      <c r="AJ284" s="53">
        <v>0</v>
      </c>
      <c r="AK284" s="55">
        <v>0</v>
      </c>
      <c r="AL284" s="56">
        <v>0</v>
      </c>
      <c r="AM284" s="56">
        <v>0</v>
      </c>
      <c r="AN284" s="57">
        <v>0</v>
      </c>
      <c r="AO284" s="56">
        <v>0</v>
      </c>
      <c r="AP284" s="53">
        <v>0</v>
      </c>
      <c r="AQ284" s="6">
        <v>1</v>
      </c>
      <c r="AR284" s="53">
        <v>0</v>
      </c>
      <c r="AS284" s="55">
        <v>0</v>
      </c>
      <c r="AT284" s="6">
        <v>0</v>
      </c>
      <c r="AU284" s="6">
        <v>0</v>
      </c>
      <c r="AV284" s="6">
        <v>0</v>
      </c>
      <c r="AW284" s="53">
        <v>0</v>
      </c>
      <c r="AX284" s="6">
        <v>0</v>
      </c>
      <c r="AY284" s="6">
        <v>0</v>
      </c>
      <c r="AZ284" s="53">
        <v>0</v>
      </c>
      <c r="BA284" s="6">
        <v>0</v>
      </c>
      <c r="BB284" s="6">
        <v>0</v>
      </c>
      <c r="BC284" s="53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1</v>
      </c>
      <c r="BI284" s="6">
        <v>0</v>
      </c>
      <c r="BJ284" s="6">
        <v>0</v>
      </c>
      <c r="BK284" s="53">
        <v>0</v>
      </c>
      <c r="BL284" s="53">
        <v>0</v>
      </c>
      <c r="BM284" s="53">
        <v>0</v>
      </c>
      <c r="BN284" s="53">
        <v>0</v>
      </c>
      <c r="BO284" s="53">
        <v>0</v>
      </c>
      <c r="BP284" s="6">
        <v>0</v>
      </c>
      <c r="BQ284" s="6">
        <v>0</v>
      </c>
      <c r="BR284" s="53">
        <v>0</v>
      </c>
      <c r="BS284" s="58">
        <v>0</v>
      </c>
      <c r="BT284" s="6">
        <v>0</v>
      </c>
      <c r="BU284" s="53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59">
        <v>0</v>
      </c>
      <c r="CG284" s="67">
        <f t="shared" si="34"/>
        <v>26</v>
      </c>
      <c r="CH284" s="69">
        <f t="shared" si="35"/>
        <v>8</v>
      </c>
      <c r="CI284" s="30">
        <f t="shared" si="36"/>
        <v>0</v>
      </c>
      <c r="CJ284" s="30">
        <f t="shared" si="37"/>
        <v>25</v>
      </c>
      <c r="CK284" s="30">
        <f t="shared" si="38"/>
        <v>1</v>
      </c>
      <c r="CL284" s="67">
        <f t="shared" si="39"/>
        <v>2</v>
      </c>
      <c r="CM284" s="30">
        <v>24</v>
      </c>
      <c r="CN284" s="30">
        <v>0</v>
      </c>
      <c r="CO284" s="30">
        <v>0</v>
      </c>
      <c r="CP284" s="30">
        <v>2</v>
      </c>
      <c r="CQ284" s="67">
        <v>1</v>
      </c>
    </row>
    <row r="285" spans="1:95" x14ac:dyDescent="0.3">
      <c r="A285" s="11">
        <v>602</v>
      </c>
      <c r="B285" s="11" t="s">
        <v>3</v>
      </c>
      <c r="C285" s="11" t="s">
        <v>1</v>
      </c>
      <c r="D285" s="11" t="s">
        <v>5</v>
      </c>
      <c r="E285" s="11">
        <v>4</v>
      </c>
      <c r="F285" s="11" t="s">
        <v>6</v>
      </c>
      <c r="G285" s="11">
        <v>7.04</v>
      </c>
      <c r="H285" s="11">
        <v>18</v>
      </c>
      <c r="I285" s="11">
        <v>3.4990000000000001</v>
      </c>
      <c r="J285" s="11">
        <v>1.4990000000000001</v>
      </c>
      <c r="K285" s="11">
        <v>42.840811660474422</v>
      </c>
      <c r="L285" s="11">
        <v>78.707386363636374</v>
      </c>
      <c r="M285" s="12">
        <f t="shared" si="33"/>
        <v>4.4371817089456549</v>
      </c>
      <c r="N285" s="11">
        <v>47.45</v>
      </c>
      <c r="O285" s="11">
        <v>2.4550000000000001</v>
      </c>
      <c r="P285" s="11">
        <v>15.343</v>
      </c>
      <c r="Q285" s="11">
        <v>0.26300000000000001</v>
      </c>
      <c r="R285" s="11">
        <v>0.49700000000000005</v>
      </c>
      <c r="S285" s="6">
        <v>0</v>
      </c>
      <c r="T285" s="6">
        <v>1</v>
      </c>
      <c r="U285" s="6">
        <v>0</v>
      </c>
      <c r="V285" s="6">
        <v>0</v>
      </c>
      <c r="W285" s="6">
        <v>2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53">
        <v>0</v>
      </c>
      <c r="AG285" s="54">
        <v>0</v>
      </c>
      <c r="AH285" s="6">
        <v>0</v>
      </c>
      <c r="AI285" s="6">
        <v>0</v>
      </c>
      <c r="AJ285" s="53">
        <v>0</v>
      </c>
      <c r="AK285" s="55">
        <v>0</v>
      </c>
      <c r="AL285" s="56">
        <v>0</v>
      </c>
      <c r="AM285" s="56">
        <v>0</v>
      </c>
      <c r="AN285" s="57">
        <v>0</v>
      </c>
      <c r="AO285" s="56">
        <v>0</v>
      </c>
      <c r="AP285" s="53">
        <v>0</v>
      </c>
      <c r="AQ285" s="6">
        <v>0</v>
      </c>
      <c r="AR285" s="53">
        <v>0</v>
      </c>
      <c r="AS285" s="55">
        <v>0</v>
      </c>
      <c r="AT285" s="6">
        <v>0</v>
      </c>
      <c r="AU285" s="6">
        <v>0</v>
      </c>
      <c r="AV285" s="6">
        <v>0</v>
      </c>
      <c r="AW285" s="53">
        <v>0</v>
      </c>
      <c r="AX285" s="6">
        <v>0</v>
      </c>
      <c r="AY285" s="6">
        <v>0</v>
      </c>
      <c r="AZ285" s="53">
        <v>0</v>
      </c>
      <c r="BA285" s="6">
        <v>0</v>
      </c>
      <c r="BB285" s="6">
        <v>0</v>
      </c>
      <c r="BC285" s="53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53">
        <v>0</v>
      </c>
      <c r="BL285" s="53">
        <v>0</v>
      </c>
      <c r="BM285" s="53">
        <v>0</v>
      </c>
      <c r="BN285" s="53">
        <v>0</v>
      </c>
      <c r="BO285" s="53">
        <v>0</v>
      </c>
      <c r="BP285" s="6">
        <v>0</v>
      </c>
      <c r="BQ285" s="6">
        <v>0</v>
      </c>
      <c r="BR285" s="53">
        <v>0</v>
      </c>
      <c r="BS285" s="58">
        <v>0</v>
      </c>
      <c r="BT285" s="6">
        <v>0</v>
      </c>
      <c r="BU285" s="53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59">
        <v>0</v>
      </c>
      <c r="CG285" s="67">
        <f t="shared" si="34"/>
        <v>3</v>
      </c>
      <c r="CH285" s="69">
        <f t="shared" si="35"/>
        <v>2</v>
      </c>
      <c r="CI285" s="30">
        <f t="shared" si="36"/>
        <v>0</v>
      </c>
      <c r="CJ285" s="30">
        <f t="shared" si="37"/>
        <v>3</v>
      </c>
      <c r="CK285" s="30">
        <f t="shared" si="38"/>
        <v>0</v>
      </c>
      <c r="CL285" s="67">
        <f t="shared" si="39"/>
        <v>1</v>
      </c>
      <c r="CM285" s="30">
        <v>3</v>
      </c>
      <c r="CN285" s="30">
        <v>0</v>
      </c>
      <c r="CO285" s="30">
        <v>0</v>
      </c>
      <c r="CP285" s="30">
        <v>0</v>
      </c>
      <c r="CQ285" s="67">
        <v>1</v>
      </c>
    </row>
    <row r="286" spans="1:95" x14ac:dyDescent="0.3">
      <c r="A286" s="11">
        <v>614</v>
      </c>
      <c r="B286" s="11" t="s">
        <v>3</v>
      </c>
      <c r="C286" s="11" t="s">
        <v>1</v>
      </c>
      <c r="D286" s="11" t="s">
        <v>5</v>
      </c>
      <c r="E286" s="11">
        <v>1</v>
      </c>
      <c r="F286" s="11" t="s">
        <v>6</v>
      </c>
      <c r="G286" s="11">
        <v>6.95</v>
      </c>
      <c r="H286" s="11">
        <v>18</v>
      </c>
      <c r="I286" s="11">
        <v>9.9260000000000002</v>
      </c>
      <c r="J286" s="11">
        <v>1.669</v>
      </c>
      <c r="K286" s="11">
        <v>16.814426758009269</v>
      </c>
      <c r="L286" s="11">
        <v>75.985611510791372</v>
      </c>
      <c r="M286" s="12">
        <f t="shared" si="33"/>
        <v>4.3168887727931677</v>
      </c>
      <c r="N286" s="11">
        <v>46.7</v>
      </c>
      <c r="O286" s="11">
        <v>1.3660000000000001</v>
      </c>
      <c r="P286" s="11">
        <v>8.5389999999999997</v>
      </c>
      <c r="Q286" s="11">
        <v>0.28100000000000003</v>
      </c>
      <c r="R286" s="11">
        <v>0.22962000000000002</v>
      </c>
      <c r="S286" s="6">
        <v>4</v>
      </c>
      <c r="T286" s="6">
        <v>2</v>
      </c>
      <c r="U286" s="6">
        <v>0</v>
      </c>
      <c r="V286" s="6">
        <v>1</v>
      </c>
      <c r="W286" s="6">
        <v>0</v>
      </c>
      <c r="X286" s="6">
        <v>1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1</v>
      </c>
      <c r="AE286" s="6">
        <v>0</v>
      </c>
      <c r="AF286" s="53">
        <v>0</v>
      </c>
      <c r="AG286" s="54">
        <v>3</v>
      </c>
      <c r="AH286" s="6">
        <v>0</v>
      </c>
      <c r="AI286" s="6">
        <v>0</v>
      </c>
      <c r="AJ286" s="53">
        <v>0</v>
      </c>
      <c r="AK286" s="55">
        <v>0</v>
      </c>
      <c r="AL286" s="56">
        <v>0</v>
      </c>
      <c r="AM286" s="56">
        <v>0</v>
      </c>
      <c r="AN286" s="57">
        <v>0</v>
      </c>
      <c r="AO286" s="56">
        <v>0</v>
      </c>
      <c r="AP286" s="53">
        <v>0</v>
      </c>
      <c r="AQ286" s="6">
        <v>8</v>
      </c>
      <c r="AR286" s="53">
        <v>0</v>
      </c>
      <c r="AS286" s="55">
        <v>0</v>
      </c>
      <c r="AT286" s="6">
        <v>0</v>
      </c>
      <c r="AU286" s="6">
        <v>0</v>
      </c>
      <c r="AV286" s="6">
        <v>1</v>
      </c>
      <c r="AW286" s="53">
        <v>5</v>
      </c>
      <c r="AX286" s="6">
        <v>0</v>
      </c>
      <c r="AY286" s="6">
        <v>0</v>
      </c>
      <c r="AZ286" s="53">
        <v>0</v>
      </c>
      <c r="BA286" s="6">
        <v>0</v>
      </c>
      <c r="BB286" s="6">
        <v>0</v>
      </c>
      <c r="BC286" s="53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53">
        <v>0</v>
      </c>
      <c r="BL286" s="53">
        <v>0</v>
      </c>
      <c r="BM286" s="53">
        <v>0</v>
      </c>
      <c r="BN286" s="53">
        <v>0</v>
      </c>
      <c r="BO286" s="53">
        <v>0</v>
      </c>
      <c r="BP286" s="6">
        <v>0</v>
      </c>
      <c r="BQ286" s="6">
        <v>0</v>
      </c>
      <c r="BR286" s="53">
        <v>0</v>
      </c>
      <c r="BS286" s="58">
        <v>0</v>
      </c>
      <c r="BT286" s="6">
        <v>0</v>
      </c>
      <c r="BU286" s="53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59">
        <v>0</v>
      </c>
      <c r="CG286" s="67">
        <f t="shared" si="34"/>
        <v>26</v>
      </c>
      <c r="CH286" s="69">
        <f t="shared" si="35"/>
        <v>9</v>
      </c>
      <c r="CI286" s="30">
        <f t="shared" si="36"/>
        <v>0</v>
      </c>
      <c r="CJ286" s="30">
        <f t="shared" si="37"/>
        <v>20</v>
      </c>
      <c r="CK286" s="30">
        <f t="shared" si="38"/>
        <v>6</v>
      </c>
      <c r="CL286" s="67">
        <f t="shared" si="39"/>
        <v>2</v>
      </c>
      <c r="CM286" s="30">
        <v>25</v>
      </c>
      <c r="CN286" s="30">
        <v>0</v>
      </c>
      <c r="CO286" s="30">
        <v>0</v>
      </c>
      <c r="CP286" s="30">
        <v>1</v>
      </c>
      <c r="CQ286" s="67">
        <v>1</v>
      </c>
    </row>
    <row r="287" spans="1:95" x14ac:dyDescent="0.3">
      <c r="A287" s="11">
        <v>631</v>
      </c>
      <c r="B287" s="11" t="s">
        <v>3</v>
      </c>
      <c r="C287" s="11" t="s">
        <v>1</v>
      </c>
      <c r="D287" s="11" t="s">
        <v>5</v>
      </c>
      <c r="E287" s="11">
        <v>5</v>
      </c>
      <c r="F287" s="11" t="s">
        <v>6</v>
      </c>
      <c r="G287" s="11">
        <v>7.09</v>
      </c>
      <c r="H287" s="11">
        <v>18</v>
      </c>
      <c r="I287" s="11">
        <v>7.7930000000000001</v>
      </c>
      <c r="J287" s="11">
        <v>2.4140000000000001</v>
      </c>
      <c r="K287" s="11">
        <v>30.97651738739895</v>
      </c>
      <c r="L287" s="11">
        <v>65.952045133991547</v>
      </c>
      <c r="M287" s="12">
        <f t="shared" si="33"/>
        <v>3.9677719757648608</v>
      </c>
      <c r="N287" s="11">
        <v>47.45</v>
      </c>
      <c r="O287" s="11">
        <v>1.7490000000000001</v>
      </c>
      <c r="P287" s="11">
        <v>10.929</v>
      </c>
      <c r="Q287" s="11">
        <v>0.44600000000000001</v>
      </c>
      <c r="R287" s="11">
        <v>0.32362000000000002</v>
      </c>
      <c r="S287" s="6">
        <v>1</v>
      </c>
      <c r="T287" s="6">
        <v>5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53">
        <v>0</v>
      </c>
      <c r="AG287" s="54">
        <v>6</v>
      </c>
      <c r="AH287" s="6">
        <v>0</v>
      </c>
      <c r="AI287" s="6">
        <v>0</v>
      </c>
      <c r="AJ287" s="53">
        <v>0</v>
      </c>
      <c r="AK287" s="55">
        <v>0</v>
      </c>
      <c r="AL287" s="56">
        <v>0</v>
      </c>
      <c r="AM287" s="56">
        <v>0</v>
      </c>
      <c r="AN287" s="57">
        <v>0</v>
      </c>
      <c r="AO287" s="56">
        <v>0</v>
      </c>
      <c r="AP287" s="53">
        <v>0</v>
      </c>
      <c r="AQ287" s="6">
        <v>1</v>
      </c>
      <c r="AR287" s="53">
        <v>0</v>
      </c>
      <c r="AS287" s="55">
        <v>0</v>
      </c>
      <c r="AT287" s="6">
        <v>0</v>
      </c>
      <c r="AU287" s="6">
        <v>0</v>
      </c>
      <c r="AV287" s="6">
        <v>0</v>
      </c>
      <c r="AW287" s="53">
        <v>0</v>
      </c>
      <c r="AX287" s="6">
        <v>0</v>
      </c>
      <c r="AY287" s="6">
        <v>0</v>
      </c>
      <c r="AZ287" s="53">
        <v>0</v>
      </c>
      <c r="BA287" s="6">
        <v>0</v>
      </c>
      <c r="BB287" s="6">
        <v>0</v>
      </c>
      <c r="BC287" s="53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53">
        <v>0</v>
      </c>
      <c r="BL287" s="53">
        <v>0</v>
      </c>
      <c r="BM287" s="53">
        <v>0</v>
      </c>
      <c r="BN287" s="53">
        <v>0</v>
      </c>
      <c r="BO287" s="53">
        <v>0</v>
      </c>
      <c r="BP287" s="6">
        <v>0</v>
      </c>
      <c r="BQ287" s="6">
        <v>0</v>
      </c>
      <c r="BR287" s="53">
        <v>0</v>
      </c>
      <c r="BS287" s="58">
        <v>0</v>
      </c>
      <c r="BT287" s="6">
        <v>0</v>
      </c>
      <c r="BU287" s="53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59">
        <v>0</v>
      </c>
      <c r="CG287" s="67">
        <f t="shared" si="34"/>
        <v>13</v>
      </c>
      <c r="CH287" s="69">
        <f t="shared" si="35"/>
        <v>4</v>
      </c>
      <c r="CI287" s="30">
        <f t="shared" si="36"/>
        <v>0</v>
      </c>
      <c r="CJ287" s="30">
        <f t="shared" si="37"/>
        <v>13</v>
      </c>
      <c r="CK287" s="30">
        <f t="shared" si="38"/>
        <v>0</v>
      </c>
      <c r="CL287" s="67">
        <f t="shared" si="39"/>
        <v>1</v>
      </c>
      <c r="CM287" s="30">
        <v>13</v>
      </c>
      <c r="CN287" s="30">
        <v>0</v>
      </c>
      <c r="CO287" s="30">
        <v>0</v>
      </c>
      <c r="CP287" s="30">
        <v>0</v>
      </c>
      <c r="CQ287" s="67">
        <v>1</v>
      </c>
    </row>
    <row r="288" spans="1:95" x14ac:dyDescent="0.3">
      <c r="A288" s="11">
        <v>634</v>
      </c>
      <c r="B288" s="11" t="s">
        <v>3</v>
      </c>
      <c r="C288" s="11" t="s">
        <v>14</v>
      </c>
      <c r="D288" s="11" t="s">
        <v>5</v>
      </c>
      <c r="E288" s="11">
        <v>3</v>
      </c>
      <c r="F288" s="11" t="s">
        <v>6</v>
      </c>
      <c r="G288" s="11">
        <v>7.05</v>
      </c>
      <c r="H288" s="11">
        <v>18</v>
      </c>
      <c r="I288" s="11">
        <v>5.0049999999999999</v>
      </c>
      <c r="J288" s="11">
        <v>1.905</v>
      </c>
      <c r="K288" s="11">
        <v>38.061938061938058</v>
      </c>
      <c r="L288" s="11">
        <v>72.978723404255319</v>
      </c>
      <c r="M288" s="12">
        <f t="shared" si="33"/>
        <v>4.1989173661416777</v>
      </c>
      <c r="N288" s="11">
        <v>46.66</v>
      </c>
      <c r="O288" s="11">
        <v>2.8130000000000002</v>
      </c>
      <c r="P288" s="11">
        <v>17.581</v>
      </c>
      <c r="Q288" s="11">
        <v>0.317</v>
      </c>
      <c r="R288" s="11">
        <v>0.34861999999999999</v>
      </c>
      <c r="S288" s="6">
        <v>1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1</v>
      </c>
      <c r="AC288" s="6">
        <v>0</v>
      </c>
      <c r="AD288" s="6">
        <v>1</v>
      </c>
      <c r="AE288" s="6">
        <v>0</v>
      </c>
      <c r="AF288" s="53">
        <v>0</v>
      </c>
      <c r="AG288" s="54">
        <v>9</v>
      </c>
      <c r="AH288" s="6">
        <v>0</v>
      </c>
      <c r="AI288" s="6">
        <v>0</v>
      </c>
      <c r="AJ288" s="53">
        <v>0</v>
      </c>
      <c r="AK288" s="55">
        <v>0</v>
      </c>
      <c r="AL288" s="56">
        <v>0</v>
      </c>
      <c r="AM288" s="56">
        <v>0</v>
      </c>
      <c r="AN288" s="57">
        <v>0</v>
      </c>
      <c r="AO288" s="56">
        <v>0</v>
      </c>
      <c r="AP288" s="53">
        <v>0</v>
      </c>
      <c r="AQ288" s="6">
        <v>0</v>
      </c>
      <c r="AR288" s="53">
        <v>0</v>
      </c>
      <c r="AS288" s="55">
        <v>0</v>
      </c>
      <c r="AT288" s="6">
        <v>0</v>
      </c>
      <c r="AU288" s="6">
        <v>0</v>
      </c>
      <c r="AV288" s="6">
        <v>0</v>
      </c>
      <c r="AW288" s="53">
        <v>0</v>
      </c>
      <c r="AX288" s="6">
        <v>0</v>
      </c>
      <c r="AY288" s="6">
        <v>0</v>
      </c>
      <c r="AZ288" s="53">
        <v>0</v>
      </c>
      <c r="BA288" s="6">
        <v>0</v>
      </c>
      <c r="BB288" s="6">
        <v>0</v>
      </c>
      <c r="BC288" s="53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53">
        <v>0</v>
      </c>
      <c r="BL288" s="53">
        <v>0</v>
      </c>
      <c r="BM288" s="53">
        <v>0</v>
      </c>
      <c r="BN288" s="53">
        <v>0</v>
      </c>
      <c r="BO288" s="53">
        <v>0</v>
      </c>
      <c r="BP288" s="6">
        <v>0</v>
      </c>
      <c r="BQ288" s="6">
        <v>0</v>
      </c>
      <c r="BR288" s="53">
        <v>0</v>
      </c>
      <c r="BS288" s="58">
        <v>0</v>
      </c>
      <c r="BT288" s="6">
        <v>0</v>
      </c>
      <c r="BU288" s="53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59">
        <v>0</v>
      </c>
      <c r="CG288" s="67">
        <f t="shared" si="34"/>
        <v>12</v>
      </c>
      <c r="CH288" s="69">
        <f t="shared" si="35"/>
        <v>4</v>
      </c>
      <c r="CI288" s="30">
        <f t="shared" si="36"/>
        <v>0</v>
      </c>
      <c r="CJ288" s="30">
        <f t="shared" si="37"/>
        <v>12</v>
      </c>
      <c r="CK288" s="30">
        <f t="shared" si="38"/>
        <v>0</v>
      </c>
      <c r="CL288" s="67">
        <f t="shared" si="39"/>
        <v>1</v>
      </c>
      <c r="CM288" s="30">
        <v>11</v>
      </c>
      <c r="CN288" s="30">
        <v>0</v>
      </c>
      <c r="CO288" s="30">
        <v>0</v>
      </c>
      <c r="CP288" s="30">
        <v>1</v>
      </c>
      <c r="CQ288" s="67">
        <v>1</v>
      </c>
    </row>
    <row r="289" spans="1:95" x14ac:dyDescent="0.3">
      <c r="A289" s="11">
        <v>639</v>
      </c>
      <c r="B289" s="11" t="s">
        <v>3</v>
      </c>
      <c r="C289" s="11" t="s">
        <v>1</v>
      </c>
      <c r="D289" s="11" t="s">
        <v>5</v>
      </c>
      <c r="E289" s="11">
        <v>3</v>
      </c>
      <c r="F289" s="11" t="s">
        <v>6</v>
      </c>
      <c r="G289" s="11">
        <v>6.95</v>
      </c>
      <c r="H289" s="11">
        <v>18</v>
      </c>
      <c r="I289" s="11">
        <v>3.2250000000000001</v>
      </c>
      <c r="J289" s="11">
        <v>2.0059999999999998</v>
      </c>
      <c r="K289" s="11">
        <v>62.201550387596896</v>
      </c>
      <c r="L289" s="11">
        <v>71.136690647482027</v>
      </c>
      <c r="M289" s="12">
        <f t="shared" si="33"/>
        <v>4.132970727933122</v>
      </c>
      <c r="N289" s="11">
        <v>43.06</v>
      </c>
      <c r="O289" s="11">
        <v>1.7350000000000001</v>
      </c>
      <c r="P289" s="11">
        <v>10.843999999999999</v>
      </c>
      <c r="Q289" s="11">
        <v>0.31</v>
      </c>
      <c r="R289" s="11">
        <v>0.39762000000000003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53">
        <v>0</v>
      </c>
      <c r="AG289" s="54">
        <v>0</v>
      </c>
      <c r="AH289" s="6">
        <v>0</v>
      </c>
      <c r="AI289" s="6">
        <v>0</v>
      </c>
      <c r="AJ289" s="53">
        <v>0</v>
      </c>
      <c r="AK289" s="55">
        <v>0</v>
      </c>
      <c r="AL289" s="56">
        <v>0</v>
      </c>
      <c r="AM289" s="56">
        <v>0</v>
      </c>
      <c r="AN289" s="57">
        <v>0</v>
      </c>
      <c r="AO289" s="56">
        <v>0</v>
      </c>
      <c r="AP289" s="53">
        <v>0</v>
      </c>
      <c r="AQ289" s="6">
        <v>0</v>
      </c>
      <c r="AR289" s="53">
        <v>0</v>
      </c>
      <c r="AS289" s="55">
        <v>0</v>
      </c>
      <c r="AT289" s="6">
        <v>0</v>
      </c>
      <c r="AU289" s="6">
        <v>0</v>
      </c>
      <c r="AV289" s="6">
        <v>0</v>
      </c>
      <c r="AW289" s="53">
        <v>0</v>
      </c>
      <c r="AX289" s="6">
        <v>0</v>
      </c>
      <c r="AY289" s="6">
        <v>0</v>
      </c>
      <c r="AZ289" s="53">
        <v>0</v>
      </c>
      <c r="BA289" s="6">
        <v>0</v>
      </c>
      <c r="BB289" s="6">
        <v>0</v>
      </c>
      <c r="BC289" s="53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53">
        <v>0</v>
      </c>
      <c r="BL289" s="53">
        <v>0</v>
      </c>
      <c r="BM289" s="53">
        <v>0</v>
      </c>
      <c r="BN289" s="53">
        <v>0</v>
      </c>
      <c r="BO289" s="53">
        <v>0</v>
      </c>
      <c r="BP289" s="6">
        <v>0</v>
      </c>
      <c r="BQ289" s="6">
        <v>0</v>
      </c>
      <c r="BR289" s="53">
        <v>0</v>
      </c>
      <c r="BS289" s="58">
        <v>0</v>
      </c>
      <c r="BT289" s="6">
        <v>0</v>
      </c>
      <c r="BU289" s="53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59">
        <v>0</v>
      </c>
      <c r="CG289" s="67">
        <f t="shared" si="34"/>
        <v>0</v>
      </c>
      <c r="CH289" s="69">
        <f t="shared" si="35"/>
        <v>0</v>
      </c>
      <c r="CI289" s="30">
        <f t="shared" si="36"/>
        <v>0</v>
      </c>
      <c r="CJ289" s="30">
        <f t="shared" si="37"/>
        <v>0</v>
      </c>
      <c r="CK289" s="30">
        <f t="shared" si="38"/>
        <v>0</v>
      </c>
      <c r="CL289" s="67">
        <f t="shared" si="39"/>
        <v>0</v>
      </c>
      <c r="CM289" s="30">
        <v>0</v>
      </c>
      <c r="CN289" s="30">
        <v>0</v>
      </c>
      <c r="CO289" s="30">
        <v>0</v>
      </c>
      <c r="CP289" s="30">
        <v>0</v>
      </c>
      <c r="CQ289" s="67">
        <v>0</v>
      </c>
    </row>
    <row r="290" spans="1:95" x14ac:dyDescent="0.3">
      <c r="A290" s="11">
        <v>655</v>
      </c>
      <c r="B290" s="11" t="s">
        <v>3</v>
      </c>
      <c r="C290" s="11" t="s">
        <v>14</v>
      </c>
      <c r="D290" s="11" t="s">
        <v>5</v>
      </c>
      <c r="E290" s="11">
        <v>5</v>
      </c>
      <c r="F290" s="11" t="s">
        <v>6</v>
      </c>
      <c r="G290" s="11">
        <v>7.02</v>
      </c>
      <c r="H290" s="11">
        <v>18</v>
      </c>
      <c r="I290" s="11">
        <v>6.6580000000000004</v>
      </c>
      <c r="J290" s="11">
        <v>3.32</v>
      </c>
      <c r="K290" s="11">
        <v>49.864824271553019</v>
      </c>
      <c r="L290" s="11">
        <v>52.706552706552699</v>
      </c>
      <c r="M290" s="12">
        <f t="shared" si="33"/>
        <v>3.6391701930054872</v>
      </c>
      <c r="N290" s="11">
        <v>46.77</v>
      </c>
      <c r="O290" s="11">
        <v>2.3479999999999999</v>
      </c>
      <c r="P290" s="11">
        <v>14.675000000000001</v>
      </c>
      <c r="Q290" s="11">
        <v>0.28299999999999997</v>
      </c>
      <c r="R290" s="11">
        <v>0.43962000000000001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1</v>
      </c>
      <c r="Y290" s="6">
        <v>0</v>
      </c>
      <c r="Z290" s="6">
        <v>0</v>
      </c>
      <c r="AA290" s="6">
        <v>0</v>
      </c>
      <c r="AB290" s="6">
        <v>1</v>
      </c>
      <c r="AC290" s="6">
        <v>0</v>
      </c>
      <c r="AD290" s="6">
        <v>0</v>
      </c>
      <c r="AE290" s="6">
        <v>0</v>
      </c>
      <c r="AF290" s="53">
        <v>0</v>
      </c>
      <c r="AG290" s="54">
        <v>6</v>
      </c>
      <c r="AH290" s="6">
        <v>0</v>
      </c>
      <c r="AI290" s="6">
        <v>0</v>
      </c>
      <c r="AJ290" s="53">
        <v>0</v>
      </c>
      <c r="AK290" s="55">
        <v>0</v>
      </c>
      <c r="AL290" s="56">
        <v>0</v>
      </c>
      <c r="AM290" s="56">
        <v>0</v>
      </c>
      <c r="AN290" s="57">
        <v>0</v>
      </c>
      <c r="AO290" s="56">
        <v>0</v>
      </c>
      <c r="AP290" s="53">
        <v>0</v>
      </c>
      <c r="AQ290" s="6">
        <v>0</v>
      </c>
      <c r="AR290" s="53">
        <v>0</v>
      </c>
      <c r="AS290" s="55">
        <v>0</v>
      </c>
      <c r="AT290" s="6">
        <v>0</v>
      </c>
      <c r="AU290" s="6">
        <v>0</v>
      </c>
      <c r="AV290" s="6">
        <v>0</v>
      </c>
      <c r="AW290" s="53">
        <v>0</v>
      </c>
      <c r="AX290" s="6">
        <v>0</v>
      </c>
      <c r="AY290" s="6">
        <v>0</v>
      </c>
      <c r="AZ290" s="53">
        <v>0</v>
      </c>
      <c r="BA290" s="6">
        <v>0</v>
      </c>
      <c r="BB290" s="6">
        <v>0</v>
      </c>
      <c r="BC290" s="53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53">
        <v>0</v>
      </c>
      <c r="BL290" s="53">
        <v>0</v>
      </c>
      <c r="BM290" s="53">
        <v>0</v>
      </c>
      <c r="BN290" s="53">
        <v>0</v>
      </c>
      <c r="BO290" s="53">
        <v>0</v>
      </c>
      <c r="BP290" s="6">
        <v>0</v>
      </c>
      <c r="BQ290" s="6">
        <v>0</v>
      </c>
      <c r="BR290" s="53">
        <v>0</v>
      </c>
      <c r="BS290" s="58">
        <v>0</v>
      </c>
      <c r="BT290" s="6">
        <v>0</v>
      </c>
      <c r="BU290" s="53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59">
        <v>0</v>
      </c>
      <c r="CG290" s="67">
        <f t="shared" si="34"/>
        <v>8</v>
      </c>
      <c r="CH290" s="69">
        <f t="shared" si="35"/>
        <v>3</v>
      </c>
      <c r="CI290" s="30">
        <f t="shared" si="36"/>
        <v>0</v>
      </c>
      <c r="CJ290" s="30">
        <f t="shared" si="37"/>
        <v>8</v>
      </c>
      <c r="CK290" s="30">
        <f t="shared" si="38"/>
        <v>0</v>
      </c>
      <c r="CL290" s="67">
        <f t="shared" si="39"/>
        <v>1</v>
      </c>
      <c r="CM290" s="30">
        <v>8</v>
      </c>
      <c r="CN290" s="30">
        <v>0</v>
      </c>
      <c r="CO290" s="30">
        <v>0</v>
      </c>
      <c r="CP290" s="30">
        <v>0</v>
      </c>
      <c r="CQ290" s="67">
        <v>1</v>
      </c>
    </row>
    <row r="291" spans="1:95" x14ac:dyDescent="0.3">
      <c r="A291" s="11">
        <v>675</v>
      </c>
      <c r="B291" s="11" t="s">
        <v>3</v>
      </c>
      <c r="C291" s="11" t="s">
        <v>14</v>
      </c>
      <c r="D291" s="11" t="s">
        <v>5</v>
      </c>
      <c r="E291" s="11">
        <v>1</v>
      </c>
      <c r="F291" s="11" t="s">
        <v>6</v>
      </c>
      <c r="G291" s="11">
        <v>7</v>
      </c>
      <c r="H291" s="11">
        <v>18</v>
      </c>
      <c r="I291" s="11">
        <v>4.0469999999999997</v>
      </c>
      <c r="J291" s="11">
        <v>2.0089999999999999</v>
      </c>
      <c r="K291" s="11">
        <v>49.641709908574256</v>
      </c>
      <c r="L291" s="11">
        <v>71.3</v>
      </c>
      <c r="M291" s="12">
        <f t="shared" si="33"/>
        <v>4.1386448211186808</v>
      </c>
      <c r="N291" s="11">
        <v>45.69</v>
      </c>
      <c r="O291" s="11">
        <v>1.589</v>
      </c>
      <c r="P291" s="11">
        <v>9.9280000000000008</v>
      </c>
      <c r="Q291" s="11">
        <v>0.28199999999999997</v>
      </c>
      <c r="R291" s="11">
        <v>0.27799999999999997</v>
      </c>
      <c r="S291" s="6">
        <v>5</v>
      </c>
      <c r="T291" s="6">
        <v>5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1</v>
      </c>
      <c r="AE291" s="6">
        <v>0</v>
      </c>
      <c r="AF291" s="53">
        <v>0</v>
      </c>
      <c r="AG291" s="54">
        <v>4</v>
      </c>
      <c r="AH291" s="6">
        <v>0</v>
      </c>
      <c r="AI291" s="6">
        <v>0</v>
      </c>
      <c r="AJ291" s="53">
        <v>0</v>
      </c>
      <c r="AK291" s="55">
        <v>0</v>
      </c>
      <c r="AL291" s="56">
        <v>0</v>
      </c>
      <c r="AM291" s="56">
        <v>0</v>
      </c>
      <c r="AN291" s="57">
        <v>0</v>
      </c>
      <c r="AO291" s="56">
        <v>0</v>
      </c>
      <c r="AP291" s="53">
        <v>0</v>
      </c>
      <c r="AQ291" s="6">
        <v>0</v>
      </c>
      <c r="AR291" s="53">
        <v>0</v>
      </c>
      <c r="AS291" s="55">
        <v>1</v>
      </c>
      <c r="AT291" s="6">
        <v>0</v>
      </c>
      <c r="AU291" s="6">
        <v>0</v>
      </c>
      <c r="AV291" s="6">
        <v>0</v>
      </c>
      <c r="AW291" s="53">
        <v>0</v>
      </c>
      <c r="AX291" s="6">
        <v>0</v>
      </c>
      <c r="AY291" s="6">
        <v>0</v>
      </c>
      <c r="AZ291" s="53">
        <v>0</v>
      </c>
      <c r="BA291" s="6">
        <v>0</v>
      </c>
      <c r="BB291" s="6">
        <v>0</v>
      </c>
      <c r="BC291" s="53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53">
        <v>0</v>
      </c>
      <c r="BL291" s="53">
        <v>0</v>
      </c>
      <c r="BM291" s="53">
        <v>0</v>
      </c>
      <c r="BN291" s="53">
        <v>0</v>
      </c>
      <c r="BO291" s="53">
        <v>0</v>
      </c>
      <c r="BP291" s="6">
        <v>0</v>
      </c>
      <c r="BQ291" s="6">
        <v>0</v>
      </c>
      <c r="BR291" s="53">
        <v>0</v>
      </c>
      <c r="BS291" s="58">
        <v>0</v>
      </c>
      <c r="BT291" s="6">
        <v>0</v>
      </c>
      <c r="BU291" s="53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59">
        <v>0</v>
      </c>
      <c r="CG291" s="67">
        <f t="shared" si="34"/>
        <v>16</v>
      </c>
      <c r="CH291" s="69">
        <f t="shared" si="35"/>
        <v>5</v>
      </c>
      <c r="CI291" s="30">
        <f t="shared" si="36"/>
        <v>1</v>
      </c>
      <c r="CJ291" s="30">
        <f t="shared" si="37"/>
        <v>15</v>
      </c>
      <c r="CK291" s="30">
        <f t="shared" si="38"/>
        <v>0</v>
      </c>
      <c r="CL291" s="67">
        <f t="shared" si="39"/>
        <v>2</v>
      </c>
      <c r="CM291" s="30">
        <v>15</v>
      </c>
      <c r="CN291" s="30">
        <v>0</v>
      </c>
      <c r="CO291" s="30">
        <v>0</v>
      </c>
      <c r="CP291" s="30">
        <v>1</v>
      </c>
      <c r="CQ291" s="67">
        <v>1</v>
      </c>
    </row>
    <row r="292" spans="1:95" x14ac:dyDescent="0.3">
      <c r="A292" s="11" t="s">
        <v>60</v>
      </c>
      <c r="B292" s="11" t="s">
        <v>3</v>
      </c>
      <c r="C292" s="11" t="s">
        <v>1</v>
      </c>
      <c r="D292" s="11" t="s">
        <v>5</v>
      </c>
      <c r="E292" s="11">
        <v>2</v>
      </c>
      <c r="F292" s="11" t="s">
        <v>6</v>
      </c>
      <c r="G292" s="11">
        <v>7</v>
      </c>
      <c r="H292" s="11">
        <v>18</v>
      </c>
      <c r="I292" s="11">
        <v>3.1720000000000002</v>
      </c>
      <c r="J292" s="11">
        <v>1.0509999999999999</v>
      </c>
      <c r="K292" s="11">
        <v>33.13366960907944</v>
      </c>
      <c r="L292" s="11">
        <v>84.98571428571428</v>
      </c>
      <c r="M292" s="12">
        <f t="shared" si="33"/>
        <v>4.7865398150566643</v>
      </c>
      <c r="N292" s="11">
        <v>45.76</v>
      </c>
      <c r="O292" s="11">
        <v>1.369</v>
      </c>
      <c r="P292" s="11">
        <v>8.5559999999999992</v>
      </c>
      <c r="Q292" s="11">
        <v>0.254</v>
      </c>
      <c r="R292" s="11">
        <v>0.27199999999999996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53">
        <v>0</v>
      </c>
      <c r="AG292" s="54">
        <v>6</v>
      </c>
      <c r="AH292" s="6">
        <v>0</v>
      </c>
      <c r="AI292" s="6">
        <v>0</v>
      </c>
      <c r="AJ292" s="53">
        <v>0</v>
      </c>
      <c r="AK292" s="55">
        <v>0</v>
      </c>
      <c r="AL292" s="56">
        <v>0</v>
      </c>
      <c r="AM292" s="56">
        <v>0</v>
      </c>
      <c r="AN292" s="57">
        <v>0</v>
      </c>
      <c r="AO292" s="56">
        <v>0</v>
      </c>
      <c r="AP292" s="53">
        <v>0</v>
      </c>
      <c r="AQ292" s="6">
        <v>0</v>
      </c>
      <c r="AR292" s="53">
        <v>0</v>
      </c>
      <c r="AS292" s="55">
        <v>0</v>
      </c>
      <c r="AT292" s="6">
        <v>0</v>
      </c>
      <c r="AU292" s="6">
        <v>0</v>
      </c>
      <c r="AV292" s="6">
        <v>0</v>
      </c>
      <c r="AW292" s="53">
        <v>0</v>
      </c>
      <c r="AX292" s="6">
        <v>0</v>
      </c>
      <c r="AY292" s="6">
        <v>0</v>
      </c>
      <c r="AZ292" s="53">
        <v>0</v>
      </c>
      <c r="BA292" s="6">
        <v>0</v>
      </c>
      <c r="BB292" s="6">
        <v>0</v>
      </c>
      <c r="BC292" s="53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53">
        <v>0</v>
      </c>
      <c r="BL292" s="53">
        <v>0</v>
      </c>
      <c r="BM292" s="53">
        <v>0</v>
      </c>
      <c r="BN292" s="53">
        <v>0</v>
      </c>
      <c r="BO292" s="53">
        <v>0</v>
      </c>
      <c r="BP292" s="6">
        <v>0</v>
      </c>
      <c r="BQ292" s="6">
        <v>0</v>
      </c>
      <c r="BR292" s="53">
        <v>0</v>
      </c>
      <c r="BS292" s="58">
        <v>0</v>
      </c>
      <c r="BT292" s="6">
        <v>0</v>
      </c>
      <c r="BU292" s="53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59">
        <v>0</v>
      </c>
      <c r="CG292" s="67">
        <f t="shared" si="34"/>
        <v>6</v>
      </c>
      <c r="CH292" s="69">
        <f t="shared" si="35"/>
        <v>1</v>
      </c>
      <c r="CI292" s="30">
        <f t="shared" si="36"/>
        <v>0</v>
      </c>
      <c r="CJ292" s="30">
        <f t="shared" si="37"/>
        <v>6</v>
      </c>
      <c r="CK292" s="30">
        <f t="shared" si="38"/>
        <v>0</v>
      </c>
      <c r="CL292" s="67">
        <f t="shared" si="39"/>
        <v>1</v>
      </c>
      <c r="CM292" s="30">
        <v>6</v>
      </c>
      <c r="CN292" s="30">
        <v>0</v>
      </c>
      <c r="CO292" s="30">
        <v>0</v>
      </c>
      <c r="CP292" s="30">
        <v>0</v>
      </c>
      <c r="CQ292" s="67">
        <v>1</v>
      </c>
    </row>
    <row r="293" spans="1:95" x14ac:dyDescent="0.3">
      <c r="A293" s="11" t="s">
        <v>61</v>
      </c>
      <c r="B293" s="11" t="s">
        <v>3</v>
      </c>
      <c r="C293" s="11" t="s">
        <v>14</v>
      </c>
      <c r="D293" s="11" t="s">
        <v>4</v>
      </c>
      <c r="E293" s="11">
        <v>4</v>
      </c>
      <c r="F293" s="11" t="s">
        <v>6</v>
      </c>
      <c r="G293" s="11">
        <v>7</v>
      </c>
      <c r="H293" s="11">
        <v>18</v>
      </c>
      <c r="I293" s="11">
        <v>4.9050000000000002</v>
      </c>
      <c r="J293" s="11">
        <v>2.2149999999999999</v>
      </c>
      <c r="K293" s="11">
        <v>45.15800203873598</v>
      </c>
      <c r="L293" s="11">
        <v>68.357142857142861</v>
      </c>
      <c r="M293" s="12">
        <f t="shared" si="33"/>
        <v>4.0410295034543795</v>
      </c>
      <c r="N293" s="11">
        <v>44.49</v>
      </c>
      <c r="O293" s="11">
        <v>1.8720000000000001</v>
      </c>
      <c r="P293" s="12">
        <v>11.702</v>
      </c>
      <c r="Q293" s="12">
        <v>0.42199999999999999</v>
      </c>
      <c r="R293" s="12">
        <v>0.32300000000000001</v>
      </c>
      <c r="S293" s="6">
        <v>4</v>
      </c>
      <c r="T293" s="6">
        <v>1</v>
      </c>
      <c r="U293" s="6">
        <v>0</v>
      </c>
      <c r="V293" s="6">
        <v>1</v>
      </c>
      <c r="W293" s="6">
        <v>0</v>
      </c>
      <c r="X293" s="6">
        <v>0</v>
      </c>
      <c r="Y293" s="6">
        <v>0</v>
      </c>
      <c r="Z293" s="6">
        <v>1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53">
        <v>1</v>
      </c>
      <c r="AG293" s="54">
        <v>8</v>
      </c>
      <c r="AH293" s="6">
        <v>2</v>
      </c>
      <c r="AI293" s="6">
        <v>0</v>
      </c>
      <c r="AJ293" s="53">
        <v>0</v>
      </c>
      <c r="AK293" s="55">
        <v>0</v>
      </c>
      <c r="AL293" s="56">
        <v>0</v>
      </c>
      <c r="AM293" s="56">
        <v>0</v>
      </c>
      <c r="AN293" s="57">
        <v>0</v>
      </c>
      <c r="AO293" s="56">
        <v>0</v>
      </c>
      <c r="AP293" s="53">
        <v>0</v>
      </c>
      <c r="AQ293" s="6">
        <v>3</v>
      </c>
      <c r="AR293" s="53">
        <v>0</v>
      </c>
      <c r="AS293" s="55">
        <v>0</v>
      </c>
      <c r="AT293" s="6">
        <v>0</v>
      </c>
      <c r="AU293" s="6">
        <v>0</v>
      </c>
      <c r="AV293" s="6">
        <v>0</v>
      </c>
      <c r="AW293" s="53">
        <v>0</v>
      </c>
      <c r="AX293" s="6">
        <v>0</v>
      </c>
      <c r="AY293" s="6">
        <v>0</v>
      </c>
      <c r="AZ293" s="53">
        <v>0</v>
      </c>
      <c r="BA293" s="6">
        <v>0</v>
      </c>
      <c r="BB293" s="6">
        <v>0</v>
      </c>
      <c r="BC293" s="53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53">
        <v>0</v>
      </c>
      <c r="BL293" s="53">
        <v>0</v>
      </c>
      <c r="BM293" s="53">
        <v>0</v>
      </c>
      <c r="BN293" s="53">
        <v>0</v>
      </c>
      <c r="BO293" s="53">
        <v>0</v>
      </c>
      <c r="BP293" s="6">
        <v>0</v>
      </c>
      <c r="BQ293" s="6">
        <v>0</v>
      </c>
      <c r="BR293" s="53">
        <v>0</v>
      </c>
      <c r="BS293" s="58">
        <v>0</v>
      </c>
      <c r="BT293" s="6">
        <v>0</v>
      </c>
      <c r="BU293" s="53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59">
        <v>0</v>
      </c>
      <c r="CG293" s="67">
        <f t="shared" si="34"/>
        <v>21</v>
      </c>
      <c r="CH293" s="69">
        <f t="shared" si="35"/>
        <v>8</v>
      </c>
      <c r="CI293" s="30">
        <f t="shared" si="36"/>
        <v>0</v>
      </c>
      <c r="CJ293" s="30">
        <f t="shared" si="37"/>
        <v>21</v>
      </c>
      <c r="CK293" s="30">
        <f t="shared" si="38"/>
        <v>0</v>
      </c>
      <c r="CL293" s="67">
        <f t="shared" si="39"/>
        <v>1</v>
      </c>
      <c r="CM293" s="30">
        <v>20</v>
      </c>
      <c r="CN293" s="30">
        <v>0</v>
      </c>
      <c r="CO293" s="30">
        <v>0</v>
      </c>
      <c r="CP293" s="30">
        <v>1</v>
      </c>
      <c r="CQ293" s="67">
        <v>1</v>
      </c>
    </row>
    <row r="294" spans="1:95" x14ac:dyDescent="0.3">
      <c r="A294" s="11" t="s">
        <v>62</v>
      </c>
      <c r="B294" s="11" t="s">
        <v>3</v>
      </c>
      <c r="C294" s="11" t="s">
        <v>14</v>
      </c>
      <c r="D294" s="11" t="s">
        <v>5</v>
      </c>
      <c r="E294" s="11">
        <v>2</v>
      </c>
      <c r="F294" s="11" t="s">
        <v>6</v>
      </c>
      <c r="G294" s="11">
        <v>7</v>
      </c>
      <c r="H294" s="11">
        <v>18</v>
      </c>
      <c r="I294" s="11">
        <v>4.8129999999999997</v>
      </c>
      <c r="J294" s="11">
        <v>1.5409999999999999</v>
      </c>
      <c r="K294" s="11">
        <v>32.017452732183671</v>
      </c>
      <c r="L294" s="11">
        <v>77.98571428571428</v>
      </c>
      <c r="M294" s="12">
        <f t="shared" si="33"/>
        <v>4.4038503506134994</v>
      </c>
      <c r="N294" s="11">
        <v>43.9</v>
      </c>
      <c r="O294" s="11">
        <v>2.6429999999999998</v>
      </c>
      <c r="P294" s="11">
        <v>16.518999999999998</v>
      </c>
      <c r="Q294" s="11">
        <v>0.32700000000000001</v>
      </c>
      <c r="R294" s="11">
        <v>0.10161999999999999</v>
      </c>
      <c r="S294" s="6">
        <v>0</v>
      </c>
      <c r="T294" s="6">
        <v>1</v>
      </c>
      <c r="U294" s="6">
        <v>0</v>
      </c>
      <c r="V294" s="6">
        <v>0</v>
      </c>
      <c r="W294" s="6">
        <v>0</v>
      </c>
      <c r="X294" s="6">
        <v>1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53">
        <v>0</v>
      </c>
      <c r="AG294" s="54">
        <v>5</v>
      </c>
      <c r="AH294" s="6">
        <v>0</v>
      </c>
      <c r="AI294" s="6">
        <v>0</v>
      </c>
      <c r="AJ294" s="53">
        <v>0</v>
      </c>
      <c r="AK294" s="55">
        <v>0</v>
      </c>
      <c r="AL294" s="56">
        <v>0</v>
      </c>
      <c r="AM294" s="56">
        <v>0</v>
      </c>
      <c r="AN294" s="57">
        <v>0</v>
      </c>
      <c r="AO294" s="56">
        <v>0</v>
      </c>
      <c r="AP294" s="53">
        <v>0</v>
      </c>
      <c r="AQ294" s="6">
        <v>0</v>
      </c>
      <c r="AR294" s="53">
        <v>0</v>
      </c>
      <c r="AS294" s="55">
        <v>0</v>
      </c>
      <c r="AT294" s="6">
        <v>0</v>
      </c>
      <c r="AU294" s="6">
        <v>0</v>
      </c>
      <c r="AV294" s="6">
        <v>0</v>
      </c>
      <c r="AW294" s="53">
        <v>0</v>
      </c>
      <c r="AX294" s="6">
        <v>0</v>
      </c>
      <c r="AY294" s="6">
        <v>0</v>
      </c>
      <c r="AZ294" s="53">
        <v>0</v>
      </c>
      <c r="BA294" s="6">
        <v>0</v>
      </c>
      <c r="BB294" s="6">
        <v>0</v>
      </c>
      <c r="BC294" s="53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53">
        <v>0</v>
      </c>
      <c r="BL294" s="53">
        <v>0</v>
      </c>
      <c r="BM294" s="53">
        <v>0</v>
      </c>
      <c r="BN294" s="53">
        <v>0</v>
      </c>
      <c r="BO294" s="53">
        <v>0</v>
      </c>
      <c r="BP294" s="6">
        <v>0</v>
      </c>
      <c r="BQ294" s="6">
        <v>0</v>
      </c>
      <c r="BR294" s="53">
        <v>0</v>
      </c>
      <c r="BS294" s="58">
        <v>0</v>
      </c>
      <c r="BT294" s="6">
        <v>0</v>
      </c>
      <c r="BU294" s="53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59">
        <v>0</v>
      </c>
      <c r="CG294" s="67">
        <f t="shared" si="34"/>
        <v>7</v>
      </c>
      <c r="CH294" s="69">
        <f t="shared" si="35"/>
        <v>3</v>
      </c>
      <c r="CI294" s="30">
        <f t="shared" si="36"/>
        <v>0</v>
      </c>
      <c r="CJ294" s="30">
        <f t="shared" si="37"/>
        <v>7</v>
      </c>
      <c r="CK294" s="30">
        <f t="shared" si="38"/>
        <v>0</v>
      </c>
      <c r="CL294" s="67">
        <f t="shared" si="39"/>
        <v>1</v>
      </c>
      <c r="CM294" s="30">
        <v>7</v>
      </c>
      <c r="CN294" s="30">
        <v>0</v>
      </c>
      <c r="CO294" s="30">
        <v>0</v>
      </c>
      <c r="CP294" s="30">
        <v>0</v>
      </c>
      <c r="CQ294" s="67">
        <v>1</v>
      </c>
    </row>
    <row r="295" spans="1:95" x14ac:dyDescent="0.3">
      <c r="A295" s="11" t="s">
        <v>57</v>
      </c>
      <c r="B295" s="11" t="s">
        <v>0</v>
      </c>
      <c r="C295" s="11" t="s">
        <v>1</v>
      </c>
      <c r="D295" s="11" t="s">
        <v>4</v>
      </c>
      <c r="E295" s="11">
        <v>2</v>
      </c>
      <c r="F295" s="11" t="s">
        <v>6</v>
      </c>
      <c r="G295" s="11">
        <v>7</v>
      </c>
      <c r="H295" s="11">
        <v>18</v>
      </c>
      <c r="I295" s="11">
        <v>3.8969999999999998</v>
      </c>
      <c r="J295" s="11">
        <v>2.343</v>
      </c>
      <c r="K295" s="11">
        <v>39.876828329484212</v>
      </c>
      <c r="L295" s="11">
        <v>66.528571428571425</v>
      </c>
      <c r="M295" s="12">
        <f t="shared" si="33"/>
        <v>3.9848497474258195</v>
      </c>
      <c r="N295" s="11">
        <v>45.26</v>
      </c>
      <c r="O295" s="11">
        <v>1.6859999999999999</v>
      </c>
      <c r="P295" s="11">
        <v>10.536</v>
      </c>
      <c r="Q295" s="11">
        <v>0.20899999999999999</v>
      </c>
      <c r="R295" s="11">
        <v>0.18962000000000001</v>
      </c>
      <c r="S295" s="6">
        <v>0</v>
      </c>
      <c r="T295" s="6">
        <v>1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53">
        <v>0</v>
      </c>
      <c r="AG295" s="54">
        <v>7</v>
      </c>
      <c r="AH295" s="6">
        <v>0</v>
      </c>
      <c r="AI295" s="6">
        <v>0</v>
      </c>
      <c r="AJ295" s="53">
        <v>0</v>
      </c>
      <c r="AK295" s="55">
        <v>0</v>
      </c>
      <c r="AL295" s="56">
        <v>0</v>
      </c>
      <c r="AM295" s="56">
        <v>0</v>
      </c>
      <c r="AN295" s="57">
        <v>0</v>
      </c>
      <c r="AO295" s="56">
        <v>0</v>
      </c>
      <c r="AP295" s="53">
        <v>0</v>
      </c>
      <c r="AQ295" s="6">
        <v>0</v>
      </c>
      <c r="AR295" s="53">
        <v>0</v>
      </c>
      <c r="AS295" s="55">
        <v>0</v>
      </c>
      <c r="AT295" s="6">
        <v>0</v>
      </c>
      <c r="AU295" s="6">
        <v>0</v>
      </c>
      <c r="AV295" s="6">
        <v>0</v>
      </c>
      <c r="AW295" s="53">
        <v>0</v>
      </c>
      <c r="AX295" s="6">
        <v>0</v>
      </c>
      <c r="AY295" s="6">
        <v>0</v>
      </c>
      <c r="AZ295" s="53">
        <v>0</v>
      </c>
      <c r="BA295" s="6">
        <v>0</v>
      </c>
      <c r="BB295" s="6">
        <v>0</v>
      </c>
      <c r="BC295" s="53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53">
        <v>0</v>
      </c>
      <c r="BL295" s="53">
        <v>0</v>
      </c>
      <c r="BM295" s="53">
        <v>0</v>
      </c>
      <c r="BN295" s="53">
        <v>0</v>
      </c>
      <c r="BO295" s="53">
        <v>0</v>
      </c>
      <c r="BP295" s="6">
        <v>0</v>
      </c>
      <c r="BQ295" s="6">
        <v>0</v>
      </c>
      <c r="BR295" s="53">
        <v>0</v>
      </c>
      <c r="BS295" s="58">
        <v>0</v>
      </c>
      <c r="BT295" s="6">
        <v>0</v>
      </c>
      <c r="BU295" s="53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59">
        <v>0</v>
      </c>
      <c r="CG295" s="67">
        <f t="shared" si="34"/>
        <v>8</v>
      </c>
      <c r="CH295" s="69">
        <f t="shared" si="35"/>
        <v>2</v>
      </c>
      <c r="CI295" s="30">
        <f t="shared" si="36"/>
        <v>0</v>
      </c>
      <c r="CJ295" s="30">
        <f t="shared" si="37"/>
        <v>8</v>
      </c>
      <c r="CK295" s="30">
        <f t="shared" si="38"/>
        <v>0</v>
      </c>
      <c r="CL295" s="67">
        <f t="shared" si="39"/>
        <v>1</v>
      </c>
      <c r="CM295" s="30">
        <v>8</v>
      </c>
      <c r="CN295" s="30">
        <v>0</v>
      </c>
      <c r="CO295" s="30">
        <v>0</v>
      </c>
      <c r="CP295" s="30">
        <v>0</v>
      </c>
      <c r="CQ295" s="67">
        <v>1</v>
      </c>
    </row>
    <row r="296" spans="1:95" x14ac:dyDescent="0.3">
      <c r="A296" s="11" t="s">
        <v>58</v>
      </c>
      <c r="B296" s="11" t="s">
        <v>0</v>
      </c>
      <c r="C296" s="11" t="s">
        <v>1</v>
      </c>
      <c r="D296" s="11" t="s">
        <v>5</v>
      </c>
      <c r="E296" s="11">
        <v>2</v>
      </c>
      <c r="F296" s="11" t="s">
        <v>6</v>
      </c>
      <c r="G296" s="11">
        <v>7</v>
      </c>
      <c r="H296" s="11">
        <v>18</v>
      </c>
      <c r="I296" s="11">
        <v>3.93</v>
      </c>
      <c r="J296" s="11">
        <v>2.3540000000000001</v>
      </c>
      <c r="K296" s="11">
        <v>40.101781170483456</v>
      </c>
      <c r="L296" s="11">
        <v>66.371428571428567</v>
      </c>
      <c r="M296" s="12">
        <f t="shared" si="33"/>
        <v>3.9801658981133929</v>
      </c>
      <c r="N296" s="11">
        <v>46.77</v>
      </c>
      <c r="O296" s="11">
        <v>1.228</v>
      </c>
      <c r="P296" s="11">
        <v>7.6779999999999999</v>
      </c>
      <c r="Q296" s="11">
        <v>0.318</v>
      </c>
      <c r="R296" s="11">
        <v>0.34300000000000003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53">
        <v>0</v>
      </c>
      <c r="AG296" s="54">
        <v>0</v>
      </c>
      <c r="AH296" s="6">
        <v>0</v>
      </c>
      <c r="AI296" s="6">
        <v>0</v>
      </c>
      <c r="AJ296" s="53">
        <v>0</v>
      </c>
      <c r="AK296" s="55">
        <v>0</v>
      </c>
      <c r="AL296" s="56">
        <v>0</v>
      </c>
      <c r="AM296" s="56">
        <v>0</v>
      </c>
      <c r="AN296" s="57">
        <v>0</v>
      </c>
      <c r="AO296" s="56">
        <v>0</v>
      </c>
      <c r="AP296" s="53">
        <v>0</v>
      </c>
      <c r="AQ296" s="6">
        <v>0</v>
      </c>
      <c r="AR296" s="53">
        <v>0</v>
      </c>
      <c r="AS296" s="55">
        <v>0</v>
      </c>
      <c r="AT296" s="6">
        <v>0</v>
      </c>
      <c r="AU296" s="6">
        <v>0</v>
      </c>
      <c r="AV296" s="6">
        <v>0</v>
      </c>
      <c r="AW296" s="53">
        <v>0</v>
      </c>
      <c r="AX296" s="6">
        <v>0</v>
      </c>
      <c r="AY296" s="6">
        <v>0</v>
      </c>
      <c r="AZ296" s="53">
        <v>0</v>
      </c>
      <c r="BA296" s="6">
        <v>0</v>
      </c>
      <c r="BB296" s="6">
        <v>0</v>
      </c>
      <c r="BC296" s="53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53">
        <v>0</v>
      </c>
      <c r="BL296" s="53">
        <v>0</v>
      </c>
      <c r="BM296" s="53">
        <v>0</v>
      </c>
      <c r="BN296" s="53">
        <v>0</v>
      </c>
      <c r="BO296" s="53">
        <v>0</v>
      </c>
      <c r="BP296" s="6">
        <v>0</v>
      </c>
      <c r="BQ296" s="6">
        <v>0</v>
      </c>
      <c r="BR296" s="53">
        <v>0</v>
      </c>
      <c r="BS296" s="58">
        <v>0</v>
      </c>
      <c r="BT296" s="6">
        <v>0</v>
      </c>
      <c r="BU296" s="53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59">
        <v>0</v>
      </c>
      <c r="CG296" s="67">
        <f t="shared" si="34"/>
        <v>0</v>
      </c>
      <c r="CH296" s="69">
        <f t="shared" si="35"/>
        <v>0</v>
      </c>
      <c r="CI296" s="30">
        <f t="shared" si="36"/>
        <v>0</v>
      </c>
      <c r="CJ296" s="30">
        <f t="shared" si="37"/>
        <v>0</v>
      </c>
      <c r="CK296" s="30">
        <f t="shared" si="38"/>
        <v>0</v>
      </c>
      <c r="CL296" s="67">
        <f t="shared" si="39"/>
        <v>0</v>
      </c>
      <c r="CM296" s="30">
        <v>0</v>
      </c>
      <c r="CN296" s="30">
        <v>0</v>
      </c>
      <c r="CO296" s="30">
        <v>0</v>
      </c>
      <c r="CP296" s="30">
        <v>0</v>
      </c>
      <c r="CQ296" s="67">
        <v>0</v>
      </c>
    </row>
    <row r="297" spans="1:95" x14ac:dyDescent="0.3">
      <c r="A297" s="11" t="s">
        <v>59</v>
      </c>
      <c r="B297" s="11" t="s">
        <v>0</v>
      </c>
      <c r="C297" s="11" t="s">
        <v>1</v>
      </c>
      <c r="D297" s="11" t="s">
        <v>5</v>
      </c>
      <c r="E297" s="11">
        <v>3</v>
      </c>
      <c r="F297" s="11" t="s">
        <v>6</v>
      </c>
      <c r="G297" s="11">
        <v>7</v>
      </c>
      <c r="H297" s="11">
        <v>18</v>
      </c>
      <c r="I297" s="11">
        <v>6.2729999999999997</v>
      </c>
      <c r="J297" s="11">
        <v>1.026</v>
      </c>
      <c r="K297" s="11">
        <v>83.644189383070298</v>
      </c>
      <c r="L297" s="11">
        <v>85.342857142857142</v>
      </c>
      <c r="M297" s="12">
        <f t="shared" si="33"/>
        <v>4.8106141602029</v>
      </c>
      <c r="N297" s="11">
        <v>45.48</v>
      </c>
      <c r="O297" s="11">
        <v>1.51</v>
      </c>
      <c r="P297" s="11">
        <v>9.4359999999999999</v>
      </c>
      <c r="Q297" s="11">
        <v>0.22800000000000001</v>
      </c>
      <c r="R297" s="11">
        <v>0.28499999999999998</v>
      </c>
      <c r="S297" s="6">
        <v>0</v>
      </c>
      <c r="T297" s="6">
        <v>1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53">
        <v>0</v>
      </c>
      <c r="AG297" s="54">
        <v>3</v>
      </c>
      <c r="AH297" s="6">
        <v>0</v>
      </c>
      <c r="AI297" s="6">
        <v>0</v>
      </c>
      <c r="AJ297" s="53">
        <v>0</v>
      </c>
      <c r="AK297" s="55">
        <v>0</v>
      </c>
      <c r="AL297" s="56">
        <v>0</v>
      </c>
      <c r="AM297" s="56">
        <v>0</v>
      </c>
      <c r="AN297" s="57">
        <v>0</v>
      </c>
      <c r="AO297" s="56">
        <v>0</v>
      </c>
      <c r="AP297" s="53">
        <v>0</v>
      </c>
      <c r="AQ297" s="6">
        <v>0</v>
      </c>
      <c r="AR297" s="53">
        <v>0</v>
      </c>
      <c r="AS297" s="55">
        <v>0</v>
      </c>
      <c r="AT297" s="6">
        <v>0</v>
      </c>
      <c r="AU297" s="6">
        <v>0</v>
      </c>
      <c r="AV297" s="6">
        <v>0</v>
      </c>
      <c r="AW297" s="53">
        <v>0</v>
      </c>
      <c r="AX297" s="6">
        <v>0</v>
      </c>
      <c r="AY297" s="6">
        <v>0</v>
      </c>
      <c r="AZ297" s="53">
        <v>0</v>
      </c>
      <c r="BA297" s="6">
        <v>0</v>
      </c>
      <c r="BB297" s="6">
        <v>0</v>
      </c>
      <c r="BC297" s="53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53">
        <v>0</v>
      </c>
      <c r="BL297" s="53">
        <v>0</v>
      </c>
      <c r="BM297" s="53">
        <v>0</v>
      </c>
      <c r="BN297" s="53">
        <v>0</v>
      </c>
      <c r="BO297" s="53">
        <v>0</v>
      </c>
      <c r="BP297" s="6">
        <v>0</v>
      </c>
      <c r="BQ297" s="6">
        <v>0</v>
      </c>
      <c r="BR297" s="53">
        <v>0</v>
      </c>
      <c r="BS297" s="58">
        <v>0</v>
      </c>
      <c r="BT297" s="6">
        <v>0</v>
      </c>
      <c r="BU297" s="53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59">
        <v>0</v>
      </c>
      <c r="CG297" s="67">
        <f t="shared" si="34"/>
        <v>4</v>
      </c>
      <c r="CH297" s="69">
        <f t="shared" si="35"/>
        <v>2</v>
      </c>
      <c r="CI297" s="30">
        <f t="shared" si="36"/>
        <v>0</v>
      </c>
      <c r="CJ297" s="30">
        <f t="shared" si="37"/>
        <v>4</v>
      </c>
      <c r="CK297" s="30">
        <f t="shared" si="38"/>
        <v>0</v>
      </c>
      <c r="CL297" s="67">
        <f t="shared" si="39"/>
        <v>1</v>
      </c>
      <c r="CM297" s="30">
        <v>4</v>
      </c>
      <c r="CN297" s="30">
        <v>0</v>
      </c>
      <c r="CO297" s="30">
        <v>0</v>
      </c>
      <c r="CP297" s="30">
        <v>0</v>
      </c>
      <c r="CQ297" s="67">
        <v>1</v>
      </c>
    </row>
    <row r="298" spans="1:95" x14ac:dyDescent="0.3">
      <c r="A298" s="11" t="s">
        <v>63</v>
      </c>
      <c r="B298" s="11" t="s">
        <v>0</v>
      </c>
      <c r="C298" s="11" t="s">
        <v>14</v>
      </c>
      <c r="D298" s="11" t="s">
        <v>5</v>
      </c>
      <c r="E298" s="11">
        <v>4</v>
      </c>
      <c r="F298" s="11" t="s">
        <v>6</v>
      </c>
      <c r="G298" s="11">
        <v>7</v>
      </c>
      <c r="H298" s="11">
        <v>18</v>
      </c>
      <c r="I298" s="11">
        <v>4.59</v>
      </c>
      <c r="J298" s="11">
        <v>2.54</v>
      </c>
      <c r="K298" s="11">
        <v>44.662309368191714</v>
      </c>
      <c r="L298" s="11">
        <v>63.714285714285715</v>
      </c>
      <c r="M298" s="12">
        <f t="shared" si="33"/>
        <v>3.9041178259210327</v>
      </c>
      <c r="N298" s="11">
        <v>45.09</v>
      </c>
      <c r="O298" s="11">
        <v>1.51</v>
      </c>
      <c r="P298" s="11">
        <v>9.4359999999999999</v>
      </c>
      <c r="Q298" s="11">
        <v>0.312</v>
      </c>
      <c r="R298" s="11">
        <v>0.28899999999999998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53">
        <v>0</v>
      </c>
      <c r="AG298" s="54">
        <v>0</v>
      </c>
      <c r="AH298" s="6">
        <v>0</v>
      </c>
      <c r="AI298" s="6">
        <v>0</v>
      </c>
      <c r="AJ298" s="53">
        <v>0</v>
      </c>
      <c r="AK298" s="55">
        <v>0</v>
      </c>
      <c r="AL298" s="56">
        <v>0</v>
      </c>
      <c r="AM298" s="56">
        <v>0</v>
      </c>
      <c r="AN298" s="57">
        <v>0</v>
      </c>
      <c r="AO298" s="56">
        <v>0</v>
      </c>
      <c r="AP298" s="53">
        <v>0</v>
      </c>
      <c r="AQ298" s="6">
        <v>0</v>
      </c>
      <c r="AR298" s="53">
        <v>0</v>
      </c>
      <c r="AS298" s="55">
        <v>0</v>
      </c>
      <c r="AT298" s="6">
        <v>0</v>
      </c>
      <c r="AU298" s="6">
        <v>0</v>
      </c>
      <c r="AV298" s="6">
        <v>0</v>
      </c>
      <c r="AW298" s="53">
        <v>0</v>
      </c>
      <c r="AX298" s="6">
        <v>0</v>
      </c>
      <c r="AY298" s="6">
        <v>0</v>
      </c>
      <c r="AZ298" s="53">
        <v>0</v>
      </c>
      <c r="BA298" s="6">
        <v>0</v>
      </c>
      <c r="BB298" s="6">
        <v>0</v>
      </c>
      <c r="BC298" s="53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53">
        <v>0</v>
      </c>
      <c r="BL298" s="53">
        <v>0</v>
      </c>
      <c r="BM298" s="53">
        <v>0</v>
      </c>
      <c r="BN298" s="53">
        <v>0</v>
      </c>
      <c r="BO298" s="53">
        <v>0</v>
      </c>
      <c r="BP298" s="6">
        <v>0</v>
      </c>
      <c r="BQ298" s="6">
        <v>0</v>
      </c>
      <c r="BR298" s="53">
        <v>0</v>
      </c>
      <c r="BS298" s="58">
        <v>0</v>
      </c>
      <c r="BT298" s="6">
        <v>0</v>
      </c>
      <c r="BU298" s="53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59">
        <v>0</v>
      </c>
      <c r="CG298" s="67">
        <f t="shared" si="34"/>
        <v>0</v>
      </c>
      <c r="CH298" s="69">
        <f t="shared" si="35"/>
        <v>0</v>
      </c>
      <c r="CI298" s="30">
        <f t="shared" si="36"/>
        <v>0</v>
      </c>
      <c r="CJ298" s="30">
        <f t="shared" si="37"/>
        <v>0</v>
      </c>
      <c r="CK298" s="30">
        <f t="shared" si="38"/>
        <v>0</v>
      </c>
      <c r="CL298" s="67">
        <f t="shared" si="39"/>
        <v>0</v>
      </c>
      <c r="CM298" s="30">
        <v>0</v>
      </c>
      <c r="CN298" s="30">
        <v>0</v>
      </c>
      <c r="CO298" s="30">
        <v>0</v>
      </c>
      <c r="CP298" s="30">
        <v>0</v>
      </c>
      <c r="CQ298" s="67">
        <v>0</v>
      </c>
    </row>
    <row r="299" spans="1:95" x14ac:dyDescent="0.3">
      <c r="A299" s="13">
        <v>70</v>
      </c>
      <c r="B299" s="6" t="s">
        <v>0</v>
      </c>
      <c r="C299" s="6" t="s">
        <v>14</v>
      </c>
      <c r="D299" s="6" t="s">
        <v>4</v>
      </c>
      <c r="E299" s="6">
        <v>5</v>
      </c>
      <c r="F299" s="6" t="s">
        <v>7</v>
      </c>
      <c r="G299" s="6">
        <v>7.01</v>
      </c>
      <c r="H299" s="6">
        <v>1</v>
      </c>
      <c r="I299" s="6">
        <v>18.289000000000001</v>
      </c>
      <c r="J299" s="6">
        <v>6.1349999999999998</v>
      </c>
      <c r="K299" s="6">
        <v>66.455246322926357</v>
      </c>
      <c r="L299" s="6">
        <v>12.482168330955778</v>
      </c>
      <c r="M299" s="7">
        <f t="shared" si="33"/>
        <v>0.13332762288362399</v>
      </c>
      <c r="N299" s="6">
        <v>48.51</v>
      </c>
      <c r="O299" s="6">
        <v>0.90200000000000002</v>
      </c>
      <c r="P299" s="6">
        <v>5.6369999999999996</v>
      </c>
      <c r="Q299" s="6">
        <v>3.4540000000000002</v>
      </c>
      <c r="R299" s="6">
        <v>1.9929999999999999</v>
      </c>
      <c r="AF299" s="60"/>
      <c r="AG299" s="61"/>
      <c r="AJ299" s="60"/>
      <c r="AK299" s="62"/>
      <c r="AL299" s="63"/>
      <c r="AM299" s="63"/>
      <c r="AN299" s="64"/>
      <c r="AO299" s="63"/>
      <c r="AP299" s="60"/>
      <c r="AR299" s="60"/>
      <c r="AS299" s="62"/>
      <c r="AW299" s="60"/>
      <c r="AZ299" s="60"/>
      <c r="BC299" s="60"/>
      <c r="BF299" s="60"/>
      <c r="BG299" s="60"/>
      <c r="BH299" s="60"/>
      <c r="BI299" s="60"/>
      <c r="BJ299" s="60"/>
      <c r="BM299" s="60"/>
      <c r="BN299" s="65"/>
      <c r="BP299" s="60"/>
      <c r="CA299" s="66"/>
      <c r="CD299" s="66"/>
      <c r="CP299" s="30"/>
    </row>
    <row r="300" spans="1:95" x14ac:dyDescent="0.3">
      <c r="A300" s="13">
        <v>73</v>
      </c>
      <c r="B300" s="6" t="s">
        <v>0</v>
      </c>
      <c r="C300" s="6" t="s">
        <v>1</v>
      </c>
      <c r="D300" s="6" t="s">
        <v>4</v>
      </c>
      <c r="E300" s="6">
        <v>5</v>
      </c>
      <c r="F300" s="6" t="s">
        <v>7</v>
      </c>
      <c r="G300" s="6">
        <v>6.98</v>
      </c>
      <c r="H300" s="6">
        <v>1</v>
      </c>
      <c r="I300" s="6">
        <v>20.222000000000001</v>
      </c>
      <c r="J300" s="6">
        <v>6.0730000000000004</v>
      </c>
      <c r="K300" s="6">
        <v>69.968351300563754</v>
      </c>
      <c r="L300" s="6">
        <v>12.994269340974213</v>
      </c>
      <c r="M300" s="7">
        <f t="shared" si="33"/>
        <v>0.13919619985884277</v>
      </c>
      <c r="N300" s="6">
        <v>46.65</v>
      </c>
      <c r="O300" s="6">
        <v>1.073</v>
      </c>
      <c r="P300" s="6">
        <v>6.7080000000000002</v>
      </c>
      <c r="Q300" s="6">
        <v>2.0430000000000001</v>
      </c>
      <c r="R300" s="6">
        <v>1.944</v>
      </c>
      <c r="AF300" s="60"/>
      <c r="AG300" s="61"/>
      <c r="AJ300" s="60"/>
      <c r="AK300" s="62"/>
      <c r="AL300" s="63"/>
      <c r="AM300" s="63"/>
      <c r="AN300" s="64"/>
      <c r="AO300" s="63"/>
      <c r="AP300" s="60"/>
      <c r="AR300" s="60"/>
      <c r="AS300" s="62"/>
      <c r="AW300" s="60"/>
      <c r="AZ300" s="60"/>
      <c r="BC300" s="60"/>
      <c r="BK300" s="60"/>
      <c r="BL300" s="60"/>
      <c r="BM300" s="60"/>
      <c r="BN300" s="60"/>
      <c r="BO300" s="60"/>
      <c r="BR300" s="60"/>
      <c r="BS300" s="65"/>
      <c r="BU300" s="60"/>
      <c r="CF300" s="66"/>
      <c r="CP300" s="30"/>
    </row>
    <row r="301" spans="1:95" x14ac:dyDescent="0.3">
      <c r="A301" s="13">
        <v>80</v>
      </c>
      <c r="B301" s="6" t="s">
        <v>0</v>
      </c>
      <c r="C301" s="6" t="s">
        <v>14</v>
      </c>
      <c r="D301" s="6" t="s">
        <v>4</v>
      </c>
      <c r="E301" s="6">
        <v>4</v>
      </c>
      <c r="F301" s="6" t="s">
        <v>7</v>
      </c>
      <c r="G301" s="6">
        <v>6.97</v>
      </c>
      <c r="H301" s="6">
        <v>1</v>
      </c>
      <c r="I301" s="6">
        <v>21.581</v>
      </c>
      <c r="J301" s="6">
        <v>5.9640000000000004</v>
      </c>
      <c r="K301" s="6">
        <v>72.364579954589686</v>
      </c>
      <c r="L301" s="6">
        <v>14.433285509325671</v>
      </c>
      <c r="M301" s="7">
        <f t="shared" si="33"/>
        <v>0.15587382786994047</v>
      </c>
      <c r="N301" s="6">
        <v>48.62</v>
      </c>
      <c r="O301" s="6">
        <v>0.91500000000000004</v>
      </c>
      <c r="P301" s="6">
        <v>5.7190000000000003</v>
      </c>
      <c r="Q301" s="6">
        <v>3.04</v>
      </c>
      <c r="R301" s="6">
        <v>1.9409999999999998</v>
      </c>
      <c r="AF301" s="60"/>
      <c r="AG301" s="61"/>
      <c r="AJ301" s="60"/>
      <c r="AK301" s="62"/>
      <c r="AL301" s="63"/>
      <c r="AM301" s="63"/>
      <c r="AN301" s="64"/>
      <c r="AO301" s="63"/>
      <c r="AP301" s="60"/>
      <c r="AR301" s="60"/>
      <c r="AS301" s="62"/>
      <c r="AW301" s="60"/>
      <c r="AZ301" s="60"/>
      <c r="BC301" s="60"/>
      <c r="BK301" s="60"/>
      <c r="BL301" s="60"/>
      <c r="BM301" s="60"/>
      <c r="BN301" s="60"/>
      <c r="BO301" s="60"/>
      <c r="BR301" s="60"/>
      <c r="BS301" s="65"/>
      <c r="BU301" s="60"/>
      <c r="CF301" s="66"/>
      <c r="CP301" s="30"/>
    </row>
    <row r="302" spans="1:95" x14ac:dyDescent="0.3">
      <c r="A302" s="13">
        <v>83</v>
      </c>
      <c r="B302" s="6" t="s">
        <v>0</v>
      </c>
      <c r="C302" s="6" t="s">
        <v>1</v>
      </c>
      <c r="D302" s="6" t="s">
        <v>4</v>
      </c>
      <c r="E302" s="6">
        <v>4</v>
      </c>
      <c r="F302" s="6" t="s">
        <v>7</v>
      </c>
      <c r="G302" s="6">
        <v>7</v>
      </c>
      <c r="H302" s="6">
        <v>1</v>
      </c>
      <c r="I302" s="6">
        <v>21.952000000000002</v>
      </c>
      <c r="J302" s="6">
        <v>5.9329999999999998</v>
      </c>
      <c r="K302" s="6">
        <v>72.972849854227405</v>
      </c>
      <c r="L302" s="6">
        <v>15.242857142857144</v>
      </c>
      <c r="M302" s="7">
        <f t="shared" si="33"/>
        <v>0.16538016177880716</v>
      </c>
      <c r="N302" s="6">
        <v>48</v>
      </c>
      <c r="O302" s="6">
        <v>0.82699999999999996</v>
      </c>
      <c r="P302" s="6">
        <v>5.17</v>
      </c>
      <c r="Q302" s="6">
        <v>3.327</v>
      </c>
      <c r="R302" s="6">
        <v>1.7749999999999999</v>
      </c>
      <c r="AF302" s="60"/>
      <c r="AG302" s="61"/>
      <c r="AJ302" s="60"/>
      <c r="AK302" s="62"/>
      <c r="AL302" s="63"/>
      <c r="AM302" s="63"/>
      <c r="AN302" s="64"/>
      <c r="AO302" s="63"/>
      <c r="AP302" s="60"/>
      <c r="AR302" s="60"/>
      <c r="AS302" s="62"/>
      <c r="AW302" s="60"/>
      <c r="AZ302" s="60"/>
      <c r="BC302" s="60"/>
      <c r="BK302" s="60"/>
      <c r="BL302" s="60"/>
      <c r="BM302" s="60"/>
      <c r="BN302" s="60"/>
      <c r="BO302" s="60"/>
      <c r="BR302" s="60"/>
      <c r="BS302" s="65"/>
      <c r="BU302" s="60"/>
      <c r="CF302" s="66"/>
      <c r="CP302" s="30"/>
    </row>
    <row r="303" spans="1:95" x14ac:dyDescent="0.3">
      <c r="A303" s="13">
        <v>92</v>
      </c>
      <c r="B303" s="6" t="s">
        <v>0</v>
      </c>
      <c r="C303" s="6" t="s">
        <v>1</v>
      </c>
      <c r="D303" s="6" t="s">
        <v>4</v>
      </c>
      <c r="E303" s="6">
        <v>2</v>
      </c>
      <c r="F303" s="6" t="s">
        <v>7</v>
      </c>
      <c r="G303" s="6">
        <v>6.98</v>
      </c>
      <c r="H303" s="6">
        <v>1</v>
      </c>
      <c r="I303" s="6">
        <v>8.6419999999999995</v>
      </c>
      <c r="J303" s="6">
        <v>6</v>
      </c>
      <c r="K303" s="6">
        <v>30.571626938208745</v>
      </c>
      <c r="L303" s="6">
        <v>14.040114613180521</v>
      </c>
      <c r="M303" s="7">
        <f t="shared" si="33"/>
        <v>0.15128944754622617</v>
      </c>
      <c r="N303" s="6">
        <v>48.12</v>
      </c>
      <c r="O303" s="6">
        <v>1.0189999999999999</v>
      </c>
      <c r="P303" s="6">
        <v>6.367</v>
      </c>
      <c r="Q303" s="6">
        <v>1.7929999999999999</v>
      </c>
      <c r="R303" s="6">
        <v>1.399</v>
      </c>
      <c r="AF303" s="60"/>
      <c r="AG303" s="61"/>
      <c r="AJ303" s="60"/>
      <c r="AK303" s="62"/>
      <c r="AL303" s="63"/>
      <c r="AM303" s="63"/>
      <c r="AN303" s="64"/>
      <c r="AO303" s="63"/>
      <c r="AP303" s="60"/>
      <c r="AR303" s="60"/>
      <c r="AS303" s="62"/>
      <c r="AW303" s="60"/>
      <c r="AZ303" s="60"/>
      <c r="BC303" s="60"/>
      <c r="BK303" s="60"/>
      <c r="BL303" s="60"/>
      <c r="BM303" s="60"/>
      <c r="BN303" s="60"/>
      <c r="BO303" s="60"/>
      <c r="BR303" s="60"/>
      <c r="BS303" s="65"/>
      <c r="BU303" s="60"/>
      <c r="CF303" s="66"/>
      <c r="CP303" s="30"/>
    </row>
    <row r="304" spans="1:95" x14ac:dyDescent="0.3">
      <c r="A304" s="13">
        <v>94</v>
      </c>
      <c r="B304" s="6" t="s">
        <v>0</v>
      </c>
      <c r="C304" s="6" t="s">
        <v>1</v>
      </c>
      <c r="D304" s="6" t="s">
        <v>4</v>
      </c>
      <c r="E304" s="6">
        <v>1</v>
      </c>
      <c r="F304" s="6" t="s">
        <v>7</v>
      </c>
      <c r="G304" s="6">
        <v>7.05</v>
      </c>
      <c r="H304" s="6">
        <v>1</v>
      </c>
      <c r="I304" s="6">
        <v>23.768000000000001</v>
      </c>
      <c r="J304" s="6">
        <v>6.0179999999999998</v>
      </c>
      <c r="K304" s="6">
        <v>74.68024234264557</v>
      </c>
      <c r="L304" s="6">
        <v>14.638297872340425</v>
      </c>
      <c r="M304" s="7">
        <f t="shared" si="33"/>
        <v>0.15827263861632376</v>
      </c>
      <c r="N304" s="6">
        <v>47.64</v>
      </c>
      <c r="O304" s="6">
        <v>1.117</v>
      </c>
      <c r="P304" s="6">
        <v>6.9809999999999999</v>
      </c>
      <c r="Q304" s="6">
        <v>2.3170000000000002</v>
      </c>
      <c r="R304" s="6">
        <v>1.6789999999999998</v>
      </c>
      <c r="AF304" s="60"/>
      <c r="AG304" s="61"/>
      <c r="AJ304" s="60"/>
      <c r="AK304" s="62"/>
      <c r="AL304" s="63"/>
      <c r="AM304" s="63"/>
      <c r="AN304" s="64"/>
      <c r="AO304" s="63"/>
      <c r="AP304" s="60"/>
      <c r="AR304" s="60"/>
      <c r="AS304" s="62"/>
      <c r="AW304" s="60"/>
      <c r="AZ304" s="60"/>
      <c r="BC304" s="60"/>
      <c r="BK304" s="60"/>
      <c r="BL304" s="60"/>
      <c r="BM304" s="60"/>
      <c r="BN304" s="60"/>
      <c r="BO304" s="60"/>
      <c r="BR304" s="60"/>
      <c r="BS304" s="65"/>
      <c r="BU304" s="60"/>
      <c r="CF304" s="66"/>
      <c r="CP304" s="30"/>
    </row>
    <row r="305" spans="1:94" x14ac:dyDescent="0.3">
      <c r="A305" s="13">
        <v>98</v>
      </c>
      <c r="B305" s="6" t="s">
        <v>0</v>
      </c>
      <c r="C305" s="6" t="s">
        <v>1</v>
      </c>
      <c r="D305" s="6" t="s">
        <v>4</v>
      </c>
      <c r="E305" s="6">
        <v>3</v>
      </c>
      <c r="F305" s="6" t="s">
        <v>7</v>
      </c>
      <c r="G305" s="6">
        <v>7</v>
      </c>
      <c r="H305" s="6">
        <v>1</v>
      </c>
      <c r="I305" s="6">
        <v>18.914000000000001</v>
      </c>
      <c r="J305" s="6">
        <v>5.8280000000000003</v>
      </c>
      <c r="K305" s="6">
        <v>69.186845722745062</v>
      </c>
      <c r="L305" s="6">
        <v>16.74285714285714</v>
      </c>
      <c r="M305" s="7">
        <f t="shared" si="33"/>
        <v>0.18323626072235483</v>
      </c>
      <c r="N305" s="6">
        <v>48.31</v>
      </c>
      <c r="O305" s="6">
        <v>1.0549999999999999</v>
      </c>
      <c r="P305" s="6">
        <v>6.5940000000000003</v>
      </c>
      <c r="Q305" s="6">
        <v>3.5430000000000001</v>
      </c>
      <c r="R305" s="6">
        <v>2.3580000000000001</v>
      </c>
      <c r="AF305" s="60"/>
      <c r="AG305" s="61"/>
      <c r="AJ305" s="60"/>
      <c r="AK305" s="62"/>
      <c r="AL305" s="63"/>
      <c r="AM305" s="63"/>
      <c r="AN305" s="64"/>
      <c r="AO305" s="63"/>
      <c r="AP305" s="60"/>
      <c r="AR305" s="60"/>
      <c r="AS305" s="62"/>
      <c r="AW305" s="60"/>
      <c r="AZ305" s="60"/>
      <c r="BC305" s="60"/>
      <c r="BK305" s="60"/>
      <c r="BL305" s="60"/>
      <c r="BM305" s="60"/>
      <c r="BN305" s="60"/>
      <c r="BO305" s="60"/>
      <c r="BR305" s="60"/>
      <c r="BS305" s="65"/>
      <c r="BU305" s="60"/>
      <c r="CF305" s="66"/>
      <c r="CP305" s="30"/>
    </row>
    <row r="306" spans="1:94" x14ac:dyDescent="0.3">
      <c r="A306" s="13">
        <v>105</v>
      </c>
      <c r="B306" s="6" t="s">
        <v>0</v>
      </c>
      <c r="C306" s="6" t="s">
        <v>14</v>
      </c>
      <c r="D306" s="6" t="s">
        <v>4</v>
      </c>
      <c r="E306" s="6">
        <v>3</v>
      </c>
      <c r="F306" s="6" t="s">
        <v>7</v>
      </c>
      <c r="G306" s="6">
        <v>6.98</v>
      </c>
      <c r="H306" s="6">
        <v>1</v>
      </c>
      <c r="I306" s="6">
        <v>16.603999999999999</v>
      </c>
      <c r="J306" s="6">
        <v>5.9560000000000004</v>
      </c>
      <c r="K306" s="6">
        <v>64.12912551192484</v>
      </c>
      <c r="L306" s="6">
        <v>14.670487106017191</v>
      </c>
      <c r="M306" s="7">
        <f t="shared" si="33"/>
        <v>0.15864980195251857</v>
      </c>
      <c r="N306" s="6">
        <v>47.44</v>
      </c>
      <c r="O306" s="6">
        <v>0.98799999999999999</v>
      </c>
      <c r="P306" s="6">
        <v>6.1769999999999996</v>
      </c>
      <c r="Q306" s="6">
        <v>2.649</v>
      </c>
      <c r="R306" s="6">
        <v>1.8650000000000002</v>
      </c>
      <c r="AF306" s="60"/>
      <c r="AG306" s="61"/>
      <c r="AJ306" s="60"/>
      <c r="AK306" s="62"/>
      <c r="AL306" s="63"/>
      <c r="AM306" s="63"/>
      <c r="AN306" s="64"/>
      <c r="AO306" s="63"/>
      <c r="AP306" s="60"/>
      <c r="AR306" s="60"/>
      <c r="AS306" s="62"/>
      <c r="AW306" s="60"/>
      <c r="AZ306" s="60"/>
      <c r="BC306" s="60"/>
      <c r="BK306" s="60"/>
      <c r="BL306" s="60"/>
      <c r="BM306" s="60"/>
      <c r="BN306" s="60"/>
      <c r="BO306" s="60"/>
      <c r="BR306" s="60"/>
      <c r="BS306" s="65"/>
      <c r="BU306" s="60"/>
      <c r="CF306" s="66"/>
      <c r="CP306" s="30"/>
    </row>
    <row r="307" spans="1:94" x14ac:dyDescent="0.3">
      <c r="A307" s="13">
        <v>107</v>
      </c>
      <c r="B307" s="6" t="s">
        <v>0</v>
      </c>
      <c r="C307" s="6" t="s">
        <v>14</v>
      </c>
      <c r="D307" s="6" t="s">
        <v>4</v>
      </c>
      <c r="E307" s="6">
        <v>1</v>
      </c>
      <c r="F307" s="6" t="s">
        <v>7</v>
      </c>
      <c r="G307" s="6">
        <v>6.97</v>
      </c>
      <c r="H307" s="6">
        <v>1</v>
      </c>
      <c r="I307" s="6">
        <v>27.981000000000002</v>
      </c>
      <c r="J307" s="6">
        <v>5.8</v>
      </c>
      <c r="K307" s="6">
        <v>79.271648618705541</v>
      </c>
      <c r="L307" s="6">
        <v>16.786226685796269</v>
      </c>
      <c r="M307" s="7">
        <f t="shared" si="33"/>
        <v>0.18375730722005884</v>
      </c>
      <c r="N307" s="6">
        <v>48.22</v>
      </c>
      <c r="O307" s="6">
        <v>0.90300000000000002</v>
      </c>
      <c r="P307" s="6">
        <v>5.6459999999999999</v>
      </c>
      <c r="Q307" s="6">
        <v>3.1259999999999999</v>
      </c>
      <c r="R307" s="6">
        <v>2.1440000000000001</v>
      </c>
      <c r="AF307" s="60"/>
      <c r="AG307" s="61"/>
      <c r="AJ307" s="60"/>
      <c r="AK307" s="62"/>
      <c r="AL307" s="63"/>
      <c r="AM307" s="63"/>
      <c r="AN307" s="64"/>
      <c r="AO307" s="63"/>
      <c r="AP307" s="60"/>
      <c r="AR307" s="60"/>
      <c r="AS307" s="62"/>
      <c r="AW307" s="60"/>
      <c r="AZ307" s="60"/>
      <c r="BC307" s="60"/>
      <c r="BK307" s="60"/>
      <c r="BL307" s="60"/>
      <c r="BM307" s="60"/>
      <c r="BN307" s="60"/>
      <c r="BO307" s="60"/>
      <c r="BR307" s="60"/>
      <c r="BS307" s="65"/>
      <c r="BU307" s="60"/>
      <c r="CF307" s="66"/>
      <c r="CP307" s="30"/>
    </row>
    <row r="308" spans="1:94" x14ac:dyDescent="0.3">
      <c r="A308" s="13">
        <v>108</v>
      </c>
      <c r="B308" s="6" t="s">
        <v>0</v>
      </c>
      <c r="C308" s="6" t="s">
        <v>14</v>
      </c>
      <c r="D308" s="6" t="s">
        <v>4</v>
      </c>
      <c r="E308" s="6">
        <v>2</v>
      </c>
      <c r="F308" s="6" t="s">
        <v>7</v>
      </c>
      <c r="G308" s="6">
        <v>7.04</v>
      </c>
      <c r="H308" s="6">
        <v>1</v>
      </c>
      <c r="I308" s="6">
        <v>20.465</v>
      </c>
      <c r="J308" s="6">
        <v>5.9420000000000002</v>
      </c>
      <c r="K308" s="6">
        <v>70.965062301490349</v>
      </c>
      <c r="L308" s="6">
        <v>15.596590909090907</v>
      </c>
      <c r="M308" s="7">
        <f t="shared" si="33"/>
        <v>0.16956239312953506</v>
      </c>
      <c r="N308" s="6">
        <v>47.37</v>
      </c>
      <c r="O308" s="6">
        <v>1.0209999999999999</v>
      </c>
      <c r="P308" s="6">
        <v>6.3810000000000002</v>
      </c>
      <c r="Q308" s="6">
        <v>3.2490000000000001</v>
      </c>
      <c r="R308" s="6">
        <v>2.327</v>
      </c>
      <c r="AF308" s="60"/>
      <c r="AG308" s="61"/>
      <c r="AJ308" s="60"/>
      <c r="AK308" s="62"/>
      <c r="AL308" s="63"/>
      <c r="AM308" s="63"/>
      <c r="AN308" s="64"/>
      <c r="AO308" s="63"/>
      <c r="AP308" s="60"/>
      <c r="AR308" s="60"/>
      <c r="AS308" s="62"/>
      <c r="AW308" s="60"/>
      <c r="AZ308" s="60"/>
      <c r="BC308" s="60"/>
      <c r="BK308" s="60"/>
      <c r="BL308" s="60"/>
      <c r="BM308" s="60"/>
      <c r="BN308" s="60"/>
      <c r="BO308" s="60"/>
      <c r="BR308" s="60"/>
      <c r="BS308" s="65"/>
      <c r="BU308" s="60"/>
      <c r="CF308" s="66"/>
      <c r="CP308" s="30"/>
    </row>
    <row r="309" spans="1:94" x14ac:dyDescent="0.3">
      <c r="A309" s="13">
        <v>190</v>
      </c>
      <c r="B309" s="6" t="s">
        <v>0</v>
      </c>
      <c r="C309" s="6" t="s">
        <v>14</v>
      </c>
      <c r="D309" s="6" t="s">
        <v>5</v>
      </c>
      <c r="E309" s="6">
        <v>4</v>
      </c>
      <c r="F309" s="6" t="s">
        <v>7</v>
      </c>
      <c r="G309" s="6">
        <v>7.03</v>
      </c>
      <c r="H309" s="6">
        <v>1</v>
      </c>
      <c r="I309" s="6">
        <v>19.683</v>
      </c>
      <c r="J309" s="6">
        <v>5.99</v>
      </c>
      <c r="K309" s="6">
        <v>69.567647208250776</v>
      </c>
      <c r="L309" s="6">
        <v>14.793741109530584</v>
      </c>
      <c r="M309" s="7">
        <f t="shared" si="33"/>
        <v>0.1600952936952155</v>
      </c>
      <c r="N309" s="6">
        <v>47.61</v>
      </c>
      <c r="O309" s="6">
        <v>0.71399999999999997</v>
      </c>
      <c r="P309" s="6">
        <v>4.4630000000000001</v>
      </c>
      <c r="Q309" s="6">
        <v>1.087</v>
      </c>
      <c r="R309" s="6">
        <v>1.5150000000000001</v>
      </c>
      <c r="AF309" s="60"/>
      <c r="AG309" s="61"/>
      <c r="AJ309" s="60"/>
      <c r="AK309" s="62"/>
      <c r="AL309" s="63"/>
      <c r="AM309" s="63"/>
      <c r="AN309" s="64"/>
      <c r="AO309" s="63"/>
      <c r="AP309" s="60"/>
      <c r="AR309" s="60"/>
      <c r="AS309" s="62"/>
      <c r="AW309" s="60"/>
      <c r="AZ309" s="60"/>
      <c r="BC309" s="60"/>
      <c r="BK309" s="60"/>
      <c r="BL309" s="60"/>
      <c r="BM309" s="60"/>
      <c r="BN309" s="60"/>
      <c r="BO309" s="60"/>
      <c r="BR309" s="60"/>
      <c r="BS309" s="65"/>
      <c r="BU309" s="60"/>
      <c r="CF309" s="66"/>
      <c r="CP309" s="30"/>
    </row>
    <row r="310" spans="1:94" x14ac:dyDescent="0.3">
      <c r="A310" s="13">
        <v>192</v>
      </c>
      <c r="B310" s="6" t="s">
        <v>0</v>
      </c>
      <c r="C310" s="6" t="s">
        <v>1</v>
      </c>
      <c r="D310" s="6" t="s">
        <v>5</v>
      </c>
      <c r="E310" s="6">
        <v>5</v>
      </c>
      <c r="F310" s="6" t="s">
        <v>7</v>
      </c>
      <c r="G310" s="6">
        <v>6.98</v>
      </c>
      <c r="H310" s="6">
        <v>1</v>
      </c>
      <c r="I310" s="6">
        <v>17.946999999999999</v>
      </c>
      <c r="J310" s="6">
        <v>5.9859999999999998</v>
      </c>
      <c r="K310" s="6">
        <v>66.646236139744801</v>
      </c>
      <c r="L310" s="6">
        <v>14.240687679083102</v>
      </c>
      <c r="M310" s="7">
        <f t="shared" si="33"/>
        <v>0.15362550734377409</v>
      </c>
      <c r="N310" s="6">
        <v>48.72</v>
      </c>
      <c r="O310" s="6">
        <v>0.68600000000000005</v>
      </c>
      <c r="P310" s="6">
        <v>4.2859999999999996</v>
      </c>
      <c r="Q310" s="6">
        <v>1.163</v>
      </c>
      <c r="R310" s="6">
        <v>1.4910000000000001</v>
      </c>
      <c r="AF310" s="60"/>
      <c r="AG310" s="61"/>
      <c r="AJ310" s="60"/>
      <c r="AK310" s="62"/>
      <c r="AL310" s="63"/>
      <c r="AM310" s="63"/>
      <c r="AN310" s="64"/>
      <c r="AO310" s="63"/>
      <c r="AP310" s="60"/>
      <c r="AR310" s="60"/>
      <c r="AS310" s="62"/>
      <c r="AW310" s="60"/>
      <c r="AZ310" s="60"/>
      <c r="BC310" s="60"/>
      <c r="BK310" s="60"/>
      <c r="BL310" s="60"/>
      <c r="BM310" s="60"/>
      <c r="BN310" s="60"/>
      <c r="BO310" s="60"/>
      <c r="BR310" s="60"/>
      <c r="BS310" s="65"/>
      <c r="BU310" s="60"/>
      <c r="CF310" s="66"/>
      <c r="CP310" s="30"/>
    </row>
    <row r="311" spans="1:94" x14ac:dyDescent="0.3">
      <c r="A311" s="13">
        <v>196</v>
      </c>
      <c r="B311" s="6" t="s">
        <v>0</v>
      </c>
      <c r="C311" s="6" t="s">
        <v>1</v>
      </c>
      <c r="D311" s="6" t="s">
        <v>5</v>
      </c>
      <c r="E311" s="6">
        <v>3</v>
      </c>
      <c r="F311" s="6" t="s">
        <v>7</v>
      </c>
      <c r="G311" s="6">
        <v>7.04</v>
      </c>
      <c r="H311" s="6">
        <v>1</v>
      </c>
      <c r="I311" s="6">
        <v>17.068999999999999</v>
      </c>
      <c r="J311" s="6">
        <v>6.1059999999999999</v>
      </c>
      <c r="K311" s="6">
        <v>64.22754701505653</v>
      </c>
      <c r="L311" s="6">
        <v>13.267045454545457</v>
      </c>
      <c r="M311" s="7">
        <f t="shared" si="33"/>
        <v>0.14233627585726494</v>
      </c>
      <c r="N311" s="6">
        <v>48.02</v>
      </c>
      <c r="O311" s="6">
        <v>0.69899999999999995</v>
      </c>
      <c r="P311" s="6">
        <v>4.3680000000000003</v>
      </c>
      <c r="Q311" s="6">
        <v>0.67400000000000004</v>
      </c>
      <c r="R311" s="6">
        <v>0.35799999999999998</v>
      </c>
      <c r="AF311" s="60"/>
      <c r="AG311" s="61"/>
      <c r="AJ311" s="60"/>
      <c r="AK311" s="62"/>
      <c r="AL311" s="63"/>
      <c r="AM311" s="63"/>
      <c r="AN311" s="64"/>
      <c r="AO311" s="63"/>
      <c r="AP311" s="60"/>
      <c r="AR311" s="60"/>
      <c r="AS311" s="62"/>
      <c r="AW311" s="60"/>
      <c r="AZ311" s="60"/>
      <c r="BC311" s="60"/>
      <c r="BK311" s="60"/>
      <c r="BL311" s="60"/>
      <c r="BM311" s="60"/>
      <c r="BN311" s="60"/>
      <c r="BO311" s="60"/>
      <c r="BR311" s="60"/>
      <c r="BS311" s="65"/>
      <c r="BU311" s="60"/>
      <c r="CF311" s="66"/>
      <c r="CP311" s="30"/>
    </row>
    <row r="312" spans="1:94" x14ac:dyDescent="0.3">
      <c r="A312" s="13">
        <v>198</v>
      </c>
      <c r="B312" s="6" t="s">
        <v>0</v>
      </c>
      <c r="C312" s="6" t="s">
        <v>14</v>
      </c>
      <c r="D312" s="6" t="s">
        <v>5</v>
      </c>
      <c r="E312" s="6">
        <v>5</v>
      </c>
      <c r="F312" s="6" t="s">
        <v>7</v>
      </c>
      <c r="G312" s="6">
        <v>6.96</v>
      </c>
      <c r="H312" s="6">
        <v>1</v>
      </c>
      <c r="I312" s="6">
        <v>15.196</v>
      </c>
      <c r="J312" s="6">
        <v>5.9489999999999998</v>
      </c>
      <c r="K312" s="6">
        <v>60.851539878915503</v>
      </c>
      <c r="L312" s="6">
        <v>14.52586206896552</v>
      </c>
      <c r="M312" s="7">
        <f t="shared" si="33"/>
        <v>0.15695633614055973</v>
      </c>
      <c r="N312" s="6">
        <v>47.45</v>
      </c>
      <c r="O312" s="6">
        <v>0.68400000000000005</v>
      </c>
      <c r="P312" s="6">
        <v>4.2729999999999997</v>
      </c>
      <c r="Q312" s="6">
        <v>1.1020000000000001</v>
      </c>
      <c r="R312" s="6">
        <v>1.1879999999999999</v>
      </c>
      <c r="AF312" s="60"/>
      <c r="AG312" s="61"/>
      <c r="AJ312" s="60"/>
      <c r="AK312" s="62"/>
      <c r="AL312" s="63"/>
      <c r="AM312" s="63"/>
      <c r="AN312" s="64"/>
      <c r="AO312" s="63"/>
      <c r="AP312" s="60"/>
      <c r="AR312" s="60"/>
      <c r="AS312" s="62"/>
      <c r="AW312" s="60"/>
      <c r="AZ312" s="60"/>
      <c r="BC312" s="60"/>
      <c r="BK312" s="60"/>
      <c r="BL312" s="60"/>
      <c r="BM312" s="60"/>
      <c r="BN312" s="60"/>
      <c r="BO312" s="60"/>
      <c r="BR312" s="60"/>
      <c r="BS312" s="65"/>
      <c r="BU312" s="60"/>
      <c r="CF312" s="66"/>
      <c r="CP312" s="30"/>
    </row>
    <row r="313" spans="1:94" x14ac:dyDescent="0.3">
      <c r="A313" s="13">
        <v>209</v>
      </c>
      <c r="B313" s="6" t="s">
        <v>0</v>
      </c>
      <c r="C313" s="6" t="s">
        <v>1</v>
      </c>
      <c r="D313" s="6" t="s">
        <v>5</v>
      </c>
      <c r="E313" s="6">
        <v>1</v>
      </c>
      <c r="F313" s="6" t="s">
        <v>7</v>
      </c>
      <c r="G313" s="6">
        <v>6.95</v>
      </c>
      <c r="H313" s="6">
        <v>1</v>
      </c>
      <c r="I313" s="6">
        <v>20.204999999999998</v>
      </c>
      <c r="J313" s="6">
        <v>6.04</v>
      </c>
      <c r="K313" s="6">
        <v>70.106409304627576</v>
      </c>
      <c r="L313" s="6">
        <v>13.093525179856117</v>
      </c>
      <c r="M313" s="7">
        <f t="shared" si="33"/>
        <v>0.14033764762997716</v>
      </c>
      <c r="N313" s="6">
        <v>47.32</v>
      </c>
      <c r="O313" s="6">
        <v>0.62</v>
      </c>
      <c r="P313" s="6">
        <v>3.8769999999999998</v>
      </c>
      <c r="Q313" s="6">
        <v>0.89900000000000002</v>
      </c>
      <c r="R313" s="6">
        <v>1.0090000000000001</v>
      </c>
      <c r="AF313" s="60"/>
      <c r="AG313" s="61"/>
      <c r="AJ313" s="60"/>
      <c r="AK313" s="62"/>
      <c r="AL313" s="63"/>
      <c r="AM313" s="63"/>
      <c r="AN313" s="64"/>
      <c r="AO313" s="63"/>
      <c r="AP313" s="60"/>
      <c r="AR313" s="60"/>
      <c r="AS313" s="62"/>
      <c r="AW313" s="60"/>
      <c r="AZ313" s="60"/>
      <c r="BC313" s="60"/>
      <c r="BK313" s="60"/>
      <c r="BL313" s="60"/>
      <c r="BM313" s="60"/>
      <c r="BN313" s="60"/>
      <c r="BO313" s="60"/>
      <c r="BR313" s="60"/>
      <c r="BS313" s="65"/>
      <c r="BU313" s="60"/>
      <c r="CF313" s="66"/>
      <c r="CP313" s="30"/>
    </row>
    <row r="314" spans="1:94" x14ac:dyDescent="0.3">
      <c r="A314" s="13">
        <v>211</v>
      </c>
      <c r="B314" s="6" t="s">
        <v>0</v>
      </c>
      <c r="C314" s="6" t="s">
        <v>14</v>
      </c>
      <c r="D314" s="6" t="s">
        <v>5</v>
      </c>
      <c r="E314" s="6">
        <v>2</v>
      </c>
      <c r="F314" s="6" t="s">
        <v>7</v>
      </c>
      <c r="G314" s="6">
        <v>7.07</v>
      </c>
      <c r="H314" s="6">
        <v>1</v>
      </c>
      <c r="I314" s="6">
        <v>17.018999999999998</v>
      </c>
      <c r="J314" s="6">
        <v>6.1029999999999998</v>
      </c>
      <c r="K314" s="6">
        <v>64.140078735530864</v>
      </c>
      <c r="L314" s="6">
        <v>13.677510608203686</v>
      </c>
      <c r="M314" s="7">
        <f t="shared" si="33"/>
        <v>0.14708002634612352</v>
      </c>
      <c r="N314" s="6">
        <v>47.89</v>
      </c>
      <c r="O314" s="6">
        <v>0.90400000000000003</v>
      </c>
      <c r="P314" s="6">
        <v>5.6479999999999997</v>
      </c>
      <c r="Q314" s="6">
        <v>1.349</v>
      </c>
      <c r="R314" s="6">
        <v>1.698</v>
      </c>
      <c r="AF314" s="60"/>
      <c r="AG314" s="61"/>
      <c r="AJ314" s="60"/>
      <c r="AK314" s="62"/>
      <c r="AL314" s="63"/>
      <c r="AM314" s="63"/>
      <c r="AN314" s="64"/>
      <c r="AO314" s="63"/>
      <c r="AP314" s="60"/>
      <c r="AR314" s="60"/>
      <c r="AS314" s="62"/>
      <c r="AW314" s="60"/>
      <c r="AZ314" s="60"/>
      <c r="BC314" s="60"/>
      <c r="BK314" s="60"/>
      <c r="BL314" s="60"/>
      <c r="BM314" s="60"/>
      <c r="BN314" s="60"/>
      <c r="BO314" s="60"/>
      <c r="BR314" s="60"/>
      <c r="BS314" s="65"/>
      <c r="BU314" s="60"/>
      <c r="CF314" s="66"/>
      <c r="CP314" s="30"/>
    </row>
    <row r="315" spans="1:94" x14ac:dyDescent="0.3">
      <c r="A315" s="13">
        <v>212</v>
      </c>
      <c r="B315" s="6" t="s">
        <v>0</v>
      </c>
      <c r="C315" s="6" t="s">
        <v>1</v>
      </c>
      <c r="D315" s="6" t="s">
        <v>5</v>
      </c>
      <c r="E315" s="6">
        <v>4</v>
      </c>
      <c r="F315" s="6" t="s">
        <v>7</v>
      </c>
      <c r="G315" s="6">
        <v>6.95</v>
      </c>
      <c r="H315" s="6">
        <v>1</v>
      </c>
      <c r="I315" s="6">
        <v>23.971</v>
      </c>
      <c r="J315" s="6">
        <v>5.8940000000000001</v>
      </c>
      <c r="K315" s="6">
        <v>75.411956113637302</v>
      </c>
      <c r="L315" s="6">
        <v>15.194244604316548</v>
      </c>
      <c r="M315" s="7">
        <f t="shared" si="33"/>
        <v>0.16480677526119775</v>
      </c>
      <c r="N315" s="6">
        <v>47.93</v>
      </c>
      <c r="O315" s="6">
        <v>0.81200000000000006</v>
      </c>
      <c r="P315" s="6">
        <v>5.077</v>
      </c>
      <c r="Q315" s="6">
        <v>0.90700000000000003</v>
      </c>
      <c r="R315" s="6">
        <v>1.2170000000000001</v>
      </c>
      <c r="AF315" s="60"/>
      <c r="AG315" s="61"/>
      <c r="AJ315" s="60"/>
      <c r="AK315" s="62"/>
      <c r="AL315" s="63"/>
      <c r="AM315" s="63"/>
      <c r="AN315" s="64"/>
      <c r="AO315" s="63"/>
      <c r="AP315" s="60"/>
      <c r="AR315" s="60"/>
      <c r="AS315" s="62"/>
      <c r="AW315" s="60"/>
      <c r="AZ315" s="60"/>
      <c r="BC315" s="60"/>
      <c r="BK315" s="60"/>
      <c r="BL315" s="60"/>
      <c r="BM315" s="60"/>
      <c r="BN315" s="60"/>
      <c r="BO315" s="60"/>
      <c r="BR315" s="60"/>
      <c r="BS315" s="65"/>
      <c r="BU315" s="60"/>
      <c r="CF315" s="66"/>
      <c r="CP315" s="30"/>
    </row>
    <row r="316" spans="1:94" x14ac:dyDescent="0.3">
      <c r="A316" s="13">
        <v>222</v>
      </c>
      <c r="B316" s="6" t="s">
        <v>0</v>
      </c>
      <c r="C316" s="6" t="s">
        <v>14</v>
      </c>
      <c r="D316" s="6" t="s">
        <v>5</v>
      </c>
      <c r="E316" s="6">
        <v>3</v>
      </c>
      <c r="F316" s="6" t="s">
        <v>7</v>
      </c>
      <c r="G316" s="6">
        <v>7.04</v>
      </c>
      <c r="H316" s="6">
        <v>1</v>
      </c>
      <c r="I316" s="6">
        <v>15.645</v>
      </c>
      <c r="J316" s="6">
        <v>6.0960000000000001</v>
      </c>
      <c r="K316" s="6">
        <v>61.035474592521567</v>
      </c>
      <c r="L316" s="6">
        <v>13.40909090909091</v>
      </c>
      <c r="M316" s="7">
        <f t="shared" si="33"/>
        <v>0.14397535178560583</v>
      </c>
      <c r="N316" s="6">
        <v>47.85</v>
      </c>
      <c r="O316" s="6">
        <v>0.92300000000000004</v>
      </c>
      <c r="P316" s="6">
        <v>5.7709999999999999</v>
      </c>
      <c r="Q316" s="6">
        <v>1.24</v>
      </c>
      <c r="R316" s="6">
        <v>1.619</v>
      </c>
      <c r="AF316" s="60"/>
      <c r="AG316" s="61"/>
      <c r="AJ316" s="60"/>
      <c r="AK316" s="62"/>
      <c r="AL316" s="63"/>
      <c r="AM316" s="63"/>
      <c r="AN316" s="64"/>
      <c r="AO316" s="63"/>
      <c r="AP316" s="60"/>
      <c r="AR316" s="60"/>
      <c r="AS316" s="62"/>
      <c r="AW316" s="60"/>
      <c r="AZ316" s="60"/>
      <c r="BC316" s="60"/>
      <c r="BK316" s="60"/>
      <c r="BL316" s="60"/>
      <c r="BM316" s="60"/>
      <c r="BN316" s="60"/>
      <c r="BO316" s="60"/>
      <c r="BR316" s="60"/>
      <c r="BS316" s="65"/>
      <c r="BU316" s="60"/>
      <c r="CF316" s="66"/>
      <c r="CP316" s="30"/>
    </row>
    <row r="317" spans="1:94" x14ac:dyDescent="0.3">
      <c r="A317" s="13">
        <v>231</v>
      </c>
      <c r="B317" s="6" t="s">
        <v>0</v>
      </c>
      <c r="C317" s="6" t="s">
        <v>14</v>
      </c>
      <c r="D317" s="6" t="s">
        <v>5</v>
      </c>
      <c r="E317" s="6">
        <v>1</v>
      </c>
      <c r="F317" s="6" t="s">
        <v>7</v>
      </c>
      <c r="G317" s="6">
        <v>6.94</v>
      </c>
      <c r="H317" s="6">
        <v>1</v>
      </c>
      <c r="I317" s="6">
        <v>23.359000000000002</v>
      </c>
      <c r="J317" s="6">
        <v>5.92</v>
      </c>
      <c r="K317" s="6">
        <v>74.656449334303687</v>
      </c>
      <c r="L317" s="6">
        <v>14.697406340057642</v>
      </c>
      <c r="M317" s="7">
        <f t="shared" si="33"/>
        <v>0.15896532562279886</v>
      </c>
      <c r="N317" s="6">
        <v>47.35</v>
      </c>
      <c r="O317" s="6">
        <v>0.67300000000000004</v>
      </c>
      <c r="P317" s="6">
        <v>4.2080000000000002</v>
      </c>
      <c r="Q317" s="6">
        <v>1.8120000000000001</v>
      </c>
      <c r="R317" s="6">
        <v>2.3079999999999998</v>
      </c>
      <c r="AF317" s="60"/>
      <c r="AG317" s="61"/>
      <c r="AJ317" s="60"/>
      <c r="AK317" s="62"/>
      <c r="AL317" s="63"/>
      <c r="AM317" s="63"/>
      <c r="AN317" s="64"/>
      <c r="AO317" s="63"/>
      <c r="AP317" s="60"/>
      <c r="AR317" s="60"/>
      <c r="AS317" s="62"/>
      <c r="AW317" s="60"/>
      <c r="AZ317" s="60"/>
      <c r="BC317" s="60"/>
      <c r="BK317" s="60"/>
      <c r="BL317" s="60"/>
      <c r="BM317" s="60"/>
      <c r="BN317" s="60"/>
      <c r="BO317" s="60"/>
      <c r="BR317" s="60"/>
      <c r="BS317" s="65"/>
      <c r="BU317" s="60"/>
      <c r="CF317" s="66"/>
      <c r="CP317" s="30"/>
    </row>
    <row r="318" spans="1:94" x14ac:dyDescent="0.3">
      <c r="A318" s="13">
        <v>238</v>
      </c>
      <c r="B318" s="6" t="s">
        <v>0</v>
      </c>
      <c r="C318" s="6" t="s">
        <v>1</v>
      </c>
      <c r="D318" s="6" t="s">
        <v>5</v>
      </c>
      <c r="E318" s="6">
        <v>2</v>
      </c>
      <c r="F318" s="6" t="s">
        <v>7</v>
      </c>
      <c r="G318" s="6">
        <v>7</v>
      </c>
      <c r="H318" s="6">
        <v>1</v>
      </c>
      <c r="I318" s="6">
        <v>21.952000000000002</v>
      </c>
      <c r="J318" s="6">
        <v>5.9550000000000001</v>
      </c>
      <c r="K318" s="6">
        <v>72.872631195335273</v>
      </c>
      <c r="L318" s="6">
        <v>14.928571428571427</v>
      </c>
      <c r="M318" s="7">
        <f t="shared" si="33"/>
        <v>0.16167894624804982</v>
      </c>
      <c r="N318" s="6">
        <v>47.99</v>
      </c>
      <c r="O318" s="6">
        <v>0.77</v>
      </c>
      <c r="P318" s="6">
        <v>4.8150000000000004</v>
      </c>
      <c r="Q318" s="6">
        <v>1.881</v>
      </c>
      <c r="R318" s="6">
        <v>2.0990000000000002</v>
      </c>
      <c r="AF318" s="60"/>
      <c r="AG318" s="61"/>
      <c r="AJ318" s="60"/>
      <c r="AK318" s="62"/>
      <c r="AL318" s="63"/>
      <c r="AM318" s="63"/>
      <c r="AN318" s="64"/>
      <c r="AO318" s="63"/>
      <c r="AP318" s="60"/>
      <c r="AR318" s="60"/>
      <c r="AS318" s="62"/>
      <c r="AW318" s="60"/>
      <c r="AZ318" s="60"/>
      <c r="BC318" s="60"/>
      <c r="BK318" s="60"/>
      <c r="BL318" s="60"/>
      <c r="BM318" s="60"/>
      <c r="BN318" s="60"/>
      <c r="BO318" s="60"/>
      <c r="BR318" s="60"/>
      <c r="BS318" s="65"/>
      <c r="BU318" s="60"/>
      <c r="CF318" s="66"/>
      <c r="CP318" s="30"/>
    </row>
    <row r="319" spans="1:94" x14ac:dyDescent="0.3">
      <c r="A319" s="13">
        <v>302</v>
      </c>
      <c r="B319" s="6" t="s">
        <v>2</v>
      </c>
      <c r="C319" s="6" t="s">
        <v>14</v>
      </c>
      <c r="D319" s="6" t="s">
        <v>4</v>
      </c>
      <c r="E319" s="6">
        <v>2</v>
      </c>
      <c r="F319" s="6" t="s">
        <v>7</v>
      </c>
      <c r="G319" s="6">
        <v>7.02</v>
      </c>
      <c r="H319" s="6">
        <v>1</v>
      </c>
      <c r="I319" s="6">
        <v>27.716000000000001</v>
      </c>
      <c r="J319" s="6">
        <v>6.39</v>
      </c>
      <c r="K319" s="6">
        <v>76.944725068552458</v>
      </c>
      <c r="L319" s="6">
        <v>8.9743589743589727</v>
      </c>
      <c r="M319" s="7">
        <f t="shared" si="33"/>
        <v>9.4028949648276336E-2</v>
      </c>
      <c r="N319" s="6">
        <v>48.4</v>
      </c>
      <c r="O319" s="6">
        <v>1.097</v>
      </c>
      <c r="P319" s="6">
        <v>6.8559999999999999</v>
      </c>
      <c r="Q319" s="6">
        <v>1.8819999999999999</v>
      </c>
      <c r="R319" s="6">
        <v>1.8029999999999999</v>
      </c>
      <c r="AF319" s="60"/>
      <c r="AG319" s="61"/>
      <c r="AJ319" s="60"/>
      <c r="AK319" s="62"/>
      <c r="AL319" s="63"/>
      <c r="AM319" s="63"/>
      <c r="AN319" s="64"/>
      <c r="AO319" s="63"/>
      <c r="AP319" s="60"/>
      <c r="AR319" s="60"/>
      <c r="AS319" s="62"/>
      <c r="AW319" s="60"/>
      <c r="AZ319" s="60"/>
      <c r="BC319" s="60"/>
      <c r="BK319" s="60"/>
      <c r="BL319" s="60"/>
      <c r="BM319" s="60"/>
      <c r="BN319" s="60"/>
      <c r="BO319" s="60"/>
      <c r="BR319" s="60"/>
      <c r="BS319" s="65"/>
      <c r="BU319" s="60"/>
      <c r="CF319" s="66"/>
      <c r="CP319" s="30"/>
    </row>
    <row r="320" spans="1:94" x14ac:dyDescent="0.3">
      <c r="A320" s="13">
        <v>307</v>
      </c>
      <c r="B320" s="6" t="s">
        <v>2</v>
      </c>
      <c r="C320" s="6" t="s">
        <v>14</v>
      </c>
      <c r="D320" s="6" t="s">
        <v>4</v>
      </c>
      <c r="E320" s="6">
        <v>4</v>
      </c>
      <c r="F320" s="6" t="s">
        <v>7</v>
      </c>
      <c r="G320" s="6">
        <v>7</v>
      </c>
      <c r="H320" s="6">
        <v>1</v>
      </c>
      <c r="I320" s="6">
        <v>28.766999999999999</v>
      </c>
      <c r="J320" s="6">
        <v>6.1989999999999998</v>
      </c>
      <c r="K320" s="6">
        <v>78.45100288525046</v>
      </c>
      <c r="L320" s="6">
        <v>11.442857142857145</v>
      </c>
      <c r="M320" s="7">
        <f t="shared" si="33"/>
        <v>0.12152216033553097</v>
      </c>
      <c r="N320" s="6">
        <v>48.31</v>
      </c>
      <c r="O320" s="6">
        <v>1.3069999999999999</v>
      </c>
      <c r="P320" s="6">
        <v>8.1669999999999998</v>
      </c>
      <c r="Q320" s="6">
        <v>1.883</v>
      </c>
      <c r="R320" s="6">
        <v>1.8810000000000002</v>
      </c>
      <c r="AF320" s="60"/>
      <c r="AG320" s="61"/>
      <c r="AJ320" s="60"/>
      <c r="AK320" s="62"/>
      <c r="AL320" s="63"/>
      <c r="AM320" s="63"/>
      <c r="AN320" s="64"/>
      <c r="AO320" s="63"/>
      <c r="AP320" s="60"/>
      <c r="AR320" s="60"/>
      <c r="AS320" s="62"/>
      <c r="AW320" s="60"/>
      <c r="AZ320" s="60"/>
      <c r="BC320" s="60"/>
      <c r="BK320" s="60"/>
      <c r="BL320" s="60"/>
      <c r="BM320" s="60"/>
      <c r="BN320" s="60"/>
      <c r="BO320" s="60"/>
      <c r="BR320" s="60"/>
      <c r="BS320" s="65"/>
      <c r="BU320" s="60"/>
      <c r="CF320" s="66"/>
      <c r="CP320" s="30"/>
    </row>
    <row r="321" spans="1:94" x14ac:dyDescent="0.3">
      <c r="A321" s="13">
        <v>308</v>
      </c>
      <c r="B321" s="6" t="s">
        <v>2</v>
      </c>
      <c r="C321" s="6" t="s">
        <v>14</v>
      </c>
      <c r="D321" s="6" t="s">
        <v>4</v>
      </c>
      <c r="E321" s="6">
        <v>1</v>
      </c>
      <c r="F321" s="6" t="s">
        <v>7</v>
      </c>
      <c r="G321" s="6">
        <v>7.03</v>
      </c>
      <c r="H321" s="6">
        <v>1</v>
      </c>
      <c r="I321" s="6">
        <v>24.562999999999999</v>
      </c>
      <c r="J321" s="6">
        <v>6.2290000000000001</v>
      </c>
      <c r="K321" s="6">
        <v>74.64071978178562</v>
      </c>
      <c r="L321" s="6">
        <v>11.394025604551922</v>
      </c>
      <c r="M321" s="7">
        <f t="shared" si="33"/>
        <v>0.12097089955056514</v>
      </c>
      <c r="N321" s="6">
        <v>48.51</v>
      </c>
      <c r="O321" s="6">
        <v>1.2909999999999999</v>
      </c>
      <c r="P321" s="6">
        <v>8.07</v>
      </c>
      <c r="Q321" s="6">
        <v>1.996</v>
      </c>
      <c r="R321" s="6">
        <v>2.0310000000000001</v>
      </c>
      <c r="AF321" s="60"/>
      <c r="AG321" s="61"/>
      <c r="AJ321" s="60"/>
      <c r="AK321" s="62"/>
      <c r="AL321" s="63"/>
      <c r="AM321" s="63"/>
      <c r="AN321" s="64"/>
      <c r="AO321" s="63"/>
      <c r="AP321" s="60"/>
      <c r="AR321" s="60"/>
      <c r="AS321" s="62"/>
      <c r="AW321" s="60"/>
      <c r="AZ321" s="60"/>
      <c r="BC321" s="60"/>
      <c r="BK321" s="60"/>
      <c r="BL321" s="60"/>
      <c r="BM321" s="60"/>
      <c r="BN321" s="60"/>
      <c r="BO321" s="60"/>
      <c r="BR321" s="60"/>
      <c r="BS321" s="65"/>
      <c r="BU321" s="60"/>
      <c r="CF321" s="66"/>
      <c r="CP321" s="30"/>
    </row>
    <row r="322" spans="1:94" x14ac:dyDescent="0.3">
      <c r="A322" s="13">
        <v>309</v>
      </c>
      <c r="B322" s="6" t="s">
        <v>2</v>
      </c>
      <c r="C322" s="6" t="s">
        <v>1</v>
      </c>
      <c r="D322" s="6" t="s">
        <v>4</v>
      </c>
      <c r="E322" s="6">
        <v>4</v>
      </c>
      <c r="F322" s="6" t="s">
        <v>7</v>
      </c>
      <c r="G322" s="6">
        <v>6.98</v>
      </c>
      <c r="H322" s="6">
        <v>1</v>
      </c>
      <c r="I322" s="6">
        <v>23.59</v>
      </c>
      <c r="J322" s="6">
        <v>6.3310000000000004</v>
      </c>
      <c r="K322" s="6">
        <v>73.162356930902931</v>
      </c>
      <c r="L322" s="6">
        <v>9.2979942693409736</v>
      </c>
      <c r="M322" s="7">
        <f t="shared" ref="M322:M385" si="40">-LN((J322/G322)/H322)</f>
        <v>9.7590715212291582E-2</v>
      </c>
      <c r="N322" s="6">
        <v>48.03</v>
      </c>
      <c r="O322" s="6">
        <v>1.1950000000000001</v>
      </c>
      <c r="P322" s="6">
        <v>7.4720000000000004</v>
      </c>
      <c r="Q322" s="6">
        <v>1.524</v>
      </c>
      <c r="R322" s="6">
        <v>1.819</v>
      </c>
      <c r="AF322" s="60"/>
      <c r="AG322" s="61"/>
      <c r="AJ322" s="60"/>
      <c r="AK322" s="62"/>
      <c r="AL322" s="63"/>
      <c r="AM322" s="63"/>
      <c r="AN322" s="64"/>
      <c r="AO322" s="63"/>
      <c r="AP322" s="60"/>
      <c r="AR322" s="60"/>
      <c r="AS322" s="62"/>
      <c r="AW322" s="60"/>
      <c r="AZ322" s="60"/>
      <c r="BC322" s="60"/>
      <c r="BK322" s="60"/>
      <c r="BL322" s="60"/>
      <c r="BM322" s="60"/>
      <c r="BN322" s="60"/>
      <c r="BO322" s="60"/>
      <c r="BR322" s="60"/>
      <c r="BS322" s="65"/>
      <c r="BU322" s="60"/>
      <c r="CF322" s="66"/>
      <c r="CP322" s="30"/>
    </row>
    <row r="323" spans="1:94" x14ac:dyDescent="0.3">
      <c r="A323" s="13">
        <v>330</v>
      </c>
      <c r="B323" s="6" t="s">
        <v>2</v>
      </c>
      <c r="C323" s="6" t="s">
        <v>1</v>
      </c>
      <c r="D323" s="6" t="s">
        <v>4</v>
      </c>
      <c r="E323" s="6">
        <v>1</v>
      </c>
      <c r="F323" s="6" t="s">
        <v>7</v>
      </c>
      <c r="G323" s="6">
        <v>7</v>
      </c>
      <c r="H323" s="6">
        <v>1</v>
      </c>
      <c r="I323" s="6">
        <v>26.466999999999999</v>
      </c>
      <c r="J323" s="6">
        <v>6.242</v>
      </c>
      <c r="K323" s="6">
        <v>76.415914157252416</v>
      </c>
      <c r="L323" s="6">
        <v>10.828571428571429</v>
      </c>
      <c r="M323" s="7">
        <f t="shared" si="40"/>
        <v>0.11460950520672565</v>
      </c>
      <c r="N323" s="6">
        <v>47.99</v>
      </c>
      <c r="O323" s="6">
        <v>1.4930000000000001</v>
      </c>
      <c r="P323" s="6">
        <v>9.3309999999999995</v>
      </c>
      <c r="Q323" s="6">
        <v>1.2649999999999999</v>
      </c>
      <c r="R323" s="6">
        <v>1.1279999999999999</v>
      </c>
      <c r="AF323" s="60"/>
      <c r="AG323" s="61"/>
      <c r="AJ323" s="60"/>
      <c r="AK323" s="62"/>
      <c r="AL323" s="63"/>
      <c r="AM323" s="63"/>
      <c r="AN323" s="64"/>
      <c r="AO323" s="63"/>
      <c r="AP323" s="60"/>
      <c r="AR323" s="60"/>
      <c r="AS323" s="62"/>
      <c r="AW323" s="60"/>
      <c r="AZ323" s="60"/>
      <c r="BC323" s="60"/>
      <c r="BK323" s="60"/>
      <c r="BL323" s="60"/>
      <c r="BM323" s="60"/>
      <c r="BN323" s="60"/>
      <c r="BO323" s="60"/>
      <c r="BR323" s="60"/>
      <c r="BS323" s="65"/>
      <c r="BU323" s="60"/>
      <c r="CF323" s="66"/>
      <c r="CP323" s="30"/>
    </row>
    <row r="324" spans="1:94" x14ac:dyDescent="0.3">
      <c r="A324" s="13">
        <v>342</v>
      </c>
      <c r="B324" s="6" t="s">
        <v>2</v>
      </c>
      <c r="C324" s="6" t="s">
        <v>1</v>
      </c>
      <c r="D324" s="6" t="s">
        <v>4</v>
      </c>
      <c r="E324" s="6">
        <v>3</v>
      </c>
      <c r="F324" s="6" t="s">
        <v>7</v>
      </c>
      <c r="G324" s="6">
        <v>7.03</v>
      </c>
      <c r="H324" s="6">
        <v>1</v>
      </c>
      <c r="I324" s="6">
        <v>22.521000000000001</v>
      </c>
      <c r="J324" s="6">
        <v>6.3259999999999996</v>
      </c>
      <c r="K324" s="6">
        <v>71.910661160694474</v>
      </c>
      <c r="L324" s="6">
        <v>10.014224751066864</v>
      </c>
      <c r="M324" s="7">
        <f t="shared" si="40"/>
        <v>0.10551858093911658</v>
      </c>
      <c r="N324" s="6">
        <v>48.38</v>
      </c>
      <c r="O324" s="6">
        <v>0.83399999999999996</v>
      </c>
      <c r="P324" s="6">
        <v>5.2119999999999997</v>
      </c>
      <c r="Q324" s="6">
        <v>2.3330000000000002</v>
      </c>
      <c r="R324" s="6">
        <v>2.04</v>
      </c>
      <c r="AF324" s="60"/>
      <c r="AG324" s="61"/>
      <c r="AJ324" s="60"/>
      <c r="AK324" s="62"/>
      <c r="AL324" s="63"/>
      <c r="AM324" s="63"/>
      <c r="AN324" s="64"/>
      <c r="AO324" s="63"/>
      <c r="AP324" s="60"/>
      <c r="AR324" s="60"/>
      <c r="AS324" s="62"/>
      <c r="AW324" s="60"/>
      <c r="AZ324" s="60"/>
      <c r="BC324" s="60"/>
      <c r="BK324" s="60"/>
      <c r="BL324" s="60"/>
      <c r="BM324" s="60"/>
      <c r="BN324" s="60"/>
      <c r="BO324" s="60"/>
      <c r="BR324" s="60"/>
      <c r="BS324" s="65"/>
      <c r="BU324" s="60"/>
      <c r="CF324" s="66"/>
      <c r="CP324" s="30"/>
    </row>
    <row r="325" spans="1:94" x14ac:dyDescent="0.3">
      <c r="A325" s="13">
        <v>344</v>
      </c>
      <c r="B325" s="6" t="s">
        <v>2</v>
      </c>
      <c r="C325" s="6" t="s">
        <v>14</v>
      </c>
      <c r="D325" s="6" t="s">
        <v>4</v>
      </c>
      <c r="E325" s="6">
        <v>3</v>
      </c>
      <c r="F325" s="6" t="s">
        <v>7</v>
      </c>
      <c r="G325" s="6">
        <v>7.03</v>
      </c>
      <c r="H325" s="6">
        <v>1</v>
      </c>
      <c r="I325" s="6">
        <v>22.056000000000001</v>
      </c>
      <c r="J325" s="6">
        <v>6.2720000000000002</v>
      </c>
      <c r="K325" s="6">
        <v>71.563293434893012</v>
      </c>
      <c r="L325" s="6">
        <v>10.782361308677098</v>
      </c>
      <c r="M325" s="7">
        <f t="shared" si="40"/>
        <v>0.11409142277446685</v>
      </c>
      <c r="N325" s="6">
        <v>47.72</v>
      </c>
      <c r="O325" s="6">
        <v>0.98899999999999999</v>
      </c>
      <c r="P325" s="6">
        <v>6.1779999999999999</v>
      </c>
      <c r="Q325" s="6">
        <v>2.69</v>
      </c>
      <c r="R325" s="6">
        <v>2.0470000000000002</v>
      </c>
      <c r="AF325" s="60"/>
      <c r="AG325" s="61"/>
      <c r="AJ325" s="60"/>
      <c r="AK325" s="62"/>
      <c r="AL325" s="63"/>
      <c r="AM325" s="63"/>
      <c r="AN325" s="64"/>
      <c r="AO325" s="63"/>
      <c r="AP325" s="60"/>
      <c r="AR325" s="60"/>
      <c r="AS325" s="62"/>
      <c r="AW325" s="60"/>
      <c r="AZ325" s="60"/>
      <c r="BC325" s="60"/>
      <c r="BK325" s="60"/>
      <c r="BL325" s="60"/>
      <c r="BM325" s="60"/>
      <c r="BN325" s="60"/>
      <c r="BO325" s="60"/>
      <c r="BR325" s="60"/>
      <c r="BS325" s="65"/>
      <c r="BU325" s="60"/>
      <c r="CF325" s="66"/>
      <c r="CP325" s="30"/>
    </row>
    <row r="326" spans="1:94" x14ac:dyDescent="0.3">
      <c r="A326" s="13">
        <v>349</v>
      </c>
      <c r="B326" s="6" t="s">
        <v>2</v>
      </c>
      <c r="C326" s="6" t="s">
        <v>1</v>
      </c>
      <c r="D326" s="6" t="s">
        <v>4</v>
      </c>
      <c r="E326" s="6">
        <v>5</v>
      </c>
      <c r="F326" s="6" t="s">
        <v>7</v>
      </c>
      <c r="G326" s="6">
        <v>7.05</v>
      </c>
      <c r="H326" s="6">
        <v>1</v>
      </c>
      <c r="I326" s="6">
        <v>25.251999999999999</v>
      </c>
      <c r="J326" s="6">
        <v>6.28</v>
      </c>
      <c r="K326" s="6">
        <v>75.130682718200532</v>
      </c>
      <c r="L326" s="6">
        <v>10.921985815602831</v>
      </c>
      <c r="M326" s="7">
        <f t="shared" si="40"/>
        <v>0.11565763634406991</v>
      </c>
      <c r="N326" s="6">
        <v>48.01</v>
      </c>
      <c r="O326" s="6">
        <v>1.131</v>
      </c>
      <c r="P326" s="6">
        <v>7.0679999999999996</v>
      </c>
      <c r="Q326" s="6">
        <v>2.3959999999999999</v>
      </c>
      <c r="R326" s="6">
        <v>2.008</v>
      </c>
      <c r="AF326" s="60"/>
      <c r="AG326" s="61"/>
      <c r="AJ326" s="60"/>
      <c r="AK326" s="62"/>
      <c r="AL326" s="63"/>
      <c r="AM326" s="63"/>
      <c r="AN326" s="64"/>
      <c r="AO326" s="63"/>
      <c r="AP326" s="60"/>
      <c r="AR326" s="60"/>
      <c r="AS326" s="62"/>
      <c r="AW326" s="60"/>
      <c r="AZ326" s="60"/>
      <c r="BC326" s="60"/>
      <c r="BK326" s="60"/>
      <c r="BL326" s="60"/>
      <c r="BM326" s="60"/>
      <c r="BN326" s="60"/>
      <c r="BO326" s="60"/>
      <c r="BR326" s="60"/>
      <c r="BS326" s="65"/>
      <c r="BU326" s="60"/>
      <c r="CF326" s="66"/>
      <c r="CP326" s="30"/>
    </row>
    <row r="327" spans="1:94" x14ac:dyDescent="0.3">
      <c r="A327" s="13">
        <v>357</v>
      </c>
      <c r="B327" s="6" t="s">
        <v>2</v>
      </c>
      <c r="C327" s="6" t="s">
        <v>14</v>
      </c>
      <c r="D327" s="6" t="s">
        <v>4</v>
      </c>
      <c r="E327" s="6">
        <v>5</v>
      </c>
      <c r="F327" s="6" t="s">
        <v>7</v>
      </c>
      <c r="G327" s="6">
        <v>6.97</v>
      </c>
      <c r="H327" s="6">
        <v>1</v>
      </c>
      <c r="I327" s="6">
        <v>27.899000000000001</v>
      </c>
      <c r="J327" s="6">
        <v>6.2510000000000003</v>
      </c>
      <c r="K327" s="6">
        <v>77.594179002831638</v>
      </c>
      <c r="L327" s="6">
        <v>10.315638450502144</v>
      </c>
      <c r="M327" s="7">
        <f t="shared" si="40"/>
        <v>0.10887377382275709</v>
      </c>
      <c r="N327" s="6">
        <v>49.9</v>
      </c>
      <c r="O327" s="6">
        <v>0.84899999999999998</v>
      </c>
      <c r="P327" s="6">
        <v>5.3090000000000002</v>
      </c>
      <c r="Q327" s="6">
        <v>2.1920000000000002</v>
      </c>
      <c r="R327" s="6">
        <v>1.5539999999999998</v>
      </c>
      <c r="AF327" s="60"/>
      <c r="AG327" s="61"/>
      <c r="AJ327" s="60"/>
      <c r="AK327" s="62"/>
      <c r="AL327" s="63"/>
      <c r="AM327" s="63"/>
      <c r="AN327" s="64"/>
      <c r="AO327" s="63"/>
      <c r="AP327" s="60"/>
      <c r="AR327" s="60"/>
      <c r="AS327" s="62"/>
      <c r="AW327" s="60"/>
      <c r="AZ327" s="60"/>
      <c r="BC327" s="60"/>
      <c r="BK327" s="60"/>
      <c r="BL327" s="60"/>
      <c r="BM327" s="60"/>
      <c r="BN327" s="60"/>
      <c r="BO327" s="60"/>
      <c r="BR327" s="60"/>
      <c r="BS327" s="65"/>
      <c r="BU327" s="60"/>
      <c r="CF327" s="66"/>
      <c r="CP327" s="30"/>
    </row>
    <row r="328" spans="1:94" x14ac:dyDescent="0.3">
      <c r="A328" s="13">
        <v>359</v>
      </c>
      <c r="B328" s="6" t="s">
        <v>2</v>
      </c>
      <c r="C328" s="6" t="s">
        <v>1</v>
      </c>
      <c r="D328" s="6" t="s">
        <v>4</v>
      </c>
      <c r="E328" s="6">
        <v>2</v>
      </c>
      <c r="F328" s="6" t="s">
        <v>7</v>
      </c>
      <c r="G328" s="6">
        <v>6.95</v>
      </c>
      <c r="H328" s="6">
        <v>1</v>
      </c>
      <c r="I328" s="6">
        <v>22.178999999999998</v>
      </c>
      <c r="J328" s="6">
        <v>6.1589999999999998</v>
      </c>
      <c r="K328" s="6">
        <v>72.230488299743001</v>
      </c>
      <c r="L328" s="6">
        <v>11.381294964028783</v>
      </c>
      <c r="M328" s="7">
        <f t="shared" si="40"/>
        <v>0.12082723287179467</v>
      </c>
      <c r="N328" s="6">
        <v>48.02</v>
      </c>
      <c r="O328" s="6">
        <v>0.82499999999999996</v>
      </c>
      <c r="P328" s="6">
        <v>5.1539999999999999</v>
      </c>
      <c r="Q328" s="6">
        <v>1.823</v>
      </c>
      <c r="R328" s="6">
        <v>1.8050000000000002</v>
      </c>
      <c r="AF328" s="60"/>
      <c r="AG328" s="61"/>
      <c r="AJ328" s="60"/>
      <c r="AK328" s="62"/>
      <c r="AL328" s="63"/>
      <c r="AM328" s="63"/>
      <c r="AN328" s="64"/>
      <c r="AO328" s="63"/>
      <c r="AP328" s="60"/>
      <c r="AR328" s="60"/>
      <c r="AS328" s="62"/>
      <c r="AW328" s="60"/>
      <c r="AZ328" s="60"/>
      <c r="BC328" s="60"/>
      <c r="BK328" s="60"/>
      <c r="BL328" s="60"/>
      <c r="BM328" s="60"/>
      <c r="BN328" s="60"/>
      <c r="BO328" s="60"/>
      <c r="BR328" s="60"/>
      <c r="BS328" s="65"/>
      <c r="BU328" s="60"/>
      <c r="CF328" s="66"/>
      <c r="CP328" s="30"/>
    </row>
    <row r="329" spans="1:94" x14ac:dyDescent="0.3">
      <c r="A329" s="13">
        <v>421</v>
      </c>
      <c r="B329" s="6" t="s">
        <v>2</v>
      </c>
      <c r="C329" s="6" t="s">
        <v>1</v>
      </c>
      <c r="D329" s="6" t="s">
        <v>5</v>
      </c>
      <c r="E329" s="6">
        <v>3</v>
      </c>
      <c r="F329" s="6" t="s">
        <v>7</v>
      </c>
      <c r="G329" s="6">
        <v>6.92</v>
      </c>
      <c r="H329" s="6">
        <v>1</v>
      </c>
      <c r="I329" s="6">
        <v>15.962999999999999</v>
      </c>
      <c r="J329" s="6">
        <v>6.3559999999999999</v>
      </c>
      <c r="K329" s="6">
        <v>60.18292300945938</v>
      </c>
      <c r="L329" s="6">
        <v>8.1502890173410414</v>
      </c>
      <c r="M329" s="7">
        <f t="shared" si="40"/>
        <v>8.5016520955108643E-2</v>
      </c>
      <c r="N329" s="6">
        <v>47.45</v>
      </c>
      <c r="O329" s="6">
        <v>0.84399999999999997</v>
      </c>
      <c r="P329" s="6">
        <v>5.2729999999999997</v>
      </c>
      <c r="Q329" s="6">
        <v>1.2030000000000001</v>
      </c>
      <c r="R329" s="6">
        <v>2.0650000000000004</v>
      </c>
      <c r="AF329" s="60"/>
      <c r="AG329" s="61"/>
      <c r="AJ329" s="60"/>
      <c r="AK329" s="62"/>
      <c r="AL329" s="63"/>
      <c r="AM329" s="63"/>
      <c r="AN329" s="64"/>
      <c r="AO329" s="63"/>
      <c r="AP329" s="60"/>
      <c r="AR329" s="60"/>
      <c r="AS329" s="62"/>
      <c r="AW329" s="60"/>
      <c r="AZ329" s="60"/>
      <c r="BC329" s="60"/>
      <c r="BK329" s="60"/>
      <c r="BL329" s="60"/>
      <c r="BM329" s="60"/>
      <c r="BN329" s="60"/>
      <c r="BO329" s="60"/>
      <c r="BR329" s="60"/>
      <c r="BS329" s="65"/>
      <c r="BU329" s="60"/>
      <c r="CF329" s="66"/>
      <c r="CP329" s="30"/>
    </row>
    <row r="330" spans="1:94" x14ac:dyDescent="0.3">
      <c r="A330" s="13">
        <v>428</v>
      </c>
      <c r="B330" s="6" t="s">
        <v>2</v>
      </c>
      <c r="C330" s="6" t="s">
        <v>14</v>
      </c>
      <c r="D330" s="6" t="s">
        <v>5</v>
      </c>
      <c r="E330" s="6">
        <v>2</v>
      </c>
      <c r="F330" s="6" t="s">
        <v>7</v>
      </c>
      <c r="G330" s="6">
        <v>7.02</v>
      </c>
      <c r="H330" s="6">
        <v>1</v>
      </c>
      <c r="I330" s="6">
        <v>17.213000000000001</v>
      </c>
      <c r="J330" s="6">
        <v>6.4020000000000001</v>
      </c>
      <c r="K330" s="6">
        <v>62.807180619299366</v>
      </c>
      <c r="L330" s="6">
        <v>8.8034188034187952</v>
      </c>
      <c r="M330" s="7">
        <f t="shared" si="40"/>
        <v>9.2152776490048341E-2</v>
      </c>
      <c r="N330" s="6">
        <v>47.49</v>
      </c>
      <c r="O330" s="6">
        <v>0.91900000000000004</v>
      </c>
      <c r="P330" s="6">
        <v>5.7409999999999997</v>
      </c>
      <c r="Q330" s="6">
        <v>1.3140000000000001</v>
      </c>
      <c r="R330" s="6">
        <v>1.6800000000000002</v>
      </c>
      <c r="AF330" s="60"/>
      <c r="AG330" s="61"/>
      <c r="AJ330" s="60"/>
      <c r="AK330" s="62"/>
      <c r="AL330" s="63"/>
      <c r="AM330" s="63"/>
      <c r="AN330" s="64"/>
      <c r="AO330" s="63"/>
      <c r="AP330" s="60"/>
      <c r="AR330" s="60"/>
      <c r="AS330" s="62"/>
      <c r="AW330" s="60"/>
      <c r="AZ330" s="60"/>
      <c r="BC330" s="60"/>
      <c r="BK330" s="60"/>
      <c r="BL330" s="60"/>
      <c r="BM330" s="60"/>
      <c r="BN330" s="60"/>
      <c r="BO330" s="60"/>
      <c r="BR330" s="60"/>
      <c r="BS330" s="65"/>
      <c r="BU330" s="60"/>
      <c r="CF330" s="66"/>
      <c r="CP330" s="30"/>
    </row>
    <row r="331" spans="1:94" x14ac:dyDescent="0.3">
      <c r="A331" s="13">
        <v>432</v>
      </c>
      <c r="B331" s="6" t="s">
        <v>2</v>
      </c>
      <c r="C331" s="6" t="s">
        <v>14</v>
      </c>
      <c r="D331" s="6" t="s">
        <v>5</v>
      </c>
      <c r="E331" s="6">
        <v>4</v>
      </c>
      <c r="F331" s="6" t="s">
        <v>7</v>
      </c>
      <c r="G331" s="6">
        <v>6.98</v>
      </c>
      <c r="H331" s="6">
        <v>1</v>
      </c>
      <c r="I331" s="6">
        <v>20.782</v>
      </c>
      <c r="J331" s="6">
        <v>6.5389999999999997</v>
      </c>
      <c r="K331" s="6">
        <v>68.535270907516121</v>
      </c>
      <c r="L331" s="6">
        <v>6.3180515759312428</v>
      </c>
      <c r="M331" s="7">
        <f t="shared" si="40"/>
        <v>6.5264668195142275E-2</v>
      </c>
      <c r="N331" s="6">
        <v>47.81</v>
      </c>
      <c r="O331" s="6">
        <v>0.61099999999999999</v>
      </c>
      <c r="P331" s="6">
        <v>3.8210000000000002</v>
      </c>
      <c r="Q331" s="6">
        <v>1.335</v>
      </c>
      <c r="R331" s="6">
        <v>1.8779999999999999</v>
      </c>
      <c r="AF331" s="60"/>
      <c r="AG331" s="61"/>
      <c r="AJ331" s="60"/>
      <c r="AK331" s="62"/>
      <c r="AL331" s="63"/>
      <c r="AM331" s="63"/>
      <c r="AN331" s="64"/>
      <c r="AO331" s="63"/>
      <c r="AP331" s="60"/>
      <c r="AR331" s="60"/>
      <c r="AS331" s="62"/>
      <c r="AW331" s="60"/>
      <c r="AZ331" s="60"/>
      <c r="BC331" s="60"/>
      <c r="BK331" s="60"/>
      <c r="BL331" s="60"/>
      <c r="BM331" s="60"/>
      <c r="BN331" s="60"/>
      <c r="BO331" s="60"/>
      <c r="BR331" s="60"/>
      <c r="BS331" s="65"/>
      <c r="BU331" s="60"/>
      <c r="CF331" s="66"/>
      <c r="CP331" s="30"/>
    </row>
    <row r="332" spans="1:94" x14ac:dyDescent="0.3">
      <c r="A332" s="13">
        <v>437</v>
      </c>
      <c r="B332" s="6" t="s">
        <v>2</v>
      </c>
      <c r="C332" s="6" t="s">
        <v>14</v>
      </c>
      <c r="D332" s="6" t="s">
        <v>5</v>
      </c>
      <c r="E332" s="6">
        <v>5</v>
      </c>
      <c r="F332" s="6" t="s">
        <v>7</v>
      </c>
      <c r="G332" s="6">
        <v>7.08</v>
      </c>
      <c r="H332" s="6">
        <v>1</v>
      </c>
      <c r="I332" s="6">
        <v>25.393000000000001</v>
      </c>
      <c r="J332" s="6">
        <v>6.476</v>
      </c>
      <c r="K332" s="6">
        <v>74.496908596857409</v>
      </c>
      <c r="L332" s="6">
        <v>8.5310734463276852</v>
      </c>
      <c r="M332" s="7">
        <f t="shared" si="40"/>
        <v>8.9170871890239728E-2</v>
      </c>
      <c r="N332" s="6">
        <v>47.42</v>
      </c>
      <c r="O332" s="6">
        <v>0.745</v>
      </c>
      <c r="P332" s="6">
        <v>4.6589999999999998</v>
      </c>
      <c r="Q332" s="6">
        <v>1.1539999999999999</v>
      </c>
      <c r="R332" s="6">
        <v>1.645</v>
      </c>
      <c r="AF332" s="60"/>
      <c r="AG332" s="61"/>
      <c r="AJ332" s="60"/>
      <c r="AK332" s="62"/>
      <c r="AL332" s="63"/>
      <c r="AM332" s="63"/>
      <c r="AN332" s="64"/>
      <c r="AO332" s="63"/>
      <c r="AP332" s="60"/>
      <c r="AR332" s="60"/>
      <c r="AS332" s="62"/>
      <c r="AW332" s="60"/>
      <c r="AZ332" s="60"/>
      <c r="BC332" s="60"/>
      <c r="BK332" s="60"/>
      <c r="BL332" s="60"/>
      <c r="BM332" s="60"/>
      <c r="BN332" s="60"/>
      <c r="BO332" s="60"/>
      <c r="BR332" s="60"/>
      <c r="BS332" s="65"/>
      <c r="BU332" s="60"/>
      <c r="CF332" s="66"/>
      <c r="CP332" s="30"/>
    </row>
    <row r="333" spans="1:94" x14ac:dyDescent="0.3">
      <c r="A333" s="13">
        <v>446</v>
      </c>
      <c r="B333" s="6" t="s">
        <v>2</v>
      </c>
      <c r="C333" s="6" t="s">
        <v>1</v>
      </c>
      <c r="D333" s="6" t="s">
        <v>5</v>
      </c>
      <c r="E333" s="6">
        <v>2</v>
      </c>
      <c r="F333" s="6" t="s">
        <v>7</v>
      </c>
      <c r="G333" s="6">
        <v>6.93</v>
      </c>
      <c r="H333" s="6">
        <v>1</v>
      </c>
      <c r="I333" s="6">
        <v>18.815999999999999</v>
      </c>
      <c r="J333" s="6">
        <v>6.3920000000000003</v>
      </c>
      <c r="K333" s="6">
        <v>66.028911564625844</v>
      </c>
      <c r="L333" s="6">
        <v>7.7633477633477543</v>
      </c>
      <c r="M333" s="7">
        <f t="shared" si="40"/>
        <v>8.0812604737838176E-2</v>
      </c>
      <c r="N333" s="6">
        <v>47.2</v>
      </c>
      <c r="O333" s="6">
        <v>0.70699999999999996</v>
      </c>
      <c r="P333" s="6">
        <v>4.4180000000000001</v>
      </c>
      <c r="Q333" s="6">
        <v>1.3129999999999999</v>
      </c>
      <c r="R333" s="6">
        <v>1.762</v>
      </c>
      <c r="AF333" s="60"/>
      <c r="AG333" s="61"/>
      <c r="AJ333" s="60"/>
      <c r="AK333" s="62"/>
      <c r="AL333" s="63"/>
      <c r="AM333" s="63"/>
      <c r="AN333" s="64"/>
      <c r="AO333" s="63"/>
      <c r="AP333" s="60"/>
      <c r="AR333" s="60"/>
      <c r="AS333" s="62"/>
      <c r="AW333" s="60"/>
      <c r="AZ333" s="60"/>
      <c r="BC333" s="60"/>
      <c r="BK333" s="60"/>
      <c r="BL333" s="60"/>
      <c r="BM333" s="60"/>
      <c r="BN333" s="60"/>
      <c r="BO333" s="60"/>
      <c r="BR333" s="60"/>
      <c r="BS333" s="65"/>
      <c r="BU333" s="60"/>
      <c r="CF333" s="66"/>
      <c r="CP333" s="30"/>
    </row>
    <row r="334" spans="1:94" x14ac:dyDescent="0.3">
      <c r="A334" s="13">
        <v>449</v>
      </c>
      <c r="B334" s="6" t="s">
        <v>2</v>
      </c>
      <c r="C334" s="6" t="s">
        <v>1</v>
      </c>
      <c r="D334" s="6" t="s">
        <v>5</v>
      </c>
      <c r="E334" s="6">
        <v>1</v>
      </c>
      <c r="F334" s="6" t="s">
        <v>7</v>
      </c>
      <c r="G334" s="6">
        <v>7.03</v>
      </c>
      <c r="H334" s="6">
        <v>1</v>
      </c>
      <c r="I334" s="6">
        <v>18.440000000000001</v>
      </c>
      <c r="J334" s="6">
        <v>6.4420000000000002</v>
      </c>
      <c r="K334" s="6">
        <v>65.0650759219089</v>
      </c>
      <c r="L334" s="6">
        <v>8.3641536273115236</v>
      </c>
      <c r="M334" s="7">
        <f t="shared" si="40"/>
        <v>8.7347654913566442E-2</v>
      </c>
      <c r="N334" s="6">
        <v>48.1</v>
      </c>
      <c r="O334" s="6">
        <v>0.82599999999999996</v>
      </c>
      <c r="P334" s="6">
        <v>5.1619999999999999</v>
      </c>
      <c r="Q334" s="6">
        <v>1.252</v>
      </c>
      <c r="R334" s="6">
        <v>2.266</v>
      </c>
      <c r="AF334" s="60"/>
      <c r="AG334" s="61"/>
      <c r="AJ334" s="60"/>
      <c r="AK334" s="62"/>
      <c r="AL334" s="63"/>
      <c r="AM334" s="63"/>
      <c r="AN334" s="64"/>
      <c r="AO334" s="63"/>
      <c r="AP334" s="60"/>
      <c r="AR334" s="60"/>
      <c r="AS334" s="62"/>
      <c r="AW334" s="60"/>
      <c r="AZ334" s="60"/>
      <c r="BC334" s="60"/>
      <c r="BK334" s="60"/>
      <c r="BL334" s="60"/>
      <c r="BM334" s="60"/>
      <c r="BN334" s="60"/>
      <c r="BO334" s="60"/>
      <c r="BR334" s="60"/>
      <c r="BS334" s="65"/>
      <c r="BU334" s="60"/>
      <c r="CF334" s="66"/>
      <c r="CP334" s="30"/>
    </row>
    <row r="335" spans="1:94" x14ac:dyDescent="0.3">
      <c r="A335" s="13">
        <v>451</v>
      </c>
      <c r="B335" s="6" t="s">
        <v>2</v>
      </c>
      <c r="C335" s="6" t="s">
        <v>1</v>
      </c>
      <c r="D335" s="6" t="s">
        <v>5</v>
      </c>
      <c r="E335" s="6">
        <v>5</v>
      </c>
      <c r="F335" s="6" t="s">
        <v>7</v>
      </c>
      <c r="G335" s="6">
        <v>7.01</v>
      </c>
      <c r="H335" s="6">
        <v>1</v>
      </c>
      <c r="I335" s="6">
        <v>21.248000000000001</v>
      </c>
      <c r="J335" s="6">
        <v>6.5209999999999999</v>
      </c>
      <c r="K335" s="6">
        <v>69.310052710843379</v>
      </c>
      <c r="L335" s="6">
        <v>6.9757489300998561</v>
      </c>
      <c r="M335" s="7">
        <f t="shared" si="40"/>
        <v>7.2309962635433489E-2</v>
      </c>
      <c r="N335" s="6">
        <v>47.99</v>
      </c>
      <c r="O335" s="6">
        <v>0.871</v>
      </c>
      <c r="P335" s="6">
        <v>5.4459999999999997</v>
      </c>
      <c r="Q335" s="6">
        <v>1.327</v>
      </c>
      <c r="R335" s="6">
        <v>1.9339999999999999</v>
      </c>
      <c r="AF335" s="60"/>
      <c r="AG335" s="61"/>
      <c r="AJ335" s="60"/>
      <c r="AK335" s="62"/>
      <c r="AL335" s="63"/>
      <c r="AM335" s="63"/>
      <c r="AN335" s="64"/>
      <c r="AO335" s="63"/>
      <c r="AP335" s="60"/>
      <c r="AR335" s="60"/>
      <c r="AS335" s="62"/>
      <c r="AW335" s="60"/>
      <c r="AZ335" s="60"/>
      <c r="BC335" s="60"/>
      <c r="BK335" s="60"/>
      <c r="BL335" s="60"/>
      <c r="BM335" s="60"/>
      <c r="BN335" s="60"/>
      <c r="BO335" s="60"/>
      <c r="BR335" s="60"/>
      <c r="BS335" s="65"/>
      <c r="BU335" s="60"/>
      <c r="CF335" s="66"/>
      <c r="CP335" s="30"/>
    </row>
    <row r="336" spans="1:94" x14ac:dyDescent="0.3">
      <c r="A336" s="13">
        <v>461</v>
      </c>
      <c r="B336" s="6" t="s">
        <v>2</v>
      </c>
      <c r="C336" s="6" t="s">
        <v>14</v>
      </c>
      <c r="D336" s="6" t="s">
        <v>5</v>
      </c>
      <c r="E336" s="6">
        <v>1</v>
      </c>
      <c r="F336" s="6" t="s">
        <v>7</v>
      </c>
      <c r="G336" s="6">
        <v>6.95</v>
      </c>
      <c r="H336" s="6">
        <v>1</v>
      </c>
      <c r="I336" s="6">
        <v>21.41</v>
      </c>
      <c r="J336" s="6">
        <v>6.2110000000000003</v>
      </c>
      <c r="K336" s="6">
        <v>70.990191499299399</v>
      </c>
      <c r="L336" s="6">
        <v>10.633093525179854</v>
      </c>
      <c r="M336" s="7">
        <f t="shared" si="40"/>
        <v>0.11241974599953475</v>
      </c>
      <c r="N336" s="6">
        <v>47.39</v>
      </c>
      <c r="O336" s="6">
        <v>0.89100000000000001</v>
      </c>
      <c r="P336" s="6">
        <v>5.5679999999999996</v>
      </c>
      <c r="Q336" s="6">
        <v>0.93400000000000005</v>
      </c>
      <c r="R336" s="6">
        <v>1.6849999999999998</v>
      </c>
      <c r="AF336" s="60"/>
      <c r="AG336" s="61"/>
      <c r="AJ336" s="60"/>
      <c r="AK336" s="62"/>
      <c r="AL336" s="63"/>
      <c r="AM336" s="63"/>
      <c r="AN336" s="64"/>
      <c r="AO336" s="63"/>
      <c r="AP336" s="60"/>
      <c r="AR336" s="60"/>
      <c r="AS336" s="62"/>
      <c r="AW336" s="60"/>
      <c r="AZ336" s="60"/>
      <c r="BC336" s="60"/>
      <c r="BK336" s="60"/>
      <c r="BL336" s="60"/>
      <c r="BM336" s="60"/>
      <c r="BN336" s="60"/>
      <c r="BO336" s="60"/>
      <c r="BR336" s="60"/>
      <c r="BS336" s="65"/>
      <c r="BU336" s="60"/>
      <c r="CF336" s="66"/>
      <c r="CP336" s="30"/>
    </row>
    <row r="337" spans="1:94" x14ac:dyDescent="0.3">
      <c r="A337" s="13">
        <v>465</v>
      </c>
      <c r="B337" s="6" t="s">
        <v>2</v>
      </c>
      <c r="C337" s="6" t="s">
        <v>1</v>
      </c>
      <c r="D337" s="6" t="s">
        <v>5</v>
      </c>
      <c r="E337" s="6">
        <v>4</v>
      </c>
      <c r="F337" s="6" t="s">
        <v>7</v>
      </c>
      <c r="G337" s="6">
        <v>6.96</v>
      </c>
      <c r="H337" s="6">
        <v>1</v>
      </c>
      <c r="I337" s="6">
        <v>21.876000000000001</v>
      </c>
      <c r="J337" s="6">
        <v>6.3330000000000002</v>
      </c>
      <c r="K337" s="6">
        <v>71.050466264399347</v>
      </c>
      <c r="L337" s="6">
        <v>9.008620689655169</v>
      </c>
      <c r="M337" s="7">
        <f t="shared" si="40"/>
        <v>9.4405416812034973E-2</v>
      </c>
      <c r="N337" s="6">
        <v>48.69</v>
      </c>
      <c r="O337" s="6">
        <v>0.84199999999999997</v>
      </c>
      <c r="P337" s="6">
        <v>5.2610000000000001</v>
      </c>
      <c r="Q337" s="6">
        <v>1.2969999999999999</v>
      </c>
      <c r="R337" s="6">
        <v>0.8839999999999999</v>
      </c>
      <c r="AF337" s="60"/>
      <c r="AG337" s="61"/>
      <c r="AJ337" s="60"/>
      <c r="AK337" s="62"/>
      <c r="AL337" s="63"/>
      <c r="AM337" s="63"/>
      <c r="AN337" s="64"/>
      <c r="AO337" s="63"/>
      <c r="AP337" s="60"/>
      <c r="AR337" s="60"/>
      <c r="AS337" s="62"/>
      <c r="AW337" s="60"/>
      <c r="AZ337" s="60"/>
      <c r="BC337" s="60"/>
      <c r="BK337" s="60"/>
      <c r="BL337" s="60"/>
      <c r="BM337" s="60"/>
      <c r="BN337" s="60"/>
      <c r="BO337" s="60"/>
      <c r="BR337" s="60"/>
      <c r="BS337" s="65"/>
      <c r="BU337" s="60"/>
      <c r="CF337" s="66"/>
      <c r="CP337" s="30"/>
    </row>
    <row r="338" spans="1:94" x14ac:dyDescent="0.3">
      <c r="A338" s="13">
        <v>468</v>
      </c>
      <c r="B338" s="6" t="s">
        <v>2</v>
      </c>
      <c r="C338" s="6" t="s">
        <v>14</v>
      </c>
      <c r="D338" s="6" t="s">
        <v>5</v>
      </c>
      <c r="E338" s="6">
        <v>3</v>
      </c>
      <c r="F338" s="6" t="s">
        <v>7</v>
      </c>
      <c r="G338" s="6">
        <v>7.01</v>
      </c>
      <c r="H338" s="6">
        <v>1</v>
      </c>
      <c r="I338" s="6">
        <v>16.457999999999998</v>
      </c>
      <c r="J338" s="6">
        <v>6.3639999999999999</v>
      </c>
      <c r="K338" s="6">
        <v>61.33187507595089</v>
      </c>
      <c r="L338" s="6">
        <v>9.2154065620542074</v>
      </c>
      <c r="M338" s="7">
        <f t="shared" si="40"/>
        <v>9.6680590570958277E-2</v>
      </c>
      <c r="N338" s="6">
        <v>47.23</v>
      </c>
      <c r="O338" s="6">
        <v>0.72299999999999998</v>
      </c>
      <c r="P338" s="6">
        <v>4.5170000000000003</v>
      </c>
      <c r="Q338" s="6">
        <v>1.48</v>
      </c>
      <c r="R338" s="6">
        <v>1.9349999999999998</v>
      </c>
      <c r="AF338" s="60"/>
      <c r="AG338" s="61"/>
      <c r="AJ338" s="60"/>
      <c r="AK338" s="62"/>
      <c r="AL338" s="63"/>
      <c r="AM338" s="63"/>
      <c r="AN338" s="64"/>
      <c r="AO338" s="63"/>
      <c r="AP338" s="60"/>
      <c r="AR338" s="60"/>
      <c r="AS338" s="62"/>
      <c r="AW338" s="60"/>
      <c r="AZ338" s="60"/>
      <c r="BC338" s="60"/>
      <c r="BK338" s="60"/>
      <c r="BL338" s="60"/>
      <c r="BM338" s="60"/>
      <c r="BN338" s="60"/>
      <c r="BO338" s="60"/>
      <c r="BR338" s="60"/>
      <c r="BS338" s="65"/>
      <c r="BU338" s="60"/>
      <c r="CF338" s="66"/>
      <c r="CP338" s="30"/>
    </row>
    <row r="339" spans="1:94" x14ac:dyDescent="0.3">
      <c r="A339" s="13">
        <v>555</v>
      </c>
      <c r="B339" s="6" t="s">
        <v>3</v>
      </c>
      <c r="C339" s="6" t="s">
        <v>1</v>
      </c>
      <c r="D339" s="6" t="s">
        <v>4</v>
      </c>
      <c r="E339" s="6">
        <v>1</v>
      </c>
      <c r="F339" s="6" t="s">
        <v>7</v>
      </c>
      <c r="G339" s="6">
        <v>6.95</v>
      </c>
      <c r="H339" s="6">
        <v>1</v>
      </c>
      <c r="I339" s="6">
        <v>14.757999999999999</v>
      </c>
      <c r="J339" s="6">
        <v>6.05</v>
      </c>
      <c r="K339" s="6">
        <v>40.994714730993358</v>
      </c>
      <c r="L339" s="6">
        <v>12.949640287769789</v>
      </c>
      <c r="M339" s="7">
        <f t="shared" si="40"/>
        <v>0.13868338753395076</v>
      </c>
      <c r="N339" s="6">
        <v>47.78</v>
      </c>
      <c r="O339" s="6">
        <v>0.79900000000000004</v>
      </c>
      <c r="P339" s="6">
        <v>4.9930000000000003</v>
      </c>
      <c r="Q339" s="6">
        <v>3.3340000000000001</v>
      </c>
      <c r="R339" s="6">
        <v>2.2650000000000001</v>
      </c>
      <c r="AF339" s="60"/>
      <c r="AG339" s="61"/>
      <c r="AJ339" s="60"/>
      <c r="AK339" s="62"/>
      <c r="AL339" s="63"/>
      <c r="AM339" s="63"/>
      <c r="AN339" s="64"/>
      <c r="AO339" s="63"/>
      <c r="AP339" s="60"/>
      <c r="AR339" s="60"/>
      <c r="AS339" s="62"/>
      <c r="AW339" s="60"/>
      <c r="AZ339" s="60"/>
      <c r="BC339" s="60"/>
      <c r="BK339" s="60"/>
      <c r="BL339" s="60"/>
      <c r="BM339" s="60"/>
      <c r="BN339" s="60"/>
      <c r="BO339" s="60"/>
      <c r="BR339" s="60"/>
      <c r="BS339" s="65"/>
      <c r="BU339" s="60"/>
      <c r="CF339" s="66"/>
      <c r="CP339" s="30"/>
    </row>
    <row r="340" spans="1:94" x14ac:dyDescent="0.3">
      <c r="A340" s="6">
        <v>558</v>
      </c>
      <c r="B340" s="6" t="s">
        <v>3</v>
      </c>
      <c r="C340" s="6" t="s">
        <v>1</v>
      </c>
      <c r="D340" s="6" t="s">
        <v>5</v>
      </c>
      <c r="E340" s="6">
        <v>4</v>
      </c>
      <c r="F340" s="6" t="s">
        <v>7</v>
      </c>
      <c r="G340" s="6">
        <v>6.94</v>
      </c>
      <c r="H340" s="6">
        <v>1</v>
      </c>
      <c r="I340" s="6">
        <v>27.637</v>
      </c>
      <c r="J340" s="6">
        <v>6.1440000000000001</v>
      </c>
      <c r="K340" s="6">
        <v>22.231067047798241</v>
      </c>
      <c r="L340" s="6">
        <v>11.469740634005767</v>
      </c>
      <c r="M340" s="7">
        <f t="shared" si="40"/>
        <v>0.1218257786733421</v>
      </c>
      <c r="N340" s="6">
        <v>46.92</v>
      </c>
      <c r="O340" s="6">
        <v>0.94599999999999995</v>
      </c>
      <c r="P340" s="6">
        <v>5.9109999999999996</v>
      </c>
      <c r="Q340" s="6">
        <v>2.34</v>
      </c>
      <c r="R340" s="6">
        <v>1.712</v>
      </c>
      <c r="AF340" s="60"/>
      <c r="AG340" s="61"/>
      <c r="AJ340" s="60"/>
      <c r="AK340" s="62"/>
      <c r="AL340" s="63"/>
      <c r="AM340" s="63"/>
      <c r="AN340" s="64"/>
      <c r="AO340" s="63"/>
      <c r="AP340" s="60"/>
      <c r="AR340" s="60"/>
      <c r="AS340" s="62"/>
      <c r="AW340" s="60"/>
      <c r="AZ340" s="60"/>
      <c r="BC340" s="60"/>
      <c r="BK340" s="60"/>
      <c r="BL340" s="60"/>
      <c r="BM340" s="60"/>
      <c r="BN340" s="60"/>
      <c r="BO340" s="60"/>
      <c r="BR340" s="60"/>
      <c r="BS340" s="65"/>
      <c r="BU340" s="60"/>
      <c r="CF340" s="66"/>
      <c r="CP340" s="30"/>
    </row>
    <row r="341" spans="1:94" x14ac:dyDescent="0.3">
      <c r="A341" s="13">
        <v>559</v>
      </c>
      <c r="B341" s="6" t="s">
        <v>3</v>
      </c>
      <c r="C341" s="6" t="s">
        <v>14</v>
      </c>
      <c r="D341" s="6" t="s">
        <v>5</v>
      </c>
      <c r="E341" s="6">
        <v>4</v>
      </c>
      <c r="F341" s="6" t="s">
        <v>7</v>
      </c>
      <c r="G341" s="6">
        <v>7.09</v>
      </c>
      <c r="H341" s="6">
        <v>1</v>
      </c>
      <c r="I341" s="6">
        <v>22.611999999999998</v>
      </c>
      <c r="J341" s="6">
        <v>6.2759999999999998</v>
      </c>
      <c r="K341" s="6">
        <v>27.755174243764376</v>
      </c>
      <c r="L341" s="6">
        <v>11.48095909732017</v>
      </c>
      <c r="M341" s="7">
        <f t="shared" si="40"/>
        <v>0.12195250567325004</v>
      </c>
      <c r="N341" s="6">
        <v>47.11</v>
      </c>
      <c r="O341" s="6">
        <v>1.0269999999999999</v>
      </c>
      <c r="P341" s="6">
        <v>6.4210000000000003</v>
      </c>
      <c r="Q341" s="6">
        <v>2.5150000000000001</v>
      </c>
      <c r="R341" s="6">
        <v>2.4990000000000001</v>
      </c>
      <c r="AF341" s="60"/>
      <c r="AG341" s="61"/>
      <c r="AJ341" s="60"/>
      <c r="AK341" s="62"/>
      <c r="AL341" s="63"/>
      <c r="AM341" s="63"/>
      <c r="AN341" s="64"/>
      <c r="AO341" s="63"/>
      <c r="AP341" s="60"/>
      <c r="AR341" s="60"/>
      <c r="AS341" s="62"/>
      <c r="AW341" s="60"/>
      <c r="AZ341" s="60"/>
      <c r="BC341" s="60"/>
      <c r="BK341" s="60"/>
      <c r="BL341" s="60"/>
      <c r="BM341" s="60"/>
      <c r="BN341" s="60"/>
      <c r="BO341" s="60"/>
      <c r="BR341" s="60"/>
      <c r="BS341" s="65"/>
      <c r="BU341" s="60"/>
      <c r="CF341" s="66"/>
      <c r="CP341" s="30"/>
    </row>
    <row r="342" spans="1:94" x14ac:dyDescent="0.3">
      <c r="A342" s="13">
        <v>567</v>
      </c>
      <c r="B342" s="6" t="s">
        <v>3</v>
      </c>
      <c r="C342" s="6" t="s">
        <v>1</v>
      </c>
      <c r="D342" s="6" t="s">
        <v>4</v>
      </c>
      <c r="E342" s="6">
        <v>2</v>
      </c>
      <c r="F342" s="6" t="s">
        <v>7</v>
      </c>
      <c r="G342" s="6">
        <v>7.02</v>
      </c>
      <c r="H342" s="6">
        <v>1</v>
      </c>
      <c r="I342" s="6">
        <v>23.297999999999998</v>
      </c>
      <c r="J342" s="6">
        <v>6.1</v>
      </c>
      <c r="K342" s="6">
        <v>26.182504936046016</v>
      </c>
      <c r="L342" s="6">
        <v>13.105413105413104</v>
      </c>
      <c r="M342" s="7">
        <f t="shared" si="40"/>
        <v>0.14047444685845425</v>
      </c>
      <c r="N342" s="6">
        <v>47.88</v>
      </c>
      <c r="O342" s="6">
        <v>0.875</v>
      </c>
      <c r="P342" s="6">
        <v>5.4720000000000004</v>
      </c>
      <c r="Q342" s="6">
        <v>1.9510000000000001</v>
      </c>
      <c r="R342" s="6">
        <v>1.7869999999999999</v>
      </c>
      <c r="AF342" s="60"/>
      <c r="AG342" s="61"/>
      <c r="AJ342" s="60"/>
      <c r="AK342" s="62"/>
      <c r="AL342" s="63"/>
      <c r="AM342" s="63"/>
      <c r="AN342" s="64"/>
      <c r="AO342" s="63"/>
      <c r="AP342" s="60"/>
      <c r="AR342" s="60"/>
      <c r="AS342" s="62"/>
      <c r="AW342" s="60"/>
      <c r="AZ342" s="60"/>
      <c r="BC342" s="60"/>
      <c r="BK342" s="60"/>
      <c r="BL342" s="60"/>
      <c r="BM342" s="60"/>
      <c r="BN342" s="60"/>
      <c r="BO342" s="60"/>
      <c r="BR342" s="60"/>
      <c r="BS342" s="65"/>
      <c r="BU342" s="60"/>
      <c r="CF342" s="66"/>
      <c r="CP342" s="30"/>
    </row>
    <row r="343" spans="1:94" x14ac:dyDescent="0.3">
      <c r="A343" s="13">
        <v>575</v>
      </c>
      <c r="B343" s="6" t="s">
        <v>3</v>
      </c>
      <c r="C343" s="6" t="s">
        <v>1</v>
      </c>
      <c r="D343" s="6" t="s">
        <v>5</v>
      </c>
      <c r="E343" s="6">
        <v>3</v>
      </c>
      <c r="F343" s="6" t="s">
        <v>7</v>
      </c>
      <c r="G343" s="6">
        <v>7.03</v>
      </c>
      <c r="H343" s="6">
        <v>1</v>
      </c>
      <c r="I343" s="6">
        <v>21.145</v>
      </c>
      <c r="J343" s="6">
        <v>6.109</v>
      </c>
      <c r="K343" s="6">
        <v>28.890990777961694</v>
      </c>
      <c r="L343" s="6">
        <v>13.100995732574683</v>
      </c>
      <c r="M343" s="7">
        <f t="shared" si="40"/>
        <v>0.14042361215494367</v>
      </c>
      <c r="N343" s="6">
        <v>47.12</v>
      </c>
      <c r="O343" s="6">
        <v>1.0029999999999999</v>
      </c>
      <c r="P343" s="6">
        <v>6.2679999999999998</v>
      </c>
      <c r="Q343" s="6">
        <v>2.6139999999999999</v>
      </c>
      <c r="R343" s="6">
        <v>1.8370000000000002</v>
      </c>
      <c r="AF343" s="60"/>
      <c r="AG343" s="61"/>
      <c r="AJ343" s="60"/>
      <c r="AK343" s="62"/>
      <c r="AL343" s="63"/>
      <c r="AM343" s="63"/>
      <c r="AN343" s="64"/>
      <c r="AO343" s="63"/>
      <c r="AP343" s="60"/>
      <c r="AR343" s="60"/>
      <c r="AS343" s="62"/>
      <c r="AW343" s="60"/>
      <c r="AZ343" s="60"/>
      <c r="BC343" s="60"/>
      <c r="BK343" s="60"/>
      <c r="BL343" s="60"/>
      <c r="BM343" s="60"/>
      <c r="BN343" s="60"/>
      <c r="BO343" s="60"/>
      <c r="BR343" s="60"/>
      <c r="BS343" s="65"/>
      <c r="BU343" s="60"/>
      <c r="CF343" s="66"/>
      <c r="CP343" s="30"/>
    </row>
    <row r="344" spans="1:94" x14ac:dyDescent="0.3">
      <c r="A344" s="13">
        <v>577</v>
      </c>
      <c r="B344" s="6" t="s">
        <v>3</v>
      </c>
      <c r="C344" s="6" t="s">
        <v>14</v>
      </c>
      <c r="D344" s="6" t="s">
        <v>4</v>
      </c>
      <c r="E344" s="6">
        <v>1</v>
      </c>
      <c r="F344" s="6" t="s">
        <v>7</v>
      </c>
      <c r="G344" s="6">
        <v>7.08</v>
      </c>
      <c r="H344" s="6">
        <v>1</v>
      </c>
      <c r="I344" s="6">
        <v>20.315999999999999</v>
      </c>
      <c r="J344" s="6">
        <v>6.1120000000000001</v>
      </c>
      <c r="K344" s="6">
        <v>30.084662335105339</v>
      </c>
      <c r="L344" s="6">
        <v>13.672316384180791</v>
      </c>
      <c r="M344" s="7">
        <f t="shared" si="40"/>
        <v>0.14701985584140906</v>
      </c>
      <c r="N344" s="6">
        <v>48.89</v>
      </c>
      <c r="O344" s="6">
        <v>0.93600000000000005</v>
      </c>
      <c r="P344" s="6">
        <v>5.8470000000000004</v>
      </c>
      <c r="Q344" s="6">
        <v>3.3149999999999999</v>
      </c>
      <c r="R344" s="6">
        <v>2.4609999999999999</v>
      </c>
      <c r="AF344" s="60"/>
      <c r="AG344" s="61"/>
      <c r="AJ344" s="60"/>
      <c r="AK344" s="62"/>
      <c r="AL344" s="63"/>
      <c r="AM344" s="63"/>
      <c r="AN344" s="64"/>
      <c r="AO344" s="63"/>
      <c r="AP344" s="60"/>
      <c r="AR344" s="60"/>
      <c r="AS344" s="62"/>
      <c r="AW344" s="60"/>
      <c r="AZ344" s="60"/>
      <c r="BC344" s="60"/>
      <c r="BK344" s="60"/>
      <c r="BL344" s="60"/>
      <c r="BM344" s="60"/>
      <c r="BN344" s="60"/>
      <c r="BO344" s="60"/>
      <c r="BR344" s="60"/>
      <c r="BS344" s="65"/>
      <c r="BU344" s="60"/>
      <c r="CF344" s="66"/>
      <c r="CP344" s="30"/>
    </row>
    <row r="345" spans="1:94" x14ac:dyDescent="0.3">
      <c r="A345" s="13">
        <v>579</v>
      </c>
      <c r="B345" s="6" t="s">
        <v>3</v>
      </c>
      <c r="C345" s="6" t="s">
        <v>1</v>
      </c>
      <c r="D345" s="6" t="s">
        <v>4</v>
      </c>
      <c r="E345" s="6">
        <v>5</v>
      </c>
      <c r="F345" s="6" t="s">
        <v>7</v>
      </c>
      <c r="G345" s="6">
        <v>7.03</v>
      </c>
      <c r="H345" s="6">
        <v>1</v>
      </c>
      <c r="I345" s="6">
        <v>21.105</v>
      </c>
      <c r="J345" s="6">
        <v>6.2119999999999997</v>
      </c>
      <c r="K345" s="6">
        <v>29.433783463634207</v>
      </c>
      <c r="L345" s="6">
        <v>11.635846372688485</v>
      </c>
      <c r="M345" s="7">
        <f t="shared" si="40"/>
        <v>0.12370380053613299</v>
      </c>
      <c r="N345" s="6">
        <v>48</v>
      </c>
      <c r="O345" s="6">
        <v>0.94199999999999995</v>
      </c>
      <c r="P345" s="6">
        <v>5.8879999999999999</v>
      </c>
      <c r="Q345" s="6">
        <v>2.3769999999999998</v>
      </c>
      <c r="R345" s="6">
        <v>2.2839999999999998</v>
      </c>
      <c r="AF345" s="60"/>
      <c r="AG345" s="61"/>
      <c r="AJ345" s="60"/>
      <c r="AK345" s="62"/>
      <c r="AL345" s="63"/>
      <c r="AM345" s="63"/>
      <c r="AN345" s="64"/>
      <c r="AO345" s="63"/>
      <c r="AP345" s="60"/>
      <c r="AR345" s="60"/>
      <c r="AS345" s="62"/>
      <c r="AW345" s="60"/>
      <c r="AZ345" s="60"/>
      <c r="BC345" s="60"/>
      <c r="BK345" s="60"/>
      <c r="BL345" s="60"/>
      <c r="BM345" s="60"/>
      <c r="BN345" s="60"/>
      <c r="BO345" s="60"/>
      <c r="BR345" s="60"/>
      <c r="BS345" s="65"/>
      <c r="BU345" s="60"/>
      <c r="CF345" s="66"/>
      <c r="CP345" s="30"/>
    </row>
    <row r="346" spans="1:94" x14ac:dyDescent="0.3">
      <c r="A346" s="13">
        <v>590</v>
      </c>
      <c r="B346" s="6" t="s">
        <v>3</v>
      </c>
      <c r="C346" s="6" t="s">
        <v>14</v>
      </c>
      <c r="D346" s="6" t="s">
        <v>4</v>
      </c>
      <c r="E346" s="6">
        <v>2</v>
      </c>
      <c r="F346" s="6" t="s">
        <v>7</v>
      </c>
      <c r="G346" s="6">
        <v>7.02</v>
      </c>
      <c r="H346" s="6">
        <v>1</v>
      </c>
      <c r="I346" s="6">
        <v>19.54</v>
      </c>
      <c r="J346" s="6">
        <v>6.3220000000000001</v>
      </c>
      <c r="K346" s="6">
        <v>32.354145342886383</v>
      </c>
      <c r="L346" s="6">
        <v>9.9430199430199373</v>
      </c>
      <c r="M346" s="7">
        <f t="shared" si="40"/>
        <v>0.1047276042442937</v>
      </c>
      <c r="N346" s="6">
        <v>48.19</v>
      </c>
      <c r="O346" s="6">
        <v>1.054</v>
      </c>
      <c r="P346" s="6">
        <v>6.5890000000000004</v>
      </c>
      <c r="Q346" s="6">
        <v>2.6949999999999998</v>
      </c>
      <c r="R346" s="6">
        <v>2.0550000000000002</v>
      </c>
      <c r="AF346" s="60"/>
      <c r="AG346" s="61"/>
      <c r="AJ346" s="60"/>
      <c r="AK346" s="62"/>
      <c r="AL346" s="63"/>
      <c r="AM346" s="63"/>
      <c r="AN346" s="64"/>
      <c r="AO346" s="63"/>
      <c r="AP346" s="60"/>
      <c r="AR346" s="60"/>
      <c r="AS346" s="62"/>
      <c r="AW346" s="60"/>
      <c r="AZ346" s="60"/>
      <c r="BC346" s="60"/>
      <c r="BK346" s="60"/>
      <c r="BL346" s="60"/>
      <c r="BM346" s="60"/>
      <c r="BN346" s="60"/>
      <c r="BO346" s="60"/>
      <c r="BR346" s="60"/>
      <c r="BS346" s="65"/>
      <c r="BU346" s="60"/>
      <c r="CF346" s="66"/>
      <c r="CP346" s="30"/>
    </row>
    <row r="347" spans="1:94" x14ac:dyDescent="0.3">
      <c r="A347" s="13">
        <v>595</v>
      </c>
      <c r="B347" s="6" t="s">
        <v>3</v>
      </c>
      <c r="C347" s="6" t="s">
        <v>14</v>
      </c>
      <c r="D347" s="6" t="s">
        <v>4</v>
      </c>
      <c r="E347" s="6">
        <v>3</v>
      </c>
      <c r="F347" s="6" t="s">
        <v>7</v>
      </c>
      <c r="G347" s="6">
        <v>6.95</v>
      </c>
      <c r="H347" s="6">
        <v>1</v>
      </c>
      <c r="I347" s="6">
        <v>23.844999999999999</v>
      </c>
      <c r="J347" s="6">
        <v>5.843</v>
      </c>
      <c r="K347" s="6">
        <v>24.504088907527784</v>
      </c>
      <c r="L347" s="6">
        <v>15.928057553956837</v>
      </c>
      <c r="M347" s="7">
        <f t="shared" si="40"/>
        <v>0.17349729600440089</v>
      </c>
      <c r="N347" s="6">
        <v>48.65</v>
      </c>
      <c r="O347" s="6">
        <v>1.006</v>
      </c>
      <c r="P347" s="6">
        <v>6.2889999999999997</v>
      </c>
      <c r="Q347" s="6">
        <v>2.3639999999999999</v>
      </c>
      <c r="R347" s="6">
        <v>2.403</v>
      </c>
      <c r="AF347" s="60"/>
      <c r="AG347" s="61"/>
      <c r="AJ347" s="60"/>
      <c r="AK347" s="62"/>
      <c r="AL347" s="63"/>
      <c r="AM347" s="63"/>
      <c r="AN347" s="64"/>
      <c r="AO347" s="63"/>
      <c r="AP347" s="60"/>
      <c r="AR347" s="60"/>
      <c r="AS347" s="62"/>
      <c r="AW347" s="60"/>
      <c r="AZ347" s="60"/>
      <c r="BC347" s="60"/>
      <c r="BK347" s="60"/>
      <c r="BL347" s="60"/>
      <c r="BM347" s="60"/>
      <c r="BN347" s="60"/>
      <c r="BO347" s="60"/>
      <c r="BR347" s="60"/>
      <c r="BS347" s="65"/>
      <c r="BU347" s="60"/>
      <c r="CF347" s="66"/>
      <c r="CP347" s="30"/>
    </row>
    <row r="348" spans="1:94" x14ac:dyDescent="0.3">
      <c r="A348" s="13">
        <v>596</v>
      </c>
      <c r="B348" s="6" t="s">
        <v>3</v>
      </c>
      <c r="C348" s="6" t="s">
        <v>14</v>
      </c>
      <c r="D348" s="6" t="s">
        <v>4</v>
      </c>
      <c r="E348" s="6">
        <v>2</v>
      </c>
      <c r="F348" s="6" t="s">
        <v>7</v>
      </c>
      <c r="G348" s="6">
        <v>6.93</v>
      </c>
      <c r="H348" s="6">
        <v>1</v>
      </c>
      <c r="I348" s="6">
        <v>21.634</v>
      </c>
      <c r="J348" s="6">
        <v>6.2850000000000001</v>
      </c>
      <c r="K348" s="6">
        <v>29.051493020245911</v>
      </c>
      <c r="L348" s="6">
        <v>9.3073593073593024</v>
      </c>
      <c r="M348" s="7">
        <f t="shared" si="40"/>
        <v>9.7693971159601004E-2</v>
      </c>
      <c r="N348" s="6">
        <v>47.58</v>
      </c>
      <c r="O348" s="6">
        <v>1.0629999999999999</v>
      </c>
      <c r="P348" s="6">
        <v>6.641</v>
      </c>
      <c r="Q348" s="6">
        <v>0.96099999999999997</v>
      </c>
      <c r="R348" s="6">
        <v>0.84800000000000009</v>
      </c>
      <c r="AF348" s="60"/>
      <c r="AG348" s="61"/>
      <c r="AJ348" s="60"/>
      <c r="AK348" s="62"/>
      <c r="AL348" s="63"/>
      <c r="AM348" s="63"/>
      <c r="AN348" s="64"/>
      <c r="AO348" s="63"/>
      <c r="AP348" s="60"/>
      <c r="AR348" s="60"/>
      <c r="AS348" s="62"/>
      <c r="AW348" s="60"/>
      <c r="AZ348" s="60"/>
      <c r="BC348" s="60"/>
      <c r="BK348" s="60"/>
      <c r="BL348" s="60"/>
      <c r="BM348" s="60"/>
      <c r="BN348" s="60"/>
      <c r="BO348" s="60"/>
      <c r="BR348" s="60"/>
      <c r="BS348" s="65"/>
      <c r="BU348" s="60"/>
      <c r="CF348" s="66"/>
      <c r="CP348" s="30"/>
    </row>
    <row r="349" spans="1:94" x14ac:dyDescent="0.3">
      <c r="A349" s="13">
        <v>661</v>
      </c>
      <c r="B349" s="6" t="s">
        <v>3</v>
      </c>
      <c r="C349" s="6" t="s">
        <v>14</v>
      </c>
      <c r="D349" s="6" t="s">
        <v>5</v>
      </c>
      <c r="E349" s="6">
        <v>3</v>
      </c>
      <c r="F349" s="6" t="s">
        <v>7</v>
      </c>
      <c r="G349" s="6">
        <v>7.04</v>
      </c>
      <c r="H349" s="6">
        <v>1</v>
      </c>
      <c r="I349" s="6">
        <v>18.713000000000001</v>
      </c>
      <c r="J349" s="6">
        <v>6.2240000000000002</v>
      </c>
      <c r="K349" s="6">
        <v>33.260300325976594</v>
      </c>
      <c r="L349" s="6">
        <v>11.59090909090909</v>
      </c>
      <c r="M349" s="7">
        <f t="shared" si="40"/>
        <v>0.12319538329386048</v>
      </c>
      <c r="N349" s="6">
        <v>47.69</v>
      </c>
      <c r="O349" s="6">
        <v>0.78200000000000003</v>
      </c>
      <c r="P349" s="6">
        <v>4.8849999999999998</v>
      </c>
      <c r="Q349" s="6">
        <v>1.214</v>
      </c>
      <c r="R349" s="6">
        <v>1.8929999999999998</v>
      </c>
      <c r="AF349" s="60"/>
      <c r="AG349" s="61"/>
      <c r="AJ349" s="60"/>
      <c r="AK349" s="62"/>
      <c r="AL349" s="63"/>
      <c r="AM349" s="63"/>
      <c r="AN349" s="64"/>
      <c r="AO349" s="63"/>
      <c r="AP349" s="60"/>
      <c r="AR349" s="60"/>
      <c r="AS349" s="62"/>
      <c r="AW349" s="60"/>
      <c r="AZ349" s="60"/>
      <c r="BC349" s="60"/>
      <c r="BK349" s="60"/>
      <c r="BL349" s="60"/>
      <c r="BM349" s="60"/>
      <c r="BN349" s="60"/>
      <c r="BO349" s="60"/>
      <c r="BR349" s="60"/>
      <c r="BS349" s="65"/>
      <c r="BU349" s="60"/>
      <c r="CF349" s="66"/>
      <c r="CP349" s="30"/>
    </row>
    <row r="350" spans="1:94" x14ac:dyDescent="0.3">
      <c r="A350" s="13">
        <v>663</v>
      </c>
      <c r="B350" s="6" t="s">
        <v>3</v>
      </c>
      <c r="C350" s="6" t="s">
        <v>1</v>
      </c>
      <c r="D350" s="6" t="s">
        <v>5</v>
      </c>
      <c r="E350" s="6">
        <v>1</v>
      </c>
      <c r="F350" s="6" t="s">
        <v>7</v>
      </c>
      <c r="G350" s="6">
        <v>7.03</v>
      </c>
      <c r="H350" s="6">
        <v>1</v>
      </c>
      <c r="I350" s="6">
        <v>16.286000000000001</v>
      </c>
      <c r="J350" s="6">
        <v>6.2290000000000001</v>
      </c>
      <c r="K350" s="6">
        <v>38.247574603954313</v>
      </c>
      <c r="L350" s="6">
        <v>11.394025604551922</v>
      </c>
      <c r="M350" s="7">
        <f t="shared" si="40"/>
        <v>0.12097089955056514</v>
      </c>
      <c r="N350" s="6">
        <v>48</v>
      </c>
      <c r="O350" s="6">
        <v>0.83499999999999996</v>
      </c>
      <c r="P350" s="6">
        <v>5.2190000000000003</v>
      </c>
      <c r="Q350" s="6">
        <v>1.1579999999999999</v>
      </c>
      <c r="R350" s="6">
        <v>1.1890000000000001</v>
      </c>
      <c r="AF350" s="60"/>
      <c r="AG350" s="61"/>
      <c r="AJ350" s="60"/>
      <c r="AK350" s="62"/>
      <c r="AL350" s="63"/>
      <c r="AM350" s="63"/>
      <c r="AN350" s="64"/>
      <c r="AO350" s="63"/>
      <c r="AP350" s="60"/>
      <c r="AR350" s="60"/>
      <c r="AS350" s="62"/>
      <c r="AW350" s="60"/>
      <c r="AZ350" s="60"/>
      <c r="BC350" s="60"/>
      <c r="BK350" s="60"/>
      <c r="BL350" s="60"/>
      <c r="BM350" s="60"/>
      <c r="BN350" s="60"/>
      <c r="BO350" s="60"/>
      <c r="BR350" s="60"/>
      <c r="BS350" s="65"/>
      <c r="BU350" s="60"/>
      <c r="CF350" s="66"/>
      <c r="CP350" s="30"/>
    </row>
    <row r="351" spans="1:94" x14ac:dyDescent="0.3">
      <c r="A351" s="13">
        <v>669</v>
      </c>
      <c r="B351" s="6" t="s">
        <v>3</v>
      </c>
      <c r="C351" s="6" t="s">
        <v>14</v>
      </c>
      <c r="D351" s="6" t="s">
        <v>5</v>
      </c>
      <c r="E351" s="6">
        <v>1</v>
      </c>
      <c r="F351" s="6" t="s">
        <v>7</v>
      </c>
      <c r="G351" s="6">
        <v>7.03</v>
      </c>
      <c r="H351" s="6">
        <v>1</v>
      </c>
      <c r="I351" s="6">
        <v>15.332000000000001</v>
      </c>
      <c r="J351" s="6">
        <v>6.1079999999999997</v>
      </c>
      <c r="K351" s="6">
        <v>39.838246804069918</v>
      </c>
      <c r="L351" s="6">
        <v>13.115220483641544</v>
      </c>
      <c r="M351" s="7">
        <f t="shared" si="40"/>
        <v>0.14058731846618761</v>
      </c>
      <c r="N351" s="6">
        <v>48.06</v>
      </c>
      <c r="O351" s="6">
        <v>0.85099999999999998</v>
      </c>
      <c r="P351" s="6">
        <v>5.3170000000000002</v>
      </c>
      <c r="Q351" s="6">
        <v>1.5629999999999999</v>
      </c>
      <c r="R351" s="6">
        <v>1.9409999999999998</v>
      </c>
      <c r="AF351" s="60"/>
      <c r="AG351" s="61"/>
      <c r="AJ351" s="60"/>
      <c r="AK351" s="62"/>
      <c r="AL351" s="63"/>
      <c r="AM351" s="63"/>
      <c r="AN351" s="64"/>
      <c r="AO351" s="63"/>
      <c r="AP351" s="60"/>
      <c r="AR351" s="60"/>
      <c r="AS351" s="62"/>
      <c r="AW351" s="60"/>
      <c r="AZ351" s="60"/>
      <c r="BC351" s="60"/>
      <c r="BK351" s="60"/>
      <c r="BL351" s="60"/>
      <c r="BM351" s="60"/>
      <c r="BN351" s="60"/>
      <c r="BO351" s="60"/>
      <c r="BR351" s="60"/>
      <c r="BS351" s="65"/>
      <c r="BU351" s="60"/>
      <c r="CF351" s="66"/>
      <c r="CP351" s="30"/>
    </row>
    <row r="352" spans="1:94" x14ac:dyDescent="0.3">
      <c r="A352" s="13">
        <v>678</v>
      </c>
      <c r="B352" s="6" t="s">
        <v>3</v>
      </c>
      <c r="C352" s="6" t="s">
        <v>1</v>
      </c>
      <c r="D352" s="6" t="s">
        <v>4</v>
      </c>
      <c r="E352" s="6">
        <v>4</v>
      </c>
      <c r="F352" s="6" t="s">
        <v>7</v>
      </c>
      <c r="G352" s="6">
        <v>7.02</v>
      </c>
      <c r="H352" s="6">
        <v>1</v>
      </c>
      <c r="I352" s="6">
        <v>18.283000000000001</v>
      </c>
      <c r="J352" s="6">
        <v>6.0380000000000003</v>
      </c>
      <c r="K352" s="6">
        <v>33.025214680304103</v>
      </c>
      <c r="L352" s="6">
        <v>13.988603988603979</v>
      </c>
      <c r="M352" s="7">
        <f t="shared" si="40"/>
        <v>0.15069038675307256</v>
      </c>
      <c r="N352" s="6">
        <v>48.29</v>
      </c>
      <c r="O352" s="6">
        <v>0.78300000000000003</v>
      </c>
      <c r="P352" s="6">
        <v>4.8920000000000003</v>
      </c>
      <c r="Q352" s="6">
        <v>1.609</v>
      </c>
      <c r="R352" s="6">
        <v>1.9849999999999999</v>
      </c>
      <c r="AF352" s="60"/>
      <c r="AG352" s="61"/>
      <c r="AJ352" s="60"/>
      <c r="AK352" s="62"/>
      <c r="AL352" s="63"/>
      <c r="AM352" s="63"/>
      <c r="AN352" s="64"/>
      <c r="AO352" s="63"/>
      <c r="AP352" s="60"/>
      <c r="AR352" s="60"/>
      <c r="AS352" s="62"/>
      <c r="AW352" s="60"/>
      <c r="AZ352" s="60"/>
      <c r="BC352" s="60"/>
      <c r="BK352" s="60"/>
      <c r="BL352" s="60"/>
      <c r="BM352" s="60"/>
      <c r="BN352" s="60"/>
      <c r="BO352" s="60"/>
      <c r="BR352" s="60"/>
      <c r="BS352" s="65"/>
      <c r="BU352" s="60"/>
      <c r="CF352" s="66"/>
      <c r="CP352" s="30"/>
    </row>
    <row r="353" spans="1:94" x14ac:dyDescent="0.3">
      <c r="A353" s="13">
        <v>684</v>
      </c>
      <c r="B353" s="6" t="s">
        <v>3</v>
      </c>
      <c r="C353" s="6" t="s">
        <v>14</v>
      </c>
      <c r="D353" s="6" t="s">
        <v>4</v>
      </c>
      <c r="E353" s="6">
        <v>4</v>
      </c>
      <c r="F353" s="6" t="s">
        <v>7</v>
      </c>
      <c r="G353" s="6">
        <v>6.94</v>
      </c>
      <c r="H353" s="6">
        <v>1</v>
      </c>
      <c r="I353" s="6">
        <v>23.100999999999999</v>
      </c>
      <c r="J353" s="6">
        <v>6.0410000000000004</v>
      </c>
      <c r="K353" s="6">
        <v>26.15038310029869</v>
      </c>
      <c r="L353" s="6">
        <v>12.953890489913544</v>
      </c>
      <c r="M353" s="7">
        <f t="shared" si="40"/>
        <v>0.13873221336210892</v>
      </c>
      <c r="N353" s="6">
        <v>48.67</v>
      </c>
      <c r="O353" s="6">
        <v>0.84799999999999998</v>
      </c>
      <c r="P353" s="6">
        <v>5.2969999999999997</v>
      </c>
      <c r="Q353" s="6">
        <v>2.15</v>
      </c>
      <c r="R353" s="6">
        <v>1.9729999999999999</v>
      </c>
      <c r="AF353" s="60"/>
      <c r="AG353" s="61"/>
      <c r="AJ353" s="60"/>
      <c r="AK353" s="62"/>
      <c r="AL353" s="63"/>
      <c r="AM353" s="63"/>
      <c r="AN353" s="64"/>
      <c r="AO353" s="63"/>
      <c r="AP353" s="60"/>
      <c r="AR353" s="60"/>
      <c r="AS353" s="62"/>
      <c r="AW353" s="60"/>
      <c r="AZ353" s="60"/>
      <c r="BC353" s="60"/>
      <c r="BK353" s="60"/>
      <c r="BL353" s="60"/>
      <c r="BM353" s="60"/>
      <c r="BN353" s="60"/>
      <c r="BO353" s="60"/>
      <c r="BR353" s="60"/>
      <c r="BS353" s="65"/>
      <c r="BU353" s="60"/>
      <c r="CF353" s="66"/>
      <c r="CP353" s="30"/>
    </row>
    <row r="354" spans="1:94" x14ac:dyDescent="0.3">
      <c r="A354" s="13">
        <v>690</v>
      </c>
      <c r="B354" s="6" t="s">
        <v>3</v>
      </c>
      <c r="C354" s="6" t="s">
        <v>1</v>
      </c>
      <c r="D354" s="6" t="s">
        <v>5</v>
      </c>
      <c r="E354" s="6">
        <v>2</v>
      </c>
      <c r="F354" s="6" t="s">
        <v>7</v>
      </c>
      <c r="G354" s="6">
        <v>7.04</v>
      </c>
      <c r="H354" s="6">
        <v>1</v>
      </c>
      <c r="I354" s="6">
        <v>18.225000000000001</v>
      </c>
      <c r="J354" s="6">
        <v>6.4539999999999997</v>
      </c>
      <c r="K354" s="6">
        <v>35.412894375857334</v>
      </c>
      <c r="L354" s="6">
        <v>8.3238636363636402</v>
      </c>
      <c r="M354" s="7">
        <f t="shared" si="40"/>
        <v>8.690807654018097E-2</v>
      </c>
      <c r="N354" s="6">
        <v>47.45</v>
      </c>
      <c r="O354" s="6">
        <v>0.79300000000000004</v>
      </c>
      <c r="P354" s="6">
        <v>4.9580000000000002</v>
      </c>
      <c r="Q354" s="6">
        <v>1.258</v>
      </c>
      <c r="R354" s="6">
        <v>2.0060000000000002</v>
      </c>
      <c r="AF354" s="60"/>
      <c r="AG354" s="61"/>
      <c r="AJ354" s="60"/>
      <c r="AK354" s="62"/>
      <c r="AL354" s="63"/>
      <c r="AM354" s="63"/>
      <c r="AN354" s="64"/>
      <c r="AO354" s="63"/>
      <c r="AP354" s="60"/>
      <c r="AR354" s="60"/>
      <c r="AS354" s="62"/>
      <c r="AW354" s="60"/>
      <c r="AZ354" s="60"/>
      <c r="BC354" s="60"/>
      <c r="BK354" s="60"/>
      <c r="BL354" s="60"/>
      <c r="BM354" s="60"/>
      <c r="BN354" s="60"/>
      <c r="BO354" s="60"/>
      <c r="BR354" s="60"/>
      <c r="BS354" s="65"/>
      <c r="BU354" s="60"/>
      <c r="CF354" s="66"/>
      <c r="CP354" s="30"/>
    </row>
    <row r="355" spans="1:94" x14ac:dyDescent="0.3">
      <c r="A355" s="13">
        <v>693</v>
      </c>
      <c r="B355" s="6" t="s">
        <v>3</v>
      </c>
      <c r="C355" s="6" t="s">
        <v>14</v>
      </c>
      <c r="D355" s="6" t="s">
        <v>5</v>
      </c>
      <c r="E355" s="6">
        <v>2</v>
      </c>
      <c r="F355" s="6" t="s">
        <v>7</v>
      </c>
      <c r="G355" s="6">
        <v>6.94</v>
      </c>
      <c r="H355" s="6">
        <v>1</v>
      </c>
      <c r="I355" s="6">
        <v>17.565999999999999</v>
      </c>
      <c r="J355" s="6">
        <v>6.2850000000000001</v>
      </c>
      <c r="K355" s="6">
        <v>35.779346464761474</v>
      </c>
      <c r="L355" s="6">
        <v>9.438040345821328</v>
      </c>
      <c r="M355" s="7">
        <f t="shared" si="40"/>
        <v>9.9135932476502445E-2</v>
      </c>
      <c r="N355" s="6">
        <v>48.33</v>
      </c>
      <c r="O355" s="6">
        <v>0.77200000000000002</v>
      </c>
      <c r="P355" s="6">
        <v>4.8239999999999998</v>
      </c>
      <c r="Q355" s="6">
        <v>1.2270000000000001</v>
      </c>
      <c r="R355" s="6">
        <v>1.7730000000000001</v>
      </c>
      <c r="AF355" s="60"/>
      <c r="AG355" s="61"/>
      <c r="AJ355" s="60"/>
      <c r="AK355" s="62"/>
      <c r="AL355" s="63"/>
      <c r="AM355" s="63"/>
      <c r="AN355" s="64"/>
      <c r="AO355" s="63"/>
      <c r="AP355" s="60"/>
      <c r="AR355" s="60"/>
      <c r="AS355" s="62"/>
      <c r="AW355" s="60"/>
      <c r="AZ355" s="60"/>
      <c r="BC355" s="60"/>
      <c r="BK355" s="60"/>
      <c r="BL355" s="60"/>
      <c r="BM355" s="60"/>
      <c r="BN355" s="60"/>
      <c r="BO355" s="60"/>
      <c r="BR355" s="60"/>
      <c r="BS355" s="65"/>
      <c r="BU355" s="60"/>
      <c r="CF355" s="66"/>
      <c r="CP355" s="30"/>
    </row>
    <row r="356" spans="1:94" x14ac:dyDescent="0.3">
      <c r="A356" s="13">
        <v>711</v>
      </c>
      <c r="B356" s="6" t="s">
        <v>3</v>
      </c>
      <c r="C356" s="6" t="s">
        <v>14</v>
      </c>
      <c r="D356" s="6" t="s">
        <v>5</v>
      </c>
      <c r="E356" s="6">
        <v>5</v>
      </c>
      <c r="F356" s="6" t="s">
        <v>7</v>
      </c>
      <c r="G356" s="6">
        <v>7.06</v>
      </c>
      <c r="H356" s="6">
        <v>1</v>
      </c>
      <c r="I356" s="6">
        <v>24.475000000000001</v>
      </c>
      <c r="J356" s="6">
        <v>6.2240000000000002</v>
      </c>
      <c r="K356" s="6">
        <v>25.430030643513788</v>
      </c>
      <c r="L356" s="6">
        <v>11.841359773371098</v>
      </c>
      <c r="M356" s="7">
        <f t="shared" si="40"/>
        <v>0.12603226462906014</v>
      </c>
      <c r="N356" s="6">
        <v>47.17</v>
      </c>
      <c r="O356" s="6">
        <v>1.004</v>
      </c>
      <c r="P356" s="6">
        <v>6.2750000000000004</v>
      </c>
      <c r="Q356" s="6">
        <v>1.484</v>
      </c>
      <c r="R356" s="6">
        <v>1.5030000000000001</v>
      </c>
      <c r="AF356" s="60"/>
      <c r="AG356" s="61"/>
      <c r="AJ356" s="60"/>
      <c r="AK356" s="62"/>
      <c r="AL356" s="63"/>
      <c r="AM356" s="63"/>
      <c r="AN356" s="64"/>
      <c r="AO356" s="63"/>
      <c r="AP356" s="60"/>
      <c r="AR356" s="60"/>
      <c r="AS356" s="62"/>
      <c r="AW356" s="60"/>
      <c r="AZ356" s="60"/>
      <c r="BC356" s="60"/>
      <c r="BK356" s="60"/>
      <c r="BL356" s="60"/>
      <c r="BM356" s="60"/>
      <c r="BN356" s="60"/>
      <c r="BO356" s="60"/>
      <c r="BR356" s="60"/>
      <c r="BS356" s="65"/>
      <c r="BU356" s="60"/>
      <c r="CF356" s="66"/>
      <c r="CP356" s="30"/>
    </row>
    <row r="357" spans="1:94" x14ac:dyDescent="0.3">
      <c r="A357" s="13">
        <v>714</v>
      </c>
      <c r="B357" s="6" t="s">
        <v>3</v>
      </c>
      <c r="C357" s="6" t="s">
        <v>1</v>
      </c>
      <c r="D357" s="6" t="s">
        <v>4</v>
      </c>
      <c r="E357" s="6">
        <v>3</v>
      </c>
      <c r="F357" s="6" t="s">
        <v>7</v>
      </c>
      <c r="G357" s="6">
        <v>7</v>
      </c>
      <c r="H357" s="6">
        <v>1</v>
      </c>
      <c r="I357" s="6">
        <v>20.472999999999999</v>
      </c>
      <c r="J357" s="6">
        <v>5.9219999999999997</v>
      </c>
      <c r="K357" s="6">
        <v>28.925902408049627</v>
      </c>
      <c r="L357" s="6">
        <v>15.400000000000006</v>
      </c>
      <c r="M357" s="7">
        <f t="shared" si="40"/>
        <v>0.16723591937591381</v>
      </c>
      <c r="N357" s="6">
        <v>45.9</v>
      </c>
      <c r="O357" s="6">
        <v>1.0620000000000001</v>
      </c>
      <c r="P357" s="6">
        <v>6.6349999999999998</v>
      </c>
      <c r="Q357" s="6">
        <v>0.52400000000000002</v>
      </c>
      <c r="R357" s="6">
        <v>0.99</v>
      </c>
      <c r="AF357" s="60"/>
      <c r="AG357" s="61"/>
      <c r="AJ357" s="60"/>
      <c r="AK357" s="62"/>
      <c r="AL357" s="63"/>
      <c r="AM357" s="63"/>
      <c r="AN357" s="64"/>
      <c r="AO357" s="63"/>
      <c r="AP357" s="60"/>
      <c r="AR357" s="60"/>
      <c r="AS357" s="62"/>
      <c r="AW357" s="60"/>
      <c r="AZ357" s="60"/>
      <c r="BC357" s="60"/>
      <c r="BK357" s="60"/>
      <c r="BL357" s="60"/>
      <c r="BM357" s="60"/>
      <c r="BN357" s="60"/>
      <c r="BO357" s="60"/>
      <c r="BR357" s="60"/>
      <c r="BS357" s="65"/>
      <c r="BU357" s="60"/>
      <c r="CF357" s="66"/>
      <c r="CP357" s="30"/>
    </row>
    <row r="358" spans="1:94" x14ac:dyDescent="0.3">
      <c r="A358" s="13">
        <v>717</v>
      </c>
      <c r="B358" s="6" t="s">
        <v>3</v>
      </c>
      <c r="C358" s="6" t="s">
        <v>1</v>
      </c>
      <c r="D358" s="6" t="s">
        <v>5</v>
      </c>
      <c r="E358" s="6">
        <v>5</v>
      </c>
      <c r="F358" s="6" t="s">
        <v>7</v>
      </c>
      <c r="G358" s="6">
        <v>7.04</v>
      </c>
      <c r="H358" s="6">
        <v>1</v>
      </c>
      <c r="I358" s="6">
        <v>20.981999999999999</v>
      </c>
      <c r="J358" s="6">
        <v>6.2290000000000001</v>
      </c>
      <c r="K358" s="6">
        <v>29.687351062815747</v>
      </c>
      <c r="L358" s="6">
        <v>11.519886363636363</v>
      </c>
      <c r="M358" s="7">
        <f t="shared" si="40"/>
        <v>0.1223923638979426</v>
      </c>
      <c r="N358" s="6">
        <v>48.17</v>
      </c>
      <c r="O358" s="6">
        <v>0.77100000000000002</v>
      </c>
      <c r="P358" s="6">
        <v>4.8209999999999997</v>
      </c>
      <c r="Q358" s="6">
        <v>1.5209999999999999</v>
      </c>
      <c r="R358" s="6">
        <v>2</v>
      </c>
      <c r="AF358" s="60"/>
      <c r="AG358" s="61"/>
      <c r="AJ358" s="60"/>
      <c r="AK358" s="62"/>
      <c r="AL358" s="63"/>
      <c r="AM358" s="63"/>
      <c r="AN358" s="64"/>
      <c r="AO358" s="63"/>
      <c r="AP358" s="60"/>
      <c r="AR358" s="60"/>
      <c r="AS358" s="62"/>
      <c r="AW358" s="60"/>
      <c r="AZ358" s="60"/>
      <c r="BC358" s="60"/>
      <c r="BK358" s="60"/>
      <c r="BL358" s="60"/>
      <c r="BM358" s="60"/>
      <c r="BN358" s="60"/>
      <c r="BO358" s="60"/>
      <c r="BR358" s="60"/>
      <c r="BS358" s="65"/>
      <c r="BU358" s="60"/>
      <c r="CF358" s="66"/>
      <c r="CP358" s="30"/>
    </row>
    <row r="359" spans="1:94" x14ac:dyDescent="0.3">
      <c r="A359" s="13">
        <v>65</v>
      </c>
      <c r="B359" s="5" t="s">
        <v>0</v>
      </c>
      <c r="C359" s="5" t="s">
        <v>1</v>
      </c>
      <c r="D359" s="5" t="s">
        <v>4</v>
      </c>
      <c r="E359" s="5">
        <v>5</v>
      </c>
      <c r="F359" s="5" t="s">
        <v>7</v>
      </c>
      <c r="G359" s="5">
        <v>7.02</v>
      </c>
      <c r="H359" s="5">
        <v>2</v>
      </c>
      <c r="I359" s="5">
        <v>7.2610000000000001</v>
      </c>
      <c r="J359" s="5">
        <v>5.94</v>
      </c>
      <c r="K359" s="5">
        <v>18.193086351742181</v>
      </c>
      <c r="L359" s="5">
        <v>15.384615384615374</v>
      </c>
      <c r="M359" s="7">
        <f t="shared" si="40"/>
        <v>0.86020126522311136</v>
      </c>
      <c r="N359" s="5">
        <v>47.49</v>
      </c>
      <c r="O359" s="5">
        <v>0.95299999999999996</v>
      </c>
      <c r="P359" s="5">
        <v>5.9580000000000002</v>
      </c>
      <c r="Q359" s="5">
        <v>3.4969999999999999</v>
      </c>
      <c r="R359" s="5">
        <v>2.2469999999999999</v>
      </c>
      <c r="AF359" s="60"/>
      <c r="AG359" s="61"/>
      <c r="AJ359" s="60"/>
      <c r="AK359" s="62"/>
      <c r="AL359" s="63"/>
      <c r="AM359" s="63"/>
      <c r="AN359" s="64"/>
      <c r="AO359" s="63"/>
      <c r="AP359" s="60"/>
      <c r="AR359" s="60"/>
      <c r="AS359" s="62"/>
      <c r="AW359" s="60"/>
      <c r="AZ359" s="60"/>
      <c r="BC359" s="60"/>
      <c r="BK359" s="60"/>
      <c r="BL359" s="60"/>
      <c r="BM359" s="60"/>
      <c r="BN359" s="60"/>
      <c r="BO359" s="60"/>
      <c r="BR359" s="60"/>
      <c r="BS359" s="65"/>
      <c r="BU359" s="60"/>
      <c r="CF359" s="66"/>
      <c r="CP359" s="30"/>
    </row>
    <row r="360" spans="1:94" x14ac:dyDescent="0.3">
      <c r="A360" s="13">
        <v>68</v>
      </c>
      <c r="B360" s="5" t="s">
        <v>0</v>
      </c>
      <c r="C360" s="5" t="s">
        <v>1</v>
      </c>
      <c r="D360" s="5" t="s">
        <v>4</v>
      </c>
      <c r="E360" s="5">
        <v>3</v>
      </c>
      <c r="F360" s="5" t="s">
        <v>7</v>
      </c>
      <c r="G360" s="5">
        <v>7.01</v>
      </c>
      <c r="H360" s="5">
        <v>2</v>
      </c>
      <c r="I360" s="5">
        <v>8.6709999999999994</v>
      </c>
      <c r="J360" s="5">
        <v>5.9130000000000003</v>
      </c>
      <c r="K360" s="5">
        <v>31.807173336408713</v>
      </c>
      <c r="L360" s="5">
        <v>15.649072753209694</v>
      </c>
      <c r="M360" s="7">
        <f t="shared" si="40"/>
        <v>0.86333156476775108</v>
      </c>
      <c r="N360" s="5">
        <v>48.91</v>
      </c>
      <c r="O360" s="5">
        <v>0.999</v>
      </c>
      <c r="P360" s="5">
        <v>6.2439999999999998</v>
      </c>
      <c r="Q360" s="5">
        <v>2.4420000000000002</v>
      </c>
      <c r="R360" s="5">
        <v>1.911</v>
      </c>
      <c r="AF360" s="60"/>
      <c r="AG360" s="61"/>
      <c r="AJ360" s="60"/>
      <c r="AK360" s="62"/>
      <c r="AL360" s="63"/>
      <c r="AM360" s="63"/>
      <c r="AN360" s="64"/>
      <c r="AO360" s="63"/>
      <c r="AP360" s="60"/>
      <c r="AR360" s="60"/>
      <c r="AS360" s="62"/>
      <c r="AW360" s="60"/>
      <c r="AZ360" s="60"/>
      <c r="BC360" s="60"/>
      <c r="BK360" s="60"/>
      <c r="BL360" s="60"/>
      <c r="BM360" s="60"/>
      <c r="BN360" s="60"/>
      <c r="BO360" s="60"/>
      <c r="BR360" s="60"/>
      <c r="BS360" s="65"/>
      <c r="BU360" s="60"/>
      <c r="CF360" s="66"/>
      <c r="CP360" s="30"/>
    </row>
    <row r="361" spans="1:94" x14ac:dyDescent="0.3">
      <c r="A361" s="13">
        <v>75</v>
      </c>
      <c r="B361" s="5" t="s">
        <v>0</v>
      </c>
      <c r="C361" s="5" t="s">
        <v>14</v>
      </c>
      <c r="D361" s="5" t="s">
        <v>4</v>
      </c>
      <c r="E361" s="5">
        <v>4</v>
      </c>
      <c r="F361" s="5" t="s">
        <v>7</v>
      </c>
      <c r="G361" s="5">
        <v>6.98</v>
      </c>
      <c r="H361" s="5">
        <v>2</v>
      </c>
      <c r="I361" s="5">
        <v>8.3620000000000001</v>
      </c>
      <c r="J361" s="5">
        <v>5.9740000000000002</v>
      </c>
      <c r="K361" s="5">
        <v>28.557761301124131</v>
      </c>
      <c r="L361" s="5">
        <v>14.412607449856734</v>
      </c>
      <c r="M361" s="7">
        <f t="shared" si="40"/>
        <v>0.84877937754030841</v>
      </c>
      <c r="N361" s="5">
        <v>47.77</v>
      </c>
      <c r="O361" s="5">
        <v>0.876</v>
      </c>
      <c r="P361" s="5">
        <v>5.4770000000000003</v>
      </c>
      <c r="Q361" s="5">
        <v>2.129</v>
      </c>
      <c r="R361" s="5">
        <v>1.7070000000000001</v>
      </c>
      <c r="AF361" s="60"/>
      <c r="AG361" s="61"/>
      <c r="AJ361" s="60"/>
      <c r="AK361" s="62"/>
      <c r="AL361" s="63"/>
      <c r="AM361" s="63"/>
      <c r="AN361" s="64"/>
      <c r="AO361" s="63"/>
      <c r="AP361" s="60"/>
      <c r="AR361" s="60"/>
      <c r="AS361" s="62"/>
      <c r="AW361" s="60"/>
      <c r="AZ361" s="60"/>
      <c r="BC361" s="60"/>
      <c r="BK361" s="60"/>
      <c r="BL361" s="60"/>
      <c r="BM361" s="60"/>
      <c r="BN361" s="60"/>
      <c r="BO361" s="60"/>
      <c r="BR361" s="60"/>
      <c r="BS361" s="65"/>
      <c r="BU361" s="60"/>
      <c r="CF361" s="66"/>
      <c r="CP361" s="30"/>
    </row>
    <row r="362" spans="1:94" x14ac:dyDescent="0.3">
      <c r="A362" s="13">
        <v>81</v>
      </c>
      <c r="B362" s="5" t="s">
        <v>0</v>
      </c>
      <c r="C362" s="5" t="s">
        <v>14</v>
      </c>
      <c r="D362" s="5" t="s">
        <v>4</v>
      </c>
      <c r="E362" s="5">
        <v>5</v>
      </c>
      <c r="F362" s="5" t="s">
        <v>7</v>
      </c>
      <c r="G362" s="5">
        <v>7.04</v>
      </c>
      <c r="H362" s="5">
        <v>2</v>
      </c>
      <c r="I362" s="5">
        <v>6.9589999999999996</v>
      </c>
      <c r="J362" s="5">
        <v>5.9</v>
      </c>
      <c r="K362" s="5">
        <v>15.217703693059336</v>
      </c>
      <c r="L362" s="5">
        <v>16.193181818181817</v>
      </c>
      <c r="M362" s="7">
        <f t="shared" si="40"/>
        <v>0.86980299981822251</v>
      </c>
      <c r="N362" s="5">
        <v>47.15</v>
      </c>
      <c r="O362" s="5">
        <v>0.91600000000000004</v>
      </c>
      <c r="P362" s="5">
        <v>5.7229999999999999</v>
      </c>
      <c r="Q362" s="5">
        <v>1.5389999999999999</v>
      </c>
      <c r="R362" s="5">
        <v>1.0269999999999999</v>
      </c>
      <c r="AF362" s="60"/>
      <c r="AG362" s="61"/>
      <c r="AJ362" s="60"/>
      <c r="AK362" s="62"/>
      <c r="AL362" s="63"/>
      <c r="AM362" s="63"/>
      <c r="AN362" s="64"/>
      <c r="AO362" s="63"/>
      <c r="AP362" s="60"/>
      <c r="AR362" s="60"/>
      <c r="AS362" s="62"/>
      <c r="AW362" s="60"/>
      <c r="AZ362" s="60"/>
      <c r="BC362" s="60"/>
      <c r="BK362" s="60"/>
      <c r="BL362" s="60"/>
      <c r="BM362" s="60"/>
      <c r="BN362" s="60"/>
      <c r="BO362" s="60"/>
      <c r="BR362" s="60"/>
      <c r="BS362" s="65"/>
      <c r="BU362" s="60"/>
      <c r="CF362" s="66"/>
      <c r="CP362" s="30"/>
    </row>
    <row r="363" spans="1:94" x14ac:dyDescent="0.3">
      <c r="A363" s="13">
        <v>84</v>
      </c>
      <c r="B363" s="5" t="s">
        <v>0</v>
      </c>
      <c r="C363" s="5" t="s">
        <v>1</v>
      </c>
      <c r="D363" s="5" t="s">
        <v>4</v>
      </c>
      <c r="E363" s="5">
        <v>1</v>
      </c>
      <c r="F363" s="5" t="s">
        <v>7</v>
      </c>
      <c r="G363" s="5">
        <v>7.02</v>
      </c>
      <c r="H363" s="5">
        <v>2</v>
      </c>
      <c r="I363" s="5">
        <v>8.0670000000000002</v>
      </c>
      <c r="J363" s="5">
        <v>5.9320000000000004</v>
      </c>
      <c r="K363" s="5">
        <v>26.465848518656248</v>
      </c>
      <c r="L363" s="5">
        <v>15.498575498575487</v>
      </c>
      <c r="M363" s="7">
        <f t="shared" si="40"/>
        <v>0.86154897432197919</v>
      </c>
      <c r="N363" s="5">
        <v>46.15</v>
      </c>
      <c r="O363" s="5">
        <v>1.29</v>
      </c>
      <c r="P363" s="5">
        <v>8.0630000000000006</v>
      </c>
      <c r="Q363" s="5">
        <v>3.843</v>
      </c>
      <c r="R363" s="5">
        <v>2.0619999999999998</v>
      </c>
      <c r="AF363" s="60"/>
      <c r="AG363" s="61"/>
      <c r="AJ363" s="60"/>
      <c r="AK363" s="62"/>
      <c r="AL363" s="63"/>
      <c r="AM363" s="63"/>
      <c r="AN363" s="64"/>
      <c r="AO363" s="63"/>
      <c r="AP363" s="60"/>
      <c r="AR363" s="60"/>
      <c r="AS363" s="62"/>
      <c r="AW363" s="60"/>
      <c r="AZ363" s="60"/>
      <c r="BC363" s="60"/>
      <c r="BK363" s="60"/>
      <c r="BL363" s="60"/>
      <c r="BM363" s="60"/>
      <c r="BN363" s="60"/>
      <c r="BO363" s="60"/>
      <c r="BR363" s="60"/>
      <c r="BS363" s="65"/>
      <c r="BU363" s="60"/>
      <c r="CF363" s="66"/>
      <c r="CP363" s="30"/>
    </row>
    <row r="364" spans="1:94" x14ac:dyDescent="0.3">
      <c r="A364" s="13">
        <v>103</v>
      </c>
      <c r="B364" s="5" t="s">
        <v>0</v>
      </c>
      <c r="C364" s="5" t="s">
        <v>14</v>
      </c>
      <c r="D364" s="5" t="s">
        <v>4</v>
      </c>
      <c r="E364" s="5">
        <v>2</v>
      </c>
      <c r="F364" s="5" t="s">
        <v>7</v>
      </c>
      <c r="G364" s="5">
        <v>6.97</v>
      </c>
      <c r="H364" s="5">
        <v>2</v>
      </c>
      <c r="I364" s="5">
        <v>7.1449999999999996</v>
      </c>
      <c r="J364" s="5">
        <v>5.8769999999999998</v>
      </c>
      <c r="K364" s="5">
        <v>17.746675997200839</v>
      </c>
      <c r="L364" s="5">
        <v>15.681492109038739</v>
      </c>
      <c r="M364" s="7">
        <f t="shared" si="40"/>
        <v>0.86371597770186448</v>
      </c>
      <c r="N364" s="5">
        <v>47.59</v>
      </c>
      <c r="O364" s="5">
        <v>0.98499999999999999</v>
      </c>
      <c r="P364" s="5">
        <v>6.1550000000000002</v>
      </c>
      <c r="Q364" s="5">
        <v>2.3660000000000001</v>
      </c>
      <c r="R364" s="5">
        <v>1.508</v>
      </c>
      <c r="AF364" s="60"/>
      <c r="AG364" s="61"/>
      <c r="AJ364" s="60"/>
      <c r="AK364" s="62"/>
      <c r="AL364" s="63"/>
      <c r="AM364" s="63"/>
      <c r="AN364" s="64"/>
      <c r="AO364" s="63"/>
      <c r="AP364" s="60"/>
      <c r="AR364" s="60"/>
      <c r="AS364" s="62"/>
      <c r="AW364" s="60"/>
      <c r="AZ364" s="60"/>
      <c r="BC364" s="60"/>
      <c r="BK364" s="60"/>
      <c r="BL364" s="60"/>
      <c r="BM364" s="60"/>
      <c r="BN364" s="60"/>
      <c r="BO364" s="60"/>
      <c r="BR364" s="60"/>
      <c r="BS364" s="65"/>
      <c r="BU364" s="60"/>
      <c r="CF364" s="66"/>
      <c r="CP364" s="30"/>
    </row>
    <row r="365" spans="1:94" x14ac:dyDescent="0.3">
      <c r="A365" s="13">
        <v>106</v>
      </c>
      <c r="B365" s="5" t="s">
        <v>0</v>
      </c>
      <c r="C365" s="5" t="s">
        <v>1</v>
      </c>
      <c r="D365" s="5" t="s">
        <v>4</v>
      </c>
      <c r="E365" s="5">
        <v>2</v>
      </c>
      <c r="F365" s="5" t="s">
        <v>7</v>
      </c>
      <c r="G365" s="5">
        <v>6.97</v>
      </c>
      <c r="H365" s="5">
        <v>2</v>
      </c>
      <c r="I365" s="5">
        <v>8.2889999999999997</v>
      </c>
      <c r="J365" s="5">
        <v>5.9260000000000002</v>
      </c>
      <c r="K365" s="5">
        <v>28.507660755217756</v>
      </c>
      <c r="L365" s="5">
        <v>14.978479196556666</v>
      </c>
      <c r="M365" s="7">
        <f t="shared" si="40"/>
        <v>0.85541295618100432</v>
      </c>
      <c r="N365" s="5">
        <v>47.28</v>
      </c>
      <c r="O365" s="5">
        <v>1.03</v>
      </c>
      <c r="P365" s="5">
        <v>6.4349999999999996</v>
      </c>
      <c r="Q365" s="5">
        <v>2.883</v>
      </c>
      <c r="R365" s="5">
        <v>1.5820000000000001</v>
      </c>
      <c r="AF365" s="60"/>
      <c r="AG365" s="61"/>
      <c r="AJ365" s="60"/>
      <c r="AK365" s="62"/>
      <c r="AL365" s="63"/>
      <c r="AM365" s="63"/>
      <c r="AN365" s="64"/>
      <c r="AO365" s="63"/>
      <c r="AP365" s="60"/>
      <c r="AR365" s="60"/>
      <c r="AS365" s="62"/>
      <c r="AW365" s="60"/>
      <c r="AZ365" s="60"/>
      <c r="BC365" s="60"/>
      <c r="BK365" s="60"/>
      <c r="BL365" s="60"/>
      <c r="BM365" s="60"/>
      <c r="BN365" s="60"/>
      <c r="BO365" s="60"/>
      <c r="BR365" s="60"/>
      <c r="BS365" s="65"/>
      <c r="BU365" s="60"/>
      <c r="CF365" s="66"/>
      <c r="CP365" s="30"/>
    </row>
    <row r="366" spans="1:94" x14ac:dyDescent="0.3">
      <c r="A366" s="13">
        <v>110</v>
      </c>
      <c r="B366" s="5" t="s">
        <v>0</v>
      </c>
      <c r="C366" s="5" t="s">
        <v>14</v>
      </c>
      <c r="D366" s="5" t="s">
        <v>4</v>
      </c>
      <c r="E366" s="5">
        <v>1</v>
      </c>
      <c r="F366" s="5" t="s">
        <v>7</v>
      </c>
      <c r="G366" s="5">
        <v>7</v>
      </c>
      <c r="H366" s="5">
        <v>2</v>
      </c>
      <c r="I366" s="5">
        <v>7.1340000000000003</v>
      </c>
      <c r="J366" s="5">
        <v>6.0339999999999998</v>
      </c>
      <c r="K366" s="5">
        <v>15.419119708438469</v>
      </c>
      <c r="L366" s="5">
        <v>13.800000000000004</v>
      </c>
      <c r="M366" s="7">
        <f t="shared" si="40"/>
        <v>0.8416471888783893</v>
      </c>
      <c r="N366" s="5">
        <v>47.97</v>
      </c>
      <c r="O366" s="5">
        <v>1.0569999999999999</v>
      </c>
      <c r="P366" s="5">
        <v>6.6059999999999999</v>
      </c>
      <c r="Q366" s="5">
        <v>3.2480000000000002</v>
      </c>
      <c r="R366" s="5">
        <v>2.1040000000000001</v>
      </c>
      <c r="AF366" s="60"/>
      <c r="AG366" s="61"/>
      <c r="AJ366" s="60"/>
      <c r="AK366" s="62"/>
      <c r="AL366" s="63"/>
      <c r="AM366" s="63"/>
      <c r="AN366" s="64"/>
      <c r="AO366" s="63"/>
      <c r="AP366" s="60"/>
      <c r="AR366" s="60"/>
      <c r="AS366" s="62"/>
      <c r="AW366" s="60"/>
      <c r="AZ366" s="60"/>
      <c r="BC366" s="60"/>
      <c r="BK366" s="60"/>
      <c r="BL366" s="60"/>
      <c r="BM366" s="60"/>
      <c r="BN366" s="60"/>
      <c r="BO366" s="60"/>
      <c r="BR366" s="60"/>
      <c r="BS366" s="65"/>
      <c r="BU366" s="60"/>
      <c r="CF366" s="66"/>
      <c r="CP366" s="30"/>
    </row>
    <row r="367" spans="1:94" x14ac:dyDescent="0.3">
      <c r="A367" s="13">
        <v>117</v>
      </c>
      <c r="B367" s="5" t="s">
        <v>0</v>
      </c>
      <c r="C367" s="5" t="s">
        <v>1</v>
      </c>
      <c r="D367" s="5" t="s">
        <v>4</v>
      </c>
      <c r="E367" s="5">
        <v>4</v>
      </c>
      <c r="F367" s="5" t="s">
        <v>7</v>
      </c>
      <c r="G367" s="5">
        <v>6.96</v>
      </c>
      <c r="H367" s="5">
        <v>2</v>
      </c>
      <c r="I367" s="5">
        <v>6.7110000000000003</v>
      </c>
      <c r="J367" s="5">
        <v>5.726</v>
      </c>
      <c r="K367" s="5">
        <v>14.677395321114592</v>
      </c>
      <c r="L367" s="5">
        <v>17.729885057471265</v>
      </c>
      <c r="M367" s="7">
        <f t="shared" si="40"/>
        <v>0.8883094482303503</v>
      </c>
      <c r="N367" s="5">
        <v>48.07</v>
      </c>
      <c r="O367" s="5">
        <v>0.88200000000000001</v>
      </c>
      <c r="P367" s="5">
        <v>5.5140000000000002</v>
      </c>
      <c r="Q367" s="5">
        <v>3.4249999999999998</v>
      </c>
      <c r="R367" s="5">
        <v>2.3769999999999998</v>
      </c>
      <c r="AF367" s="60"/>
      <c r="AG367" s="61"/>
      <c r="AJ367" s="60"/>
      <c r="AK367" s="62"/>
      <c r="AL367" s="63"/>
      <c r="AM367" s="63"/>
      <c r="AN367" s="64"/>
      <c r="AO367" s="63"/>
      <c r="AP367" s="60"/>
      <c r="AR367" s="60"/>
      <c r="AS367" s="62"/>
      <c r="AW367" s="60"/>
      <c r="AZ367" s="60"/>
      <c r="BC367" s="60"/>
      <c r="BK367" s="60"/>
      <c r="BL367" s="60"/>
      <c r="BM367" s="60"/>
      <c r="BN367" s="60"/>
      <c r="BO367" s="60"/>
      <c r="BR367" s="60"/>
      <c r="BS367" s="65"/>
      <c r="BU367" s="60"/>
      <c r="CF367" s="66"/>
      <c r="CP367" s="30"/>
    </row>
    <row r="368" spans="1:94" x14ac:dyDescent="0.3">
      <c r="A368" s="13">
        <v>118</v>
      </c>
      <c r="B368" s="5" t="s">
        <v>0</v>
      </c>
      <c r="C368" s="5" t="s">
        <v>14</v>
      </c>
      <c r="D368" s="5" t="s">
        <v>4</v>
      </c>
      <c r="E368" s="5">
        <v>3</v>
      </c>
      <c r="F368" s="5" t="s">
        <v>7</v>
      </c>
      <c r="G368" s="5">
        <v>7.07</v>
      </c>
      <c r="H368" s="5">
        <v>2</v>
      </c>
      <c r="I368" s="5">
        <v>9.6929999999999996</v>
      </c>
      <c r="J368" s="5">
        <v>5.9509999999999996</v>
      </c>
      <c r="K368" s="5">
        <v>38.605178995151142</v>
      </c>
      <c r="L368" s="5">
        <v>15.827439886845838</v>
      </c>
      <c r="M368" s="7">
        <f t="shared" si="40"/>
        <v>0.86544838780571187</v>
      </c>
      <c r="N368" s="5">
        <v>47.9</v>
      </c>
      <c r="O368" s="5">
        <v>0.98699999999999999</v>
      </c>
      <c r="P368" s="5">
        <v>6.1660000000000004</v>
      </c>
      <c r="Q368" s="5">
        <v>2.0139999999999998</v>
      </c>
      <c r="R368" s="5">
        <v>1.171</v>
      </c>
      <c r="AF368" s="60"/>
      <c r="AG368" s="61"/>
      <c r="AJ368" s="60"/>
      <c r="AK368" s="62"/>
      <c r="AL368" s="63"/>
      <c r="AM368" s="63"/>
      <c r="AN368" s="64"/>
      <c r="AO368" s="63"/>
      <c r="AP368" s="60"/>
      <c r="AR368" s="60"/>
      <c r="AS368" s="62"/>
      <c r="AW368" s="60"/>
      <c r="AZ368" s="60"/>
      <c r="BC368" s="60"/>
      <c r="BK368" s="60"/>
      <c r="BL368" s="60"/>
      <c r="BM368" s="60"/>
      <c r="BN368" s="60"/>
      <c r="BO368" s="60"/>
      <c r="BR368" s="60"/>
      <c r="BS368" s="65"/>
      <c r="BU368" s="60"/>
      <c r="CF368" s="66"/>
      <c r="CP368" s="30"/>
    </row>
    <row r="369" spans="1:94" x14ac:dyDescent="0.3">
      <c r="A369" s="13">
        <v>181</v>
      </c>
      <c r="B369" s="5" t="s">
        <v>0</v>
      </c>
      <c r="C369" s="5" t="s">
        <v>1</v>
      </c>
      <c r="D369" s="5" t="s">
        <v>5</v>
      </c>
      <c r="E369" s="5">
        <v>4</v>
      </c>
      <c r="F369" s="5" t="s">
        <v>7</v>
      </c>
      <c r="G369" s="5">
        <v>7.06</v>
      </c>
      <c r="H369" s="5">
        <v>2</v>
      </c>
      <c r="I369" s="5">
        <v>8.5259999999999998</v>
      </c>
      <c r="J369" s="5">
        <v>6.0759999999999996</v>
      </c>
      <c r="K369" s="5">
        <v>28.735632183908049</v>
      </c>
      <c r="L369" s="5">
        <v>13.937677053824363</v>
      </c>
      <c r="M369" s="7">
        <f t="shared" si="40"/>
        <v>0.84324564733156959</v>
      </c>
      <c r="N369" s="5">
        <v>47.15</v>
      </c>
      <c r="O369" s="5">
        <v>0.70199999999999996</v>
      </c>
      <c r="P369" s="5">
        <v>4.3899999999999997</v>
      </c>
      <c r="Q369" s="5">
        <v>1.1739999999999999</v>
      </c>
      <c r="R369" s="5">
        <v>1.337</v>
      </c>
      <c r="AF369" s="60"/>
      <c r="AG369" s="61"/>
      <c r="AJ369" s="60"/>
      <c r="AK369" s="62"/>
      <c r="AL369" s="63"/>
      <c r="AM369" s="63"/>
      <c r="AN369" s="64"/>
      <c r="AO369" s="63"/>
      <c r="AP369" s="60"/>
      <c r="AR369" s="60"/>
      <c r="AS369" s="62"/>
      <c r="AW369" s="60"/>
      <c r="AZ369" s="60"/>
      <c r="BC369" s="60"/>
      <c r="BK369" s="60"/>
      <c r="BL369" s="60"/>
      <c r="BM369" s="60"/>
      <c r="BN369" s="60"/>
      <c r="BO369" s="60"/>
      <c r="BR369" s="60"/>
      <c r="BS369" s="65"/>
      <c r="BU369" s="60"/>
      <c r="CF369" s="66"/>
      <c r="CP369" s="30"/>
    </row>
    <row r="370" spans="1:94" x14ac:dyDescent="0.3">
      <c r="A370" s="13">
        <v>184</v>
      </c>
      <c r="B370" s="5" t="s">
        <v>0</v>
      </c>
      <c r="C370" s="5" t="s">
        <v>14</v>
      </c>
      <c r="D370" s="5" t="s">
        <v>5</v>
      </c>
      <c r="E370" s="5">
        <v>5</v>
      </c>
      <c r="F370" s="5" t="s">
        <v>7</v>
      </c>
      <c r="G370" s="5">
        <v>7.05</v>
      </c>
      <c r="H370" s="5">
        <v>2</v>
      </c>
      <c r="I370" s="5">
        <v>7.2249999999999996</v>
      </c>
      <c r="J370" s="5">
        <v>6.109</v>
      </c>
      <c r="K370" s="5">
        <v>15.446366782006917</v>
      </c>
      <c r="L370" s="5">
        <v>13.347517730496453</v>
      </c>
      <c r="M370" s="7">
        <f t="shared" si="40"/>
        <v>0.83641170371649265</v>
      </c>
      <c r="N370" s="5">
        <v>47.87</v>
      </c>
      <c r="O370" s="5">
        <v>0.88</v>
      </c>
      <c r="P370" s="5">
        <v>5.4989999999999997</v>
      </c>
      <c r="Q370" s="5">
        <v>1.264</v>
      </c>
      <c r="R370" s="5">
        <v>1.625</v>
      </c>
      <c r="AF370" s="60"/>
      <c r="AG370" s="61"/>
      <c r="AJ370" s="60"/>
      <c r="AK370" s="62"/>
      <c r="AL370" s="63"/>
      <c r="AM370" s="63"/>
      <c r="AN370" s="64"/>
      <c r="AO370" s="63"/>
      <c r="AP370" s="60"/>
      <c r="AR370" s="60"/>
      <c r="AS370" s="62"/>
      <c r="AW370" s="60"/>
      <c r="AZ370" s="60"/>
      <c r="BC370" s="60"/>
      <c r="BK370" s="60"/>
      <c r="BL370" s="60"/>
      <c r="BM370" s="60"/>
      <c r="BN370" s="60"/>
      <c r="BO370" s="60"/>
      <c r="BR370" s="60"/>
      <c r="BS370" s="65"/>
      <c r="BU370" s="60"/>
      <c r="CF370" s="66"/>
      <c r="CP370" s="30"/>
    </row>
    <row r="371" spans="1:94" x14ac:dyDescent="0.3">
      <c r="A371" s="13">
        <v>193</v>
      </c>
      <c r="B371" s="5" t="s">
        <v>0</v>
      </c>
      <c r="C371" s="5" t="s">
        <v>14</v>
      </c>
      <c r="D371" s="5" t="s">
        <v>5</v>
      </c>
      <c r="E371" s="5">
        <v>4</v>
      </c>
      <c r="F371" s="5" t="s">
        <v>7</v>
      </c>
      <c r="G371" s="5">
        <v>7.01</v>
      </c>
      <c r="H371" s="5">
        <v>2</v>
      </c>
      <c r="I371" s="5">
        <v>11.888</v>
      </c>
      <c r="J371" s="5">
        <v>5.9950000000000001</v>
      </c>
      <c r="K371" s="5">
        <v>49.570995962314939</v>
      </c>
      <c r="L371" s="5">
        <v>14.479315263908699</v>
      </c>
      <c r="M371" s="7">
        <f t="shared" si="40"/>
        <v>0.84955909312696642</v>
      </c>
      <c r="N371" s="5">
        <v>48.39</v>
      </c>
      <c r="O371" s="5">
        <v>0.78300000000000003</v>
      </c>
      <c r="P371" s="5">
        <v>4.891</v>
      </c>
      <c r="Q371" s="5">
        <v>1.639</v>
      </c>
      <c r="R371" s="5">
        <v>1.1859999999999999</v>
      </c>
      <c r="AF371" s="60"/>
      <c r="AG371" s="61"/>
      <c r="AJ371" s="60"/>
      <c r="AK371" s="62"/>
      <c r="AL371" s="63"/>
      <c r="AM371" s="63"/>
      <c r="AN371" s="64"/>
      <c r="AO371" s="63"/>
      <c r="AP371" s="60"/>
      <c r="AR371" s="60"/>
      <c r="AS371" s="62"/>
      <c r="AW371" s="60"/>
      <c r="AZ371" s="60"/>
      <c r="BC371" s="60"/>
      <c r="BK371" s="60"/>
      <c r="BL371" s="60"/>
      <c r="BM371" s="60"/>
      <c r="BN371" s="60"/>
      <c r="BO371" s="60"/>
      <c r="BR371" s="60"/>
      <c r="BS371" s="65"/>
      <c r="BU371" s="60"/>
      <c r="CF371" s="66"/>
      <c r="CP371" s="30"/>
    </row>
    <row r="372" spans="1:94" x14ac:dyDescent="0.3">
      <c r="A372" s="13">
        <v>197</v>
      </c>
      <c r="B372" s="5" t="s">
        <v>0</v>
      </c>
      <c r="C372" s="5" t="s">
        <v>1</v>
      </c>
      <c r="D372" s="5" t="s">
        <v>5</v>
      </c>
      <c r="E372" s="5">
        <v>5</v>
      </c>
      <c r="F372" s="5" t="s">
        <v>7</v>
      </c>
      <c r="G372" s="5">
        <v>6.99</v>
      </c>
      <c r="H372" s="5">
        <v>2</v>
      </c>
      <c r="I372" s="5">
        <v>10.595000000000001</v>
      </c>
      <c r="J372" s="5">
        <v>6</v>
      </c>
      <c r="K372" s="5">
        <v>43.369513921661159</v>
      </c>
      <c r="L372" s="5">
        <v>14.163090128755368</v>
      </c>
      <c r="M372" s="7">
        <f t="shared" si="40"/>
        <v>0.84586826757760913</v>
      </c>
      <c r="N372" s="5">
        <v>48.4</v>
      </c>
      <c r="O372" s="5">
        <v>0.58799999999999997</v>
      </c>
      <c r="P372" s="5">
        <v>3.6779999999999999</v>
      </c>
      <c r="Q372" s="5">
        <v>1.232</v>
      </c>
      <c r="R372" s="5">
        <v>1.542</v>
      </c>
      <c r="AF372" s="60"/>
      <c r="AG372" s="61"/>
      <c r="AJ372" s="60"/>
      <c r="AK372" s="62"/>
      <c r="AL372" s="63"/>
      <c r="AM372" s="63"/>
      <c r="AN372" s="64"/>
      <c r="AO372" s="63"/>
      <c r="AP372" s="60"/>
      <c r="AR372" s="60"/>
      <c r="AS372" s="62"/>
      <c r="AW372" s="60"/>
      <c r="AZ372" s="60"/>
      <c r="BC372" s="60"/>
      <c r="BK372" s="60"/>
      <c r="BL372" s="60"/>
      <c r="BM372" s="60"/>
      <c r="BN372" s="60"/>
      <c r="BO372" s="60"/>
      <c r="BR372" s="60"/>
      <c r="BS372" s="65"/>
      <c r="BU372" s="60"/>
      <c r="CF372" s="66"/>
      <c r="CP372" s="30"/>
    </row>
    <row r="373" spans="1:94" x14ac:dyDescent="0.3">
      <c r="A373" s="13">
        <v>201</v>
      </c>
      <c r="B373" s="5" t="s">
        <v>0</v>
      </c>
      <c r="C373" s="5" t="s">
        <v>1</v>
      </c>
      <c r="D373" s="5" t="s">
        <v>5</v>
      </c>
      <c r="E373" s="5">
        <v>3</v>
      </c>
      <c r="F373" s="5" t="s">
        <v>7</v>
      </c>
      <c r="G373" s="5">
        <v>7.06</v>
      </c>
      <c r="H373" s="5">
        <v>2</v>
      </c>
      <c r="I373" s="5">
        <v>8.7639999999999993</v>
      </c>
      <c r="J373" s="5">
        <v>6.2149999999999999</v>
      </c>
      <c r="K373" s="5">
        <v>29.084892743039703</v>
      </c>
      <c r="L373" s="5">
        <v>11.96883852691218</v>
      </c>
      <c r="M373" s="7">
        <f t="shared" si="40"/>
        <v>0.82062650710242147</v>
      </c>
      <c r="N373" s="5">
        <v>47.3</v>
      </c>
      <c r="O373" s="5">
        <v>0.66</v>
      </c>
      <c r="P373" s="5">
        <v>4.125</v>
      </c>
      <c r="Q373" s="5">
        <v>0.83699999999999997</v>
      </c>
      <c r="R373" s="5">
        <v>1.3420000000000001</v>
      </c>
      <c r="AF373" s="60"/>
      <c r="AG373" s="61"/>
      <c r="AJ373" s="60"/>
      <c r="AK373" s="62"/>
      <c r="AL373" s="63"/>
      <c r="AM373" s="63"/>
      <c r="AN373" s="64"/>
      <c r="AO373" s="63"/>
      <c r="AP373" s="60"/>
      <c r="AR373" s="60"/>
      <c r="AS373" s="62"/>
      <c r="AW373" s="60"/>
      <c r="AZ373" s="60"/>
      <c r="BC373" s="60"/>
      <c r="BK373" s="60"/>
      <c r="BL373" s="60"/>
      <c r="BM373" s="60"/>
      <c r="BN373" s="60"/>
      <c r="BO373" s="60"/>
      <c r="BR373" s="60"/>
      <c r="BS373" s="65"/>
      <c r="BU373" s="60"/>
      <c r="CF373" s="66"/>
      <c r="CP373" s="30"/>
    </row>
    <row r="374" spans="1:94" x14ac:dyDescent="0.3">
      <c r="A374" s="13">
        <v>215</v>
      </c>
      <c r="B374" s="5" t="s">
        <v>0</v>
      </c>
      <c r="C374" s="5" t="s">
        <v>1</v>
      </c>
      <c r="D374" s="5" t="s">
        <v>5</v>
      </c>
      <c r="E374" s="5">
        <v>2</v>
      </c>
      <c r="F374" s="5" t="s">
        <v>7</v>
      </c>
      <c r="G374" s="5">
        <v>7.07</v>
      </c>
      <c r="H374" s="5">
        <v>2</v>
      </c>
      <c r="I374" s="5">
        <v>10.353999999999999</v>
      </c>
      <c r="J374" s="5">
        <v>6.0270000000000001</v>
      </c>
      <c r="K374" s="5">
        <v>41.790612323739609</v>
      </c>
      <c r="L374" s="5">
        <v>14.752475247524755</v>
      </c>
      <c r="M374" s="7">
        <f t="shared" si="40"/>
        <v>0.85275828596751968</v>
      </c>
      <c r="N374" s="5">
        <v>48.09</v>
      </c>
      <c r="O374" s="5">
        <v>0.95399999999999996</v>
      </c>
      <c r="P374" s="5">
        <v>5.9649999999999999</v>
      </c>
      <c r="Q374" s="5">
        <v>1.222</v>
      </c>
      <c r="R374" s="5">
        <v>1.5740000000000001</v>
      </c>
      <c r="AF374" s="60"/>
      <c r="AG374" s="61"/>
      <c r="AJ374" s="60"/>
      <c r="AK374" s="62"/>
      <c r="AL374" s="63"/>
      <c r="AM374" s="63"/>
      <c r="AN374" s="64"/>
      <c r="AO374" s="63"/>
      <c r="AP374" s="60"/>
      <c r="AR374" s="60"/>
      <c r="AS374" s="62"/>
      <c r="AW374" s="60"/>
      <c r="AZ374" s="60"/>
      <c r="BC374" s="60"/>
      <c r="BK374" s="60"/>
      <c r="BL374" s="60"/>
      <c r="BM374" s="60"/>
      <c r="BN374" s="60"/>
      <c r="BO374" s="60"/>
      <c r="BR374" s="60"/>
      <c r="BS374" s="65"/>
      <c r="BU374" s="60"/>
      <c r="CF374" s="66"/>
      <c r="CP374" s="30"/>
    </row>
    <row r="375" spans="1:94" x14ac:dyDescent="0.3">
      <c r="A375" s="13">
        <v>219</v>
      </c>
      <c r="B375" s="5" t="s">
        <v>0</v>
      </c>
      <c r="C375" s="5" t="s">
        <v>14</v>
      </c>
      <c r="D375" s="5" t="s">
        <v>5</v>
      </c>
      <c r="E375" s="5">
        <v>3</v>
      </c>
      <c r="F375" s="5" t="s">
        <v>7</v>
      </c>
      <c r="G375" s="5">
        <v>6.95</v>
      </c>
      <c r="H375" s="5">
        <v>2</v>
      </c>
      <c r="I375" s="5">
        <v>8.3699999999999992</v>
      </c>
      <c r="J375" s="5">
        <v>5.9619999999999997</v>
      </c>
      <c r="K375" s="5">
        <v>28.769414575866186</v>
      </c>
      <c r="L375" s="5">
        <v>14.215827338129502</v>
      </c>
      <c r="M375" s="7">
        <f t="shared" si="40"/>
        <v>0.84648284488076653</v>
      </c>
      <c r="N375" s="5">
        <v>47.74</v>
      </c>
      <c r="O375" s="5">
        <v>0.88800000000000001</v>
      </c>
      <c r="P375" s="5">
        <v>5.5529999999999999</v>
      </c>
      <c r="Q375" s="5">
        <v>1.2010000000000001</v>
      </c>
      <c r="R375" s="5">
        <v>1.6539999999999999</v>
      </c>
      <c r="AF375" s="60"/>
      <c r="AG375" s="61"/>
      <c r="AJ375" s="60"/>
      <c r="AK375" s="62"/>
      <c r="AL375" s="63"/>
      <c r="AM375" s="63"/>
      <c r="AN375" s="64"/>
      <c r="AO375" s="63"/>
      <c r="AP375" s="60"/>
      <c r="AR375" s="60"/>
      <c r="AS375" s="62"/>
      <c r="AW375" s="60"/>
      <c r="AZ375" s="60"/>
      <c r="BC375" s="60"/>
      <c r="BK375" s="60"/>
      <c r="BL375" s="60"/>
      <c r="BM375" s="60"/>
      <c r="BN375" s="60"/>
      <c r="BO375" s="60"/>
      <c r="BR375" s="60"/>
      <c r="BS375" s="65"/>
      <c r="BU375" s="60"/>
      <c r="CF375" s="66"/>
      <c r="CP375" s="30"/>
    </row>
    <row r="376" spans="1:94" x14ac:dyDescent="0.3">
      <c r="A376" s="13">
        <v>223</v>
      </c>
      <c r="B376" s="5" t="s">
        <v>0</v>
      </c>
      <c r="C376" s="5" t="s">
        <v>14</v>
      </c>
      <c r="D376" s="5" t="s">
        <v>5</v>
      </c>
      <c r="E376" s="5">
        <v>2</v>
      </c>
      <c r="F376" s="5" t="s">
        <v>7</v>
      </c>
      <c r="G376" s="5">
        <v>6.97</v>
      </c>
      <c r="H376" s="5">
        <v>2</v>
      </c>
      <c r="I376" s="5">
        <v>8.8789999999999996</v>
      </c>
      <c r="J376" s="5">
        <v>6.0380000000000003</v>
      </c>
      <c r="K376" s="5">
        <v>31.996846491722035</v>
      </c>
      <c r="L376" s="5">
        <v>13.371592539454799</v>
      </c>
      <c r="M376" s="7">
        <f t="shared" si="40"/>
        <v>0.8366895740477307</v>
      </c>
      <c r="N376" s="5">
        <v>48.71</v>
      </c>
      <c r="O376" s="5">
        <v>0.72199999999999998</v>
      </c>
      <c r="P376" s="5">
        <v>4.5110000000000001</v>
      </c>
      <c r="Q376" s="5">
        <v>1.534</v>
      </c>
      <c r="R376" s="5">
        <v>1.98</v>
      </c>
      <c r="AF376" s="60"/>
      <c r="AG376" s="61"/>
      <c r="AJ376" s="60"/>
      <c r="AK376" s="62"/>
      <c r="AL376" s="63"/>
      <c r="AM376" s="63"/>
      <c r="AN376" s="64"/>
      <c r="AO376" s="63"/>
      <c r="AP376" s="60"/>
      <c r="AR376" s="60"/>
      <c r="AS376" s="62"/>
      <c r="AW376" s="60"/>
      <c r="AZ376" s="60"/>
      <c r="BC376" s="60"/>
      <c r="BK376" s="60"/>
      <c r="BL376" s="60"/>
      <c r="BM376" s="60"/>
      <c r="BN376" s="60"/>
      <c r="BO376" s="60"/>
      <c r="BR376" s="60"/>
      <c r="BS376" s="65"/>
      <c r="BU376" s="60"/>
      <c r="CF376" s="66"/>
      <c r="CP376" s="30"/>
    </row>
    <row r="377" spans="1:94" x14ac:dyDescent="0.3">
      <c r="A377" s="13">
        <v>230</v>
      </c>
      <c r="B377" s="5" t="s">
        <v>0</v>
      </c>
      <c r="C377" s="5" t="s">
        <v>14</v>
      </c>
      <c r="D377" s="5" t="s">
        <v>5</v>
      </c>
      <c r="E377" s="5">
        <v>1</v>
      </c>
      <c r="F377" s="5" t="s">
        <v>7</v>
      </c>
      <c r="G377" s="5">
        <v>7.01</v>
      </c>
      <c r="H377" s="5">
        <v>2</v>
      </c>
      <c r="I377" s="5">
        <v>10.693</v>
      </c>
      <c r="J377" s="5">
        <v>6.0220000000000002</v>
      </c>
      <c r="K377" s="5">
        <v>43.682783129149904</v>
      </c>
      <c r="L377" s="5">
        <v>14.094151212553488</v>
      </c>
      <c r="M377" s="7">
        <f t="shared" si="40"/>
        <v>0.84506545154690182</v>
      </c>
      <c r="N377" s="5">
        <v>48.02</v>
      </c>
      <c r="O377" s="5">
        <v>1.3480000000000001</v>
      </c>
      <c r="P377" s="5">
        <v>8.423</v>
      </c>
      <c r="Q377" s="5">
        <v>1.3129999999999999</v>
      </c>
      <c r="R377" s="5">
        <v>1.907</v>
      </c>
      <c r="AF377" s="60"/>
      <c r="AG377" s="61"/>
      <c r="AJ377" s="60"/>
      <c r="AK377" s="62"/>
      <c r="AL377" s="63"/>
      <c r="AM377" s="63"/>
      <c r="AN377" s="64"/>
      <c r="AO377" s="63"/>
      <c r="AP377" s="60"/>
      <c r="AR377" s="60"/>
      <c r="AS377" s="62"/>
      <c r="AW377" s="60"/>
      <c r="AZ377" s="60"/>
      <c r="BC377" s="60"/>
      <c r="BK377" s="60"/>
      <c r="BL377" s="60"/>
      <c r="BM377" s="60"/>
      <c r="BN377" s="60"/>
      <c r="BO377" s="60"/>
      <c r="BR377" s="60"/>
      <c r="BS377" s="65"/>
      <c r="BU377" s="60"/>
      <c r="CF377" s="66"/>
      <c r="CP377" s="30"/>
    </row>
    <row r="378" spans="1:94" x14ac:dyDescent="0.3">
      <c r="A378" s="13">
        <v>236</v>
      </c>
      <c r="B378" s="5" t="s">
        <v>0</v>
      </c>
      <c r="C378" s="5" t="s">
        <v>1</v>
      </c>
      <c r="D378" s="5" t="s">
        <v>5</v>
      </c>
      <c r="E378" s="5">
        <v>1</v>
      </c>
      <c r="F378" s="5" t="s">
        <v>7</v>
      </c>
      <c r="G378" s="5">
        <v>6.98</v>
      </c>
      <c r="H378" s="5">
        <v>2</v>
      </c>
      <c r="I378" s="5">
        <v>9054</v>
      </c>
      <c r="J378" s="5">
        <v>6.0970000000000004</v>
      </c>
      <c r="K378" s="5">
        <v>99.932659597967756</v>
      </c>
      <c r="L378" s="5">
        <v>12.650429799426933</v>
      </c>
      <c r="M378" s="7">
        <f t="shared" si="40"/>
        <v>0.82839925040854734</v>
      </c>
      <c r="N378" s="5">
        <v>48</v>
      </c>
      <c r="O378" s="5">
        <v>0.80200000000000005</v>
      </c>
      <c r="P378" s="5">
        <v>5.0119999999999996</v>
      </c>
      <c r="Q378" s="5">
        <v>1.17</v>
      </c>
      <c r="R378" s="5">
        <v>1.419</v>
      </c>
      <c r="AF378" s="60"/>
      <c r="AG378" s="61"/>
      <c r="AJ378" s="60"/>
      <c r="AK378" s="62"/>
      <c r="AL378" s="63"/>
      <c r="AM378" s="63"/>
      <c r="AN378" s="64"/>
      <c r="AO378" s="63"/>
      <c r="AP378" s="60"/>
      <c r="AR378" s="60"/>
      <c r="AS378" s="62"/>
      <c r="AW378" s="60"/>
      <c r="AZ378" s="60"/>
      <c r="BC378" s="60"/>
      <c r="BK378" s="60"/>
      <c r="BL378" s="60"/>
      <c r="BM378" s="60"/>
      <c r="BN378" s="60"/>
      <c r="BO378" s="60"/>
      <c r="BR378" s="60"/>
      <c r="BS378" s="65"/>
      <c r="BU378" s="60"/>
      <c r="CF378" s="66"/>
      <c r="CP378" s="30"/>
    </row>
    <row r="379" spans="1:94" x14ac:dyDescent="0.3">
      <c r="A379" s="13">
        <v>305</v>
      </c>
      <c r="B379" s="5" t="s">
        <v>2</v>
      </c>
      <c r="C379" s="5" t="s">
        <v>14</v>
      </c>
      <c r="D379" s="5" t="s">
        <v>4</v>
      </c>
      <c r="E379" s="5">
        <v>4</v>
      </c>
      <c r="F379" s="5" t="s">
        <v>7</v>
      </c>
      <c r="G379" s="5">
        <v>7.04</v>
      </c>
      <c r="H379" s="5">
        <v>2</v>
      </c>
      <c r="I379" s="5">
        <v>12.205</v>
      </c>
      <c r="J379" s="5">
        <v>5.9989999999999997</v>
      </c>
      <c r="K379" s="5">
        <v>50.848013109381405</v>
      </c>
      <c r="L379" s="5">
        <v>14.786931818181822</v>
      </c>
      <c r="M379" s="7">
        <f t="shared" si="40"/>
        <v>0.85316256205894037</v>
      </c>
      <c r="N379" s="5">
        <v>48.08</v>
      </c>
      <c r="O379" s="5">
        <v>1.165</v>
      </c>
      <c r="P379" s="5">
        <v>7.2830000000000004</v>
      </c>
      <c r="Q379" s="5">
        <v>1.86</v>
      </c>
      <c r="R379" s="5">
        <v>1.895</v>
      </c>
      <c r="AF379" s="60"/>
      <c r="AG379" s="61"/>
      <c r="AJ379" s="60"/>
      <c r="AK379" s="62"/>
      <c r="AL379" s="63"/>
      <c r="AM379" s="63"/>
      <c r="AN379" s="64"/>
      <c r="AO379" s="63"/>
      <c r="AP379" s="60"/>
      <c r="AR379" s="60"/>
      <c r="AS379" s="62"/>
      <c r="AW379" s="60"/>
      <c r="AZ379" s="60"/>
      <c r="BC379" s="60"/>
      <c r="BK379" s="60"/>
      <c r="BL379" s="60"/>
      <c r="BM379" s="60"/>
      <c r="BN379" s="60"/>
      <c r="BO379" s="60"/>
      <c r="BR379" s="60"/>
      <c r="BS379" s="65"/>
      <c r="BU379" s="60"/>
      <c r="CF379" s="66"/>
      <c r="CP379" s="30"/>
    </row>
    <row r="380" spans="1:94" x14ac:dyDescent="0.3">
      <c r="A380" s="13">
        <v>311</v>
      </c>
      <c r="B380" s="5" t="s">
        <v>2</v>
      </c>
      <c r="C380" s="5" t="s">
        <v>1</v>
      </c>
      <c r="D380" s="5" t="s">
        <v>4</v>
      </c>
      <c r="E380" s="5">
        <v>5</v>
      </c>
      <c r="F380" s="5" t="s">
        <v>7</v>
      </c>
      <c r="G380" s="5">
        <v>7.02</v>
      </c>
      <c r="H380" s="5">
        <v>2</v>
      </c>
      <c r="I380" s="5">
        <v>13.576000000000001</v>
      </c>
      <c r="J380" s="5">
        <v>6.0149999999999997</v>
      </c>
      <c r="K380" s="5">
        <v>55.693871538008253</v>
      </c>
      <c r="L380" s="5">
        <v>14.316239316239315</v>
      </c>
      <c r="M380" s="7">
        <f t="shared" si="40"/>
        <v>0.84765404917102294</v>
      </c>
      <c r="N380" s="5">
        <v>47.67</v>
      </c>
      <c r="O380" s="5">
        <v>1.2350000000000001</v>
      </c>
      <c r="P380" s="5">
        <v>7.718</v>
      </c>
      <c r="Q380" s="5">
        <v>1.613</v>
      </c>
      <c r="R380" s="5">
        <v>1.613</v>
      </c>
      <c r="AF380" s="60"/>
      <c r="AG380" s="61"/>
      <c r="AJ380" s="60"/>
      <c r="AK380" s="62"/>
      <c r="AL380" s="63"/>
      <c r="AM380" s="63"/>
      <c r="AN380" s="64"/>
      <c r="AO380" s="63"/>
      <c r="AP380" s="60"/>
      <c r="AR380" s="60"/>
      <c r="AS380" s="62"/>
      <c r="AW380" s="60"/>
      <c r="AZ380" s="60"/>
      <c r="BC380" s="60"/>
      <c r="BK380" s="60"/>
      <c r="BL380" s="60"/>
      <c r="BM380" s="60"/>
      <c r="BN380" s="60"/>
      <c r="BO380" s="60"/>
      <c r="BR380" s="60"/>
      <c r="BS380" s="65"/>
      <c r="BU380" s="60"/>
      <c r="CF380" s="66"/>
      <c r="CP380" s="30"/>
    </row>
    <row r="381" spans="1:94" x14ac:dyDescent="0.3">
      <c r="A381" s="13">
        <v>318</v>
      </c>
      <c r="B381" s="5" t="s">
        <v>2</v>
      </c>
      <c r="C381" s="5" t="s">
        <v>1</v>
      </c>
      <c r="D381" s="5" t="s">
        <v>4</v>
      </c>
      <c r="E381" s="5">
        <v>1</v>
      </c>
      <c r="F381" s="5" t="s">
        <v>7</v>
      </c>
      <c r="G381" s="5">
        <v>7.01</v>
      </c>
      <c r="H381" s="5">
        <v>2</v>
      </c>
      <c r="I381" s="5">
        <v>13.073</v>
      </c>
      <c r="J381" s="5">
        <v>6.0209999999999999</v>
      </c>
      <c r="K381" s="5">
        <v>53.943241796068229</v>
      </c>
      <c r="L381" s="5">
        <v>14.10841654778887</v>
      </c>
      <c r="M381" s="7">
        <f t="shared" si="40"/>
        <v>0.84523152312413319</v>
      </c>
      <c r="N381" s="5">
        <v>47.98</v>
      </c>
      <c r="O381" s="5">
        <v>1.194</v>
      </c>
      <c r="P381" s="5">
        <v>7.4630000000000001</v>
      </c>
      <c r="Q381" s="5">
        <v>1.5109999999999999</v>
      </c>
      <c r="R381" s="5">
        <v>1.6830000000000001</v>
      </c>
      <c r="AF381" s="60"/>
      <c r="AG381" s="61"/>
      <c r="AJ381" s="60"/>
      <c r="AK381" s="62"/>
      <c r="AL381" s="63"/>
      <c r="AM381" s="63"/>
      <c r="AN381" s="64"/>
      <c r="AO381" s="63"/>
      <c r="AP381" s="60"/>
      <c r="AR381" s="60"/>
      <c r="AS381" s="62"/>
      <c r="AW381" s="60"/>
      <c r="AZ381" s="60"/>
      <c r="BC381" s="60"/>
      <c r="BK381" s="60"/>
      <c r="BL381" s="60"/>
      <c r="BM381" s="60"/>
      <c r="BN381" s="60"/>
      <c r="BO381" s="60"/>
      <c r="BR381" s="60"/>
      <c r="BS381" s="65"/>
      <c r="BU381" s="60"/>
      <c r="CF381" s="66"/>
      <c r="CP381" s="30"/>
    </row>
    <row r="382" spans="1:94" x14ac:dyDescent="0.3">
      <c r="A382" s="13">
        <v>328</v>
      </c>
      <c r="B382" s="5" t="s">
        <v>2</v>
      </c>
      <c r="C382" s="5" t="s">
        <v>14</v>
      </c>
      <c r="D382" s="5" t="s">
        <v>4</v>
      </c>
      <c r="E382" s="5">
        <v>5</v>
      </c>
      <c r="F382" s="5" t="s">
        <v>7</v>
      </c>
      <c r="G382" s="5">
        <v>7</v>
      </c>
      <c r="H382" s="5">
        <v>2</v>
      </c>
      <c r="I382" s="5">
        <v>10.896000000000001</v>
      </c>
      <c r="J382" s="5">
        <v>6.0419999999999998</v>
      </c>
      <c r="K382" s="5">
        <v>44.548458149779741</v>
      </c>
      <c r="L382" s="5">
        <v>13.685714285714287</v>
      </c>
      <c r="M382" s="7">
        <f t="shared" si="40"/>
        <v>0.84032224665077837</v>
      </c>
      <c r="N382" s="5">
        <v>48.08</v>
      </c>
      <c r="O382" s="5">
        <v>1.1339999999999999</v>
      </c>
      <c r="P382" s="5">
        <v>7.0880000000000001</v>
      </c>
      <c r="Q382" s="5">
        <v>2.512</v>
      </c>
      <c r="R382" s="5">
        <v>2.6739999999999999</v>
      </c>
      <c r="AF382" s="60"/>
      <c r="AG382" s="61"/>
      <c r="AJ382" s="60"/>
      <c r="AK382" s="62"/>
      <c r="AL382" s="63"/>
      <c r="AM382" s="63"/>
      <c r="AN382" s="64"/>
      <c r="AO382" s="63"/>
      <c r="AP382" s="60"/>
      <c r="AR382" s="60"/>
      <c r="AS382" s="62"/>
      <c r="AW382" s="60"/>
      <c r="AZ382" s="60"/>
      <c r="BC382" s="60"/>
      <c r="BK382" s="60"/>
      <c r="BL382" s="60"/>
      <c r="BM382" s="60"/>
      <c r="BN382" s="60"/>
      <c r="BO382" s="60"/>
      <c r="BR382" s="60"/>
      <c r="BS382" s="65"/>
      <c r="BU382" s="60"/>
      <c r="CF382" s="66"/>
      <c r="CP382" s="30"/>
    </row>
    <row r="383" spans="1:94" x14ac:dyDescent="0.3">
      <c r="A383" s="13">
        <v>331</v>
      </c>
      <c r="B383" s="5" t="s">
        <v>2</v>
      </c>
      <c r="C383" s="5" t="s">
        <v>1</v>
      </c>
      <c r="D383" s="5" t="s">
        <v>4</v>
      </c>
      <c r="E383" s="5">
        <v>4</v>
      </c>
      <c r="F383" s="5" t="s">
        <v>7</v>
      </c>
      <c r="G383" s="5">
        <v>7.1</v>
      </c>
      <c r="H383" s="5">
        <v>2</v>
      </c>
      <c r="I383" s="5">
        <v>22.95</v>
      </c>
      <c r="J383" s="5">
        <v>5.641</v>
      </c>
      <c r="K383" s="5">
        <v>75.420479302832234</v>
      </c>
      <c r="L383" s="5">
        <v>20.549295774647884</v>
      </c>
      <c r="M383" s="7">
        <f t="shared" si="40"/>
        <v>0.92318060984937589</v>
      </c>
      <c r="N383" s="5">
        <v>47.91</v>
      </c>
      <c r="O383" s="5">
        <v>1.0840000000000001</v>
      </c>
      <c r="P383" s="5">
        <v>6.7720000000000002</v>
      </c>
      <c r="Q383" s="5">
        <v>1.0209999999999999</v>
      </c>
      <c r="R383" s="5">
        <v>1.111</v>
      </c>
      <c r="AF383" s="60"/>
      <c r="AG383" s="61"/>
      <c r="AJ383" s="60"/>
      <c r="AK383" s="62"/>
      <c r="AL383" s="63"/>
      <c r="AM383" s="63"/>
      <c r="AN383" s="64"/>
      <c r="AO383" s="63"/>
      <c r="AP383" s="60"/>
      <c r="AR383" s="60"/>
      <c r="AS383" s="62"/>
      <c r="AW383" s="60"/>
      <c r="AZ383" s="60"/>
      <c r="BC383" s="60"/>
      <c r="BK383" s="60"/>
      <c r="BL383" s="60"/>
      <c r="BM383" s="60"/>
      <c r="BN383" s="60"/>
      <c r="BO383" s="60"/>
      <c r="BR383" s="60"/>
      <c r="BS383" s="65"/>
      <c r="BU383" s="60"/>
      <c r="CF383" s="66"/>
      <c r="CP383" s="30"/>
    </row>
    <row r="384" spans="1:94" x14ac:dyDescent="0.3">
      <c r="A384" s="13">
        <v>332</v>
      </c>
      <c r="B384" s="5" t="s">
        <v>2</v>
      </c>
      <c r="C384" s="5" t="s">
        <v>14</v>
      </c>
      <c r="D384" s="5" t="s">
        <v>4</v>
      </c>
      <c r="E384" s="5">
        <v>1</v>
      </c>
      <c r="F384" s="5" t="s">
        <v>7</v>
      </c>
      <c r="G384" s="5">
        <v>6.99</v>
      </c>
      <c r="H384" s="5">
        <v>2</v>
      </c>
      <c r="I384" s="5">
        <v>11.117000000000001</v>
      </c>
      <c r="J384" s="5">
        <v>5.9320000000000004</v>
      </c>
      <c r="K384" s="5">
        <v>46.640280651254834</v>
      </c>
      <c r="L384" s="5">
        <v>15.135908440629468</v>
      </c>
      <c r="M384" s="7">
        <f t="shared" si="40"/>
        <v>0.85726631252997842</v>
      </c>
      <c r="N384" s="5">
        <v>47.89</v>
      </c>
      <c r="O384" s="5">
        <v>1.1519999999999999</v>
      </c>
      <c r="P384" s="5">
        <v>7.1970000000000001</v>
      </c>
      <c r="Q384" s="5">
        <v>1.8240000000000001</v>
      </c>
      <c r="R384" s="5">
        <v>1.86</v>
      </c>
      <c r="AF384" s="60"/>
      <c r="AG384" s="61"/>
      <c r="AJ384" s="60"/>
      <c r="AK384" s="62"/>
      <c r="AL384" s="63"/>
      <c r="AM384" s="63"/>
      <c r="AN384" s="64"/>
      <c r="AO384" s="63"/>
      <c r="AP384" s="60"/>
      <c r="AR384" s="60"/>
      <c r="AS384" s="62"/>
      <c r="AW384" s="60"/>
      <c r="AZ384" s="60"/>
      <c r="BC384" s="60"/>
      <c r="BK384" s="60"/>
      <c r="BL384" s="60"/>
      <c r="BM384" s="60"/>
      <c r="BN384" s="60"/>
      <c r="BO384" s="60"/>
      <c r="BR384" s="60"/>
      <c r="BS384" s="65"/>
      <c r="BU384" s="60"/>
      <c r="CF384" s="66"/>
      <c r="CP384" s="30"/>
    </row>
    <row r="385" spans="1:94" x14ac:dyDescent="0.3">
      <c r="A385" s="13">
        <v>333</v>
      </c>
      <c r="B385" s="5" t="s">
        <v>2</v>
      </c>
      <c r="C385" s="5" t="s">
        <v>14</v>
      </c>
      <c r="D385" s="5" t="s">
        <v>4</v>
      </c>
      <c r="E385" s="5">
        <v>2</v>
      </c>
      <c r="F385" s="5" t="s">
        <v>7</v>
      </c>
      <c r="G385" s="5">
        <v>6.95</v>
      </c>
      <c r="H385" s="5">
        <v>2</v>
      </c>
      <c r="I385" s="5">
        <v>7.65</v>
      </c>
      <c r="J385" s="5">
        <v>5.8369999999999997</v>
      </c>
      <c r="K385" s="5">
        <v>23.699346405228766</v>
      </c>
      <c r="L385" s="5">
        <v>16.014388489208638</v>
      </c>
      <c r="M385" s="7">
        <f t="shared" si="40"/>
        <v>0.86767187391499223</v>
      </c>
      <c r="N385" s="5">
        <v>47.98</v>
      </c>
      <c r="O385" s="5">
        <v>1.083</v>
      </c>
      <c r="P385" s="5">
        <v>6.7720000000000002</v>
      </c>
      <c r="Q385" s="5">
        <v>1.569</v>
      </c>
      <c r="R385" s="5">
        <v>1.9019999999999999</v>
      </c>
      <c r="AF385" s="60"/>
      <c r="AG385" s="61"/>
      <c r="AJ385" s="60"/>
      <c r="AK385" s="62"/>
      <c r="AL385" s="63"/>
      <c r="AM385" s="63"/>
      <c r="AN385" s="64"/>
      <c r="AO385" s="63"/>
      <c r="AP385" s="60"/>
      <c r="AR385" s="60"/>
      <c r="AS385" s="62"/>
      <c r="AW385" s="60"/>
      <c r="AZ385" s="60"/>
      <c r="BC385" s="60"/>
      <c r="BK385" s="60"/>
      <c r="BL385" s="60"/>
      <c r="BM385" s="60"/>
      <c r="BN385" s="60"/>
      <c r="BO385" s="60"/>
      <c r="BR385" s="60"/>
      <c r="BS385" s="65"/>
      <c r="BU385" s="60"/>
      <c r="CF385" s="66"/>
      <c r="CP385" s="30"/>
    </row>
    <row r="386" spans="1:94" x14ac:dyDescent="0.3">
      <c r="A386" s="13">
        <v>336</v>
      </c>
      <c r="B386" s="5" t="s">
        <v>2</v>
      </c>
      <c r="C386" s="5" t="s">
        <v>1</v>
      </c>
      <c r="D386" s="5" t="s">
        <v>4</v>
      </c>
      <c r="E386" s="5">
        <v>3</v>
      </c>
      <c r="F386" s="5" t="s">
        <v>7</v>
      </c>
      <c r="G386" s="5">
        <v>7.04</v>
      </c>
      <c r="H386" s="5">
        <v>2</v>
      </c>
      <c r="I386" s="5">
        <v>10.087999999999999</v>
      </c>
      <c r="J386" s="5">
        <v>6.1020000000000003</v>
      </c>
      <c r="K386" s="5">
        <v>39.512291831879452</v>
      </c>
      <c r="L386" s="5">
        <v>13.323863636363633</v>
      </c>
      <c r="M386" s="7">
        <f t="shared" ref="M386:M449" si="41">-LN((J386/G386)/H386)</f>
        <v>0.83613876443541835</v>
      </c>
      <c r="N386" s="5">
        <v>47.33</v>
      </c>
      <c r="O386" s="5">
        <v>0.83599999999999997</v>
      </c>
      <c r="P386" s="5">
        <v>5.2249999999999996</v>
      </c>
      <c r="Q386" s="5">
        <v>2.5489999999999999</v>
      </c>
      <c r="R386" s="5">
        <v>2.1880000000000002</v>
      </c>
      <c r="AF386" s="60"/>
      <c r="AG386" s="61"/>
      <c r="AJ386" s="60"/>
      <c r="AK386" s="62"/>
      <c r="AL386" s="63"/>
      <c r="AM386" s="63"/>
      <c r="AN386" s="64"/>
      <c r="AO386" s="63"/>
      <c r="AP386" s="60"/>
      <c r="AR386" s="60"/>
      <c r="AS386" s="62"/>
      <c r="AW386" s="60"/>
      <c r="AZ386" s="60"/>
      <c r="BC386" s="60"/>
      <c r="BK386" s="60"/>
      <c r="BL386" s="60"/>
      <c r="BM386" s="60"/>
      <c r="BN386" s="60"/>
      <c r="BO386" s="60"/>
      <c r="BR386" s="60"/>
      <c r="BS386" s="65"/>
      <c r="BU386" s="60"/>
      <c r="CF386" s="66"/>
      <c r="CP386" s="30"/>
    </row>
    <row r="387" spans="1:94" x14ac:dyDescent="0.3">
      <c r="A387" s="13">
        <v>338</v>
      </c>
      <c r="B387" s="5" t="s">
        <v>2</v>
      </c>
      <c r="C387" s="5" t="s">
        <v>1</v>
      </c>
      <c r="D387" s="5" t="s">
        <v>4</v>
      </c>
      <c r="E387" s="5">
        <v>2</v>
      </c>
      <c r="F387" s="5" t="s">
        <v>7</v>
      </c>
      <c r="G387" s="5">
        <v>6.99</v>
      </c>
      <c r="H387" s="5">
        <v>2</v>
      </c>
      <c r="I387" s="5">
        <v>10.733000000000001</v>
      </c>
      <c r="J387" s="5">
        <v>5.9290000000000003</v>
      </c>
      <c r="K387" s="5">
        <v>44.759154010994131</v>
      </c>
      <c r="L387" s="5">
        <v>15.178826895565093</v>
      </c>
      <c r="M387" s="7">
        <f t="shared" si="41"/>
        <v>0.85777217208043355</v>
      </c>
      <c r="N387" s="5">
        <v>48.52</v>
      </c>
      <c r="O387" s="5">
        <v>0.83699999999999997</v>
      </c>
      <c r="P387" s="5">
        <v>5.2329999999999997</v>
      </c>
      <c r="Q387" s="5">
        <v>2.7040000000000002</v>
      </c>
      <c r="R387" s="5">
        <v>1.7629999999999999</v>
      </c>
      <c r="AF387" s="60"/>
      <c r="AG387" s="61"/>
      <c r="AJ387" s="60"/>
      <c r="AK387" s="62"/>
      <c r="AL387" s="63"/>
      <c r="AM387" s="63"/>
      <c r="AN387" s="64"/>
      <c r="AO387" s="63"/>
      <c r="AP387" s="60"/>
      <c r="AR387" s="60"/>
      <c r="AS387" s="62"/>
      <c r="AW387" s="60"/>
      <c r="AZ387" s="60"/>
      <c r="BC387" s="60"/>
      <c r="BK387" s="60"/>
      <c r="BL387" s="60"/>
      <c r="BM387" s="60"/>
      <c r="BN387" s="60"/>
      <c r="BO387" s="60"/>
      <c r="BR387" s="60"/>
      <c r="BS387" s="65"/>
      <c r="BU387" s="60"/>
      <c r="CF387" s="66"/>
      <c r="CP387" s="30"/>
    </row>
    <row r="388" spans="1:94" x14ac:dyDescent="0.3">
      <c r="A388" s="13">
        <v>347</v>
      </c>
      <c r="B388" s="5" t="s">
        <v>2</v>
      </c>
      <c r="C388" s="5" t="s">
        <v>14</v>
      </c>
      <c r="D388" s="5" t="s">
        <v>4</v>
      </c>
      <c r="E388" s="5">
        <v>3</v>
      </c>
      <c r="F388" s="5" t="s">
        <v>7</v>
      </c>
      <c r="G388" s="5">
        <v>7.03</v>
      </c>
      <c r="H388" s="5">
        <v>2</v>
      </c>
      <c r="I388" s="5">
        <v>8.5749999999999993</v>
      </c>
      <c r="J388" s="5">
        <v>6.02</v>
      </c>
      <c r="K388" s="5">
        <v>29.795918367346935</v>
      </c>
      <c r="L388" s="5">
        <v>14.366998577524903</v>
      </c>
      <c r="M388" s="7">
        <f t="shared" si="41"/>
        <v>0.84824662706178933</v>
      </c>
      <c r="N388" s="5">
        <v>45.53</v>
      </c>
      <c r="O388" s="5">
        <v>0.88400000000000001</v>
      </c>
      <c r="P388" s="5">
        <v>5.5229999999999997</v>
      </c>
      <c r="Q388" s="5">
        <v>2.7410000000000001</v>
      </c>
      <c r="R388" s="5">
        <v>2.08</v>
      </c>
      <c r="AF388" s="60"/>
      <c r="AG388" s="61"/>
      <c r="AJ388" s="60"/>
      <c r="AK388" s="62"/>
      <c r="AL388" s="63"/>
      <c r="AM388" s="63"/>
      <c r="AN388" s="64"/>
      <c r="AO388" s="63"/>
      <c r="AP388" s="60"/>
      <c r="AR388" s="60"/>
      <c r="AS388" s="62"/>
      <c r="AW388" s="60"/>
      <c r="AZ388" s="60"/>
      <c r="BC388" s="60"/>
      <c r="BK388" s="60"/>
      <c r="BL388" s="60"/>
      <c r="BM388" s="60"/>
      <c r="BN388" s="60"/>
      <c r="BO388" s="60"/>
      <c r="BR388" s="60"/>
      <c r="BS388" s="65"/>
      <c r="BU388" s="60"/>
      <c r="CF388" s="66"/>
      <c r="CP388" s="30"/>
    </row>
    <row r="389" spans="1:94" x14ac:dyDescent="0.3">
      <c r="A389" s="13">
        <v>424</v>
      </c>
      <c r="B389" s="5" t="s">
        <v>2</v>
      </c>
      <c r="C389" s="5" t="s">
        <v>1</v>
      </c>
      <c r="D389" s="5" t="s">
        <v>5</v>
      </c>
      <c r="E389" s="5">
        <v>3</v>
      </c>
      <c r="F389" s="5" t="s">
        <v>7</v>
      </c>
      <c r="G389" s="5">
        <v>7.06</v>
      </c>
      <c r="H389" s="5">
        <v>2</v>
      </c>
      <c r="I389" s="5">
        <v>13.27</v>
      </c>
      <c r="J389" s="5">
        <v>5.87</v>
      </c>
      <c r="K389" s="5">
        <v>55.764883195177084</v>
      </c>
      <c r="L389" s="5">
        <v>16.855524079320109</v>
      </c>
      <c r="M389" s="7">
        <f t="shared" si="41"/>
        <v>0.8777375982250909</v>
      </c>
      <c r="N389" s="5">
        <v>47.78</v>
      </c>
      <c r="O389" s="5">
        <v>0.83299999999999996</v>
      </c>
      <c r="P389" s="5">
        <v>5.2039999999999997</v>
      </c>
      <c r="Q389" s="5">
        <v>1.212</v>
      </c>
      <c r="R389" s="5">
        <v>2.0459999999999998</v>
      </c>
      <c r="AF389" s="60"/>
      <c r="AG389" s="61"/>
      <c r="AJ389" s="60"/>
      <c r="AK389" s="62"/>
      <c r="AL389" s="63"/>
      <c r="AM389" s="63"/>
      <c r="AN389" s="64"/>
      <c r="AO389" s="63"/>
      <c r="AP389" s="60"/>
      <c r="AR389" s="60"/>
      <c r="AS389" s="62"/>
      <c r="AW389" s="60"/>
      <c r="AZ389" s="60"/>
      <c r="BC389" s="60"/>
      <c r="BK389" s="60"/>
      <c r="BL389" s="60"/>
      <c r="BM389" s="60"/>
      <c r="BN389" s="60"/>
      <c r="BO389" s="60"/>
      <c r="BR389" s="60"/>
      <c r="BS389" s="65"/>
      <c r="BU389" s="60"/>
      <c r="CF389" s="66"/>
      <c r="CP389" s="30"/>
    </row>
    <row r="390" spans="1:94" x14ac:dyDescent="0.3">
      <c r="A390" s="13">
        <v>438</v>
      </c>
      <c r="B390" s="5" t="s">
        <v>2</v>
      </c>
      <c r="C390" s="5" t="s">
        <v>14</v>
      </c>
      <c r="D390" s="5" t="s">
        <v>5</v>
      </c>
      <c r="E390" s="5">
        <v>1</v>
      </c>
      <c r="F390" s="5" t="s">
        <v>7</v>
      </c>
      <c r="G390" s="5">
        <v>7.06</v>
      </c>
      <c r="H390" s="5">
        <v>2</v>
      </c>
      <c r="I390" s="5">
        <v>13.949</v>
      </c>
      <c r="J390" s="5">
        <v>6.1269999999999998</v>
      </c>
      <c r="K390" s="5">
        <v>56.075704351566422</v>
      </c>
      <c r="L390" s="5">
        <v>13.215297450424929</v>
      </c>
      <c r="M390" s="7">
        <f t="shared" si="41"/>
        <v>0.83488699832157842</v>
      </c>
      <c r="N390" s="5">
        <v>47.41</v>
      </c>
      <c r="O390" s="5">
        <v>0.81399999999999995</v>
      </c>
      <c r="P390" s="5">
        <v>5.09</v>
      </c>
      <c r="Q390" s="5">
        <v>1.319</v>
      </c>
      <c r="R390" s="5">
        <v>2.09</v>
      </c>
      <c r="AF390" s="60"/>
      <c r="AG390" s="61"/>
      <c r="AJ390" s="60"/>
      <c r="AK390" s="62"/>
      <c r="AL390" s="63"/>
      <c r="AM390" s="63"/>
      <c r="AN390" s="64"/>
      <c r="AO390" s="63"/>
      <c r="AP390" s="60"/>
      <c r="AR390" s="60"/>
      <c r="AS390" s="62"/>
      <c r="AW390" s="60"/>
      <c r="AZ390" s="60"/>
      <c r="BC390" s="60"/>
      <c r="BK390" s="60"/>
      <c r="BL390" s="60"/>
      <c r="BM390" s="60"/>
      <c r="BN390" s="60"/>
      <c r="BO390" s="60"/>
      <c r="BR390" s="60"/>
      <c r="BS390" s="65"/>
      <c r="BU390" s="60"/>
      <c r="CF390" s="66"/>
      <c r="CP390" s="30"/>
    </row>
    <row r="391" spans="1:94" x14ac:dyDescent="0.3">
      <c r="A391" s="13">
        <v>441</v>
      </c>
      <c r="B391" s="5" t="s">
        <v>2</v>
      </c>
      <c r="C391" s="5" t="s">
        <v>1</v>
      </c>
      <c r="D391" s="5" t="s">
        <v>5</v>
      </c>
      <c r="E391" s="5">
        <v>2</v>
      </c>
      <c r="F391" s="5" t="s">
        <v>7</v>
      </c>
      <c r="G391" s="5">
        <v>6.93</v>
      </c>
      <c r="H391" s="5">
        <v>2</v>
      </c>
      <c r="I391" s="5">
        <v>10.811999999999999</v>
      </c>
      <c r="J391" s="5">
        <v>5.8639999999999999</v>
      </c>
      <c r="K391" s="5">
        <v>45.763965963743985</v>
      </c>
      <c r="L391" s="5">
        <v>15.38239538239538</v>
      </c>
      <c r="M391" s="7">
        <f t="shared" si="41"/>
        <v>0.86017502917740674</v>
      </c>
      <c r="N391" s="5">
        <v>46.82</v>
      </c>
      <c r="O391" s="5">
        <v>0.77300000000000002</v>
      </c>
      <c r="P391" s="5">
        <v>4.8319999999999999</v>
      </c>
      <c r="Q391" s="5">
        <v>0.85099999999999998</v>
      </c>
      <c r="R391" s="5">
        <v>0.88100000000000001</v>
      </c>
      <c r="AF391" s="60"/>
      <c r="AG391" s="61"/>
      <c r="AJ391" s="60"/>
      <c r="AK391" s="62"/>
      <c r="AL391" s="63"/>
      <c r="AM391" s="63"/>
      <c r="AN391" s="64"/>
      <c r="AO391" s="63"/>
      <c r="AP391" s="60"/>
      <c r="AR391" s="60"/>
      <c r="AS391" s="62"/>
      <c r="AW391" s="60"/>
      <c r="AZ391" s="60"/>
      <c r="BC391" s="60"/>
      <c r="BK391" s="60"/>
      <c r="BL391" s="60"/>
      <c r="BM391" s="60"/>
      <c r="BN391" s="60"/>
      <c r="BO391" s="60"/>
      <c r="BR391" s="60"/>
      <c r="BS391" s="65"/>
      <c r="BU391" s="60"/>
      <c r="CF391" s="66"/>
      <c r="CP391" s="30"/>
    </row>
    <row r="392" spans="1:94" x14ac:dyDescent="0.3">
      <c r="A392" s="13">
        <v>444</v>
      </c>
      <c r="B392" s="5" t="s">
        <v>2</v>
      </c>
      <c r="C392" s="5" t="s">
        <v>14</v>
      </c>
      <c r="D392" s="5" t="s">
        <v>5</v>
      </c>
      <c r="E392" s="5">
        <v>5</v>
      </c>
      <c r="F392" s="5" t="s">
        <v>7</v>
      </c>
      <c r="G392" s="5">
        <v>6.99</v>
      </c>
      <c r="H392" s="5">
        <v>2</v>
      </c>
      <c r="I392" s="5">
        <v>11.935</v>
      </c>
      <c r="J392" s="5">
        <v>6.2009999999999996</v>
      </c>
      <c r="K392" s="5">
        <v>48.043569333891924</v>
      </c>
      <c r="L392" s="5">
        <v>11.287553648068679</v>
      </c>
      <c r="M392" s="7">
        <f t="shared" si="41"/>
        <v>0.81291716743792342</v>
      </c>
      <c r="N392" s="5">
        <v>47.66</v>
      </c>
      <c r="O392" s="5">
        <v>0.66600000000000004</v>
      </c>
      <c r="P392" s="5">
        <v>4.1630000000000003</v>
      </c>
      <c r="Q392" s="5">
        <v>0.71399999999999997</v>
      </c>
      <c r="R392" s="5">
        <v>1.4139999999999999</v>
      </c>
      <c r="AF392" s="60"/>
      <c r="AG392" s="61"/>
      <c r="AJ392" s="60"/>
      <c r="AK392" s="62"/>
      <c r="AL392" s="63"/>
      <c r="AM392" s="63"/>
      <c r="AN392" s="64"/>
      <c r="AO392" s="63"/>
      <c r="AP392" s="60"/>
      <c r="AR392" s="60"/>
      <c r="AS392" s="62"/>
      <c r="AW392" s="60"/>
      <c r="AZ392" s="60"/>
      <c r="BC392" s="60"/>
      <c r="BK392" s="60"/>
      <c r="BL392" s="60"/>
      <c r="BM392" s="60"/>
      <c r="BN392" s="60"/>
      <c r="BO392" s="60"/>
      <c r="BR392" s="60"/>
      <c r="BS392" s="65"/>
      <c r="BU392" s="60"/>
      <c r="CF392" s="66"/>
      <c r="CP392" s="30"/>
    </row>
    <row r="393" spans="1:94" x14ac:dyDescent="0.3">
      <c r="A393" s="13">
        <v>445</v>
      </c>
      <c r="B393" s="5" t="s">
        <v>2</v>
      </c>
      <c r="C393" s="5" t="s">
        <v>14</v>
      </c>
      <c r="D393" s="5" t="s">
        <v>5</v>
      </c>
      <c r="E393" s="5">
        <v>4</v>
      </c>
      <c r="F393" s="5" t="s">
        <v>7</v>
      </c>
      <c r="G393" s="5">
        <v>7.03</v>
      </c>
      <c r="H393" s="5">
        <v>2</v>
      </c>
      <c r="I393" s="5">
        <v>10.113</v>
      </c>
      <c r="J393" s="5">
        <v>6.1230000000000002</v>
      </c>
      <c r="K393" s="5">
        <v>39.454167902699488</v>
      </c>
      <c r="L393" s="5">
        <v>12.901849217638691</v>
      </c>
      <c r="M393" s="7">
        <f t="shared" si="41"/>
        <v>0.83128171388670147</v>
      </c>
      <c r="N393" s="5">
        <v>47.63</v>
      </c>
      <c r="O393" s="5">
        <v>0.82199999999999995</v>
      </c>
      <c r="P393" s="5">
        <v>5.1390000000000002</v>
      </c>
      <c r="Q393" s="5">
        <v>1.2190000000000001</v>
      </c>
      <c r="R393" s="5">
        <v>1.5820000000000001</v>
      </c>
      <c r="AF393" s="60"/>
      <c r="AG393" s="61"/>
      <c r="AJ393" s="60"/>
      <c r="AK393" s="62"/>
      <c r="AL393" s="63"/>
      <c r="AM393" s="63"/>
      <c r="AN393" s="64"/>
      <c r="AO393" s="63"/>
      <c r="AP393" s="60"/>
      <c r="AR393" s="60"/>
      <c r="AS393" s="62"/>
      <c r="AW393" s="60"/>
      <c r="AZ393" s="60"/>
      <c r="BC393" s="60"/>
      <c r="BK393" s="60"/>
      <c r="BL393" s="60"/>
      <c r="BM393" s="60"/>
      <c r="BN393" s="60"/>
      <c r="BO393" s="60"/>
      <c r="BR393" s="60"/>
      <c r="BS393" s="65"/>
      <c r="BU393" s="60"/>
      <c r="CF393" s="66"/>
      <c r="CP393" s="30"/>
    </row>
    <row r="394" spans="1:94" x14ac:dyDescent="0.3">
      <c r="A394" s="13">
        <v>453</v>
      </c>
      <c r="B394" s="5" t="s">
        <v>2</v>
      </c>
      <c r="C394" s="5" t="s">
        <v>1</v>
      </c>
      <c r="D394" s="5" t="s">
        <v>5</v>
      </c>
      <c r="E394" s="5">
        <v>4</v>
      </c>
      <c r="F394" s="5" t="s">
        <v>7</v>
      </c>
      <c r="G394" s="5">
        <v>7.03</v>
      </c>
      <c r="H394" s="5">
        <v>2</v>
      </c>
      <c r="I394" s="5">
        <v>12.708</v>
      </c>
      <c r="J394" s="5">
        <v>6.0739999999999998</v>
      </c>
      <c r="K394" s="5">
        <v>52.203336480956878</v>
      </c>
      <c r="L394" s="5">
        <v>13.598862019914657</v>
      </c>
      <c r="M394" s="7">
        <f t="shared" si="41"/>
        <v>0.83931651975896193</v>
      </c>
      <c r="N394" s="5">
        <v>47.93</v>
      </c>
      <c r="O394" s="5">
        <v>0.878</v>
      </c>
      <c r="P394" s="5">
        <v>5.4859999999999998</v>
      </c>
      <c r="Q394" s="5">
        <v>0.99399999999999999</v>
      </c>
      <c r="R394" s="5">
        <v>1.4079999999999999</v>
      </c>
      <c r="AF394" s="60"/>
      <c r="AG394" s="61"/>
      <c r="AJ394" s="60"/>
      <c r="AK394" s="62"/>
      <c r="AL394" s="63"/>
      <c r="AM394" s="63"/>
      <c r="AN394" s="64"/>
      <c r="AO394" s="63"/>
      <c r="AP394" s="60"/>
      <c r="AR394" s="60"/>
      <c r="AS394" s="62"/>
      <c r="AW394" s="60"/>
      <c r="AZ394" s="60"/>
      <c r="BC394" s="60"/>
      <c r="BK394" s="60"/>
      <c r="BL394" s="60"/>
      <c r="BM394" s="60"/>
      <c r="BN394" s="60"/>
      <c r="BO394" s="60"/>
      <c r="BR394" s="60"/>
      <c r="BS394" s="65"/>
      <c r="BU394" s="60"/>
      <c r="CF394" s="66"/>
      <c r="CP394" s="30"/>
    </row>
    <row r="395" spans="1:94" x14ac:dyDescent="0.3">
      <c r="A395" s="13">
        <v>460</v>
      </c>
      <c r="B395" s="5" t="s">
        <v>2</v>
      </c>
      <c r="C395" s="5" t="s">
        <v>1</v>
      </c>
      <c r="D395" s="5" t="s">
        <v>5</v>
      </c>
      <c r="E395" s="5">
        <v>5</v>
      </c>
      <c r="F395" s="5" t="s">
        <v>7</v>
      </c>
      <c r="G395" s="5">
        <v>6.99</v>
      </c>
      <c r="H395" s="5">
        <v>2</v>
      </c>
      <c r="I395" s="5">
        <v>14.095000000000001</v>
      </c>
      <c r="J395" s="5">
        <v>5.9580000000000002</v>
      </c>
      <c r="K395" s="5">
        <v>57.729691379921952</v>
      </c>
      <c r="L395" s="5">
        <v>14.763948497854077</v>
      </c>
      <c r="M395" s="7">
        <f t="shared" si="41"/>
        <v>0.85289288251457362</v>
      </c>
      <c r="N395" s="5">
        <v>47.57</v>
      </c>
      <c r="O395" s="5">
        <v>0.85099999999999998</v>
      </c>
      <c r="P395" s="5">
        <v>5.3209999999999997</v>
      </c>
      <c r="Q395" s="5">
        <v>0.83</v>
      </c>
      <c r="R395" s="5">
        <v>1.4079999999999999</v>
      </c>
      <c r="AF395" s="60"/>
      <c r="AG395" s="61"/>
      <c r="AJ395" s="60"/>
      <c r="AK395" s="62"/>
      <c r="AL395" s="63"/>
      <c r="AM395" s="63"/>
      <c r="AN395" s="64"/>
      <c r="AO395" s="63"/>
      <c r="AP395" s="60"/>
      <c r="AR395" s="60"/>
      <c r="AS395" s="62"/>
      <c r="AW395" s="60"/>
      <c r="AZ395" s="60"/>
      <c r="BC395" s="60"/>
      <c r="BK395" s="60"/>
      <c r="BL395" s="60"/>
      <c r="BM395" s="60"/>
      <c r="BN395" s="60"/>
      <c r="BO395" s="60"/>
      <c r="BR395" s="60"/>
      <c r="BS395" s="65"/>
      <c r="BU395" s="60"/>
      <c r="CF395" s="66"/>
      <c r="CP395" s="30"/>
    </row>
    <row r="396" spans="1:94" x14ac:dyDescent="0.3">
      <c r="A396" s="13">
        <v>469</v>
      </c>
      <c r="B396" s="5" t="s">
        <v>2</v>
      </c>
      <c r="C396" s="5" t="s">
        <v>14</v>
      </c>
      <c r="D396" s="5" t="s">
        <v>5</v>
      </c>
      <c r="E396" s="5">
        <v>2</v>
      </c>
      <c r="F396" s="5" t="s">
        <v>7</v>
      </c>
      <c r="G396" s="5">
        <v>6.95</v>
      </c>
      <c r="H396" s="5">
        <v>2</v>
      </c>
      <c r="I396" s="5">
        <v>9.36</v>
      </c>
      <c r="J396" s="5">
        <v>5.9820000000000002</v>
      </c>
      <c r="K396" s="5">
        <v>36.089743589743584</v>
      </c>
      <c r="L396" s="5">
        <v>13.928057553956833</v>
      </c>
      <c r="M396" s="7">
        <f t="shared" si="41"/>
        <v>0.84313387992888977</v>
      </c>
      <c r="N396" s="5">
        <v>49</v>
      </c>
      <c r="O396" s="5">
        <v>0.82</v>
      </c>
      <c r="P396" s="5">
        <v>5.1269999999999998</v>
      </c>
      <c r="Q396" s="5">
        <v>0.749</v>
      </c>
      <c r="R396" s="5">
        <v>1.1279999999999999</v>
      </c>
      <c r="AF396" s="60"/>
      <c r="AG396" s="61"/>
      <c r="AJ396" s="60"/>
      <c r="AK396" s="62"/>
      <c r="AL396" s="63"/>
      <c r="AM396" s="63"/>
      <c r="AN396" s="64"/>
      <c r="AO396" s="63"/>
      <c r="AP396" s="60"/>
      <c r="AR396" s="60"/>
      <c r="AS396" s="62"/>
      <c r="AW396" s="60"/>
      <c r="AZ396" s="60"/>
      <c r="BC396" s="60"/>
      <c r="BK396" s="60"/>
      <c r="BL396" s="60"/>
      <c r="BM396" s="60"/>
      <c r="BN396" s="60"/>
      <c r="BO396" s="60"/>
      <c r="BR396" s="60"/>
      <c r="BS396" s="65"/>
      <c r="BU396" s="60"/>
      <c r="CF396" s="66"/>
      <c r="CP396" s="30"/>
    </row>
    <row r="397" spans="1:94" x14ac:dyDescent="0.3">
      <c r="A397" s="13">
        <v>471</v>
      </c>
      <c r="B397" s="5" t="s">
        <v>2</v>
      </c>
      <c r="C397" s="5" t="s">
        <v>1</v>
      </c>
      <c r="D397" s="5" t="s">
        <v>5</v>
      </c>
      <c r="E397" s="5">
        <v>1</v>
      </c>
      <c r="F397" s="5" t="s">
        <v>7</v>
      </c>
      <c r="G397" s="5">
        <v>6.95</v>
      </c>
      <c r="H397" s="5">
        <v>2</v>
      </c>
      <c r="I397" s="5">
        <v>13.363</v>
      </c>
      <c r="J397" s="5">
        <v>6.0220000000000002</v>
      </c>
      <c r="K397" s="5">
        <v>54.935269026416222</v>
      </c>
      <c r="L397" s="5">
        <v>13.352517985611509</v>
      </c>
      <c r="M397" s="7">
        <f t="shared" si="41"/>
        <v>0.83646941007710396</v>
      </c>
      <c r="N397" s="5">
        <v>48.2</v>
      </c>
      <c r="O397" s="5">
        <v>0.76</v>
      </c>
      <c r="P397" s="5">
        <v>4.7519999999999998</v>
      </c>
      <c r="Q397" s="5">
        <v>0.75900000000000001</v>
      </c>
      <c r="R397" s="5">
        <v>0.99</v>
      </c>
      <c r="AF397" s="60"/>
      <c r="AG397" s="61"/>
      <c r="AJ397" s="60"/>
      <c r="AK397" s="62"/>
      <c r="AL397" s="63"/>
      <c r="AM397" s="63"/>
      <c r="AN397" s="64"/>
      <c r="AO397" s="63"/>
      <c r="AP397" s="60"/>
      <c r="AR397" s="60"/>
      <c r="AS397" s="62"/>
      <c r="AW397" s="60"/>
      <c r="AZ397" s="60"/>
      <c r="BC397" s="60"/>
      <c r="BK397" s="60"/>
      <c r="BL397" s="60"/>
      <c r="BM397" s="60"/>
      <c r="BN397" s="60"/>
      <c r="BO397" s="60"/>
      <c r="BR397" s="60"/>
      <c r="BS397" s="65"/>
      <c r="BU397" s="60"/>
      <c r="CF397" s="66"/>
      <c r="CP397" s="30"/>
    </row>
    <row r="398" spans="1:94" x14ac:dyDescent="0.3">
      <c r="A398" s="13">
        <v>480</v>
      </c>
      <c r="B398" s="5" t="s">
        <v>2</v>
      </c>
      <c r="C398" s="5" t="s">
        <v>14</v>
      </c>
      <c r="D398" s="5" t="s">
        <v>5</v>
      </c>
      <c r="E398" s="5">
        <v>3</v>
      </c>
      <c r="F398" s="5" t="s">
        <v>7</v>
      </c>
      <c r="G398" s="5">
        <v>6.92</v>
      </c>
      <c r="H398" s="5">
        <v>2</v>
      </c>
      <c r="I398" s="5">
        <v>9.6769999999999996</v>
      </c>
      <c r="J398" s="5">
        <v>6.0449999999999999</v>
      </c>
      <c r="K398" s="5">
        <v>37.532293066032857</v>
      </c>
      <c r="L398" s="5">
        <v>12.644508670520233</v>
      </c>
      <c r="M398" s="7">
        <f t="shared" si="41"/>
        <v>0.82833146612276742</v>
      </c>
      <c r="N398" s="5">
        <v>46.73</v>
      </c>
      <c r="O398" s="5">
        <v>0.73899999999999999</v>
      </c>
      <c r="P398" s="5">
        <v>4.6159999999999997</v>
      </c>
      <c r="Q398" s="5">
        <v>0.79900000000000004</v>
      </c>
      <c r="R398" s="5">
        <v>1.4350000000000001</v>
      </c>
      <c r="AF398" s="60"/>
      <c r="AG398" s="61"/>
      <c r="AJ398" s="60"/>
      <c r="AK398" s="62"/>
      <c r="AL398" s="63"/>
      <c r="AM398" s="63"/>
      <c r="AN398" s="64"/>
      <c r="AO398" s="63"/>
      <c r="AP398" s="60"/>
      <c r="AR398" s="60"/>
      <c r="AS398" s="62"/>
      <c r="AW398" s="60"/>
      <c r="AZ398" s="60"/>
      <c r="BC398" s="60"/>
      <c r="BK398" s="60"/>
      <c r="BL398" s="60"/>
      <c r="BM398" s="60"/>
      <c r="BN398" s="60"/>
      <c r="BO398" s="60"/>
      <c r="BR398" s="60"/>
      <c r="BS398" s="65"/>
      <c r="BU398" s="60"/>
      <c r="CF398" s="66"/>
      <c r="CP398" s="30"/>
    </row>
    <row r="399" spans="1:94" x14ac:dyDescent="0.3">
      <c r="A399" s="13">
        <v>542</v>
      </c>
      <c r="B399" s="5" t="s">
        <v>3</v>
      </c>
      <c r="C399" s="5" t="s">
        <v>1</v>
      </c>
      <c r="D399" s="5" t="s">
        <v>4</v>
      </c>
      <c r="E399" s="5">
        <v>4</v>
      </c>
      <c r="F399" s="5" t="s">
        <v>7</v>
      </c>
      <c r="G399" s="5">
        <v>7.02</v>
      </c>
      <c r="H399" s="5">
        <v>2</v>
      </c>
      <c r="I399" s="5">
        <v>13.427</v>
      </c>
      <c r="J399" s="5">
        <v>6.0810000000000004</v>
      </c>
      <c r="K399" s="5">
        <v>45.289342369851795</v>
      </c>
      <c r="L399" s="5">
        <v>13.376068376068364</v>
      </c>
      <c r="M399" s="7">
        <f t="shared" si="41"/>
        <v>0.83674124245969217</v>
      </c>
      <c r="N399" s="5">
        <v>48.13</v>
      </c>
      <c r="O399" s="5">
        <v>0.95899999999999996</v>
      </c>
      <c r="P399" s="5">
        <v>5.9930000000000003</v>
      </c>
      <c r="Q399" s="5">
        <v>2.2629999999999999</v>
      </c>
      <c r="R399" s="5">
        <v>1.9590000000000001</v>
      </c>
      <c r="AF399" s="60"/>
      <c r="AG399" s="61"/>
      <c r="AJ399" s="60"/>
      <c r="AK399" s="62"/>
      <c r="AL399" s="63"/>
      <c r="AM399" s="63"/>
      <c r="AN399" s="64"/>
      <c r="AO399" s="63"/>
      <c r="AP399" s="60"/>
      <c r="AR399" s="60"/>
      <c r="AS399" s="62"/>
      <c r="AW399" s="60"/>
      <c r="AZ399" s="60"/>
      <c r="BC399" s="60"/>
      <c r="BK399" s="60"/>
      <c r="BL399" s="60"/>
      <c r="BM399" s="60"/>
      <c r="BN399" s="60"/>
      <c r="BO399" s="60"/>
      <c r="BR399" s="60"/>
      <c r="BS399" s="65"/>
      <c r="BU399" s="60"/>
      <c r="CF399" s="66"/>
      <c r="CP399" s="30"/>
    </row>
    <row r="400" spans="1:94" x14ac:dyDescent="0.3">
      <c r="A400" s="13">
        <v>548</v>
      </c>
      <c r="B400" s="5" t="s">
        <v>3</v>
      </c>
      <c r="C400" s="5" t="s">
        <v>1</v>
      </c>
      <c r="D400" s="5" t="s">
        <v>4</v>
      </c>
      <c r="E400" s="5">
        <v>5</v>
      </c>
      <c r="F400" s="5" t="s">
        <v>7</v>
      </c>
      <c r="G400" s="5">
        <v>7.04</v>
      </c>
      <c r="H400" s="5">
        <v>2</v>
      </c>
      <c r="I400" s="5">
        <v>12.294</v>
      </c>
      <c r="J400" s="5">
        <v>5.8170000000000002</v>
      </c>
      <c r="K400" s="5">
        <v>47.315763787213271</v>
      </c>
      <c r="L400" s="5">
        <v>17.37215909090909</v>
      </c>
      <c r="M400" s="7">
        <f t="shared" si="41"/>
        <v>0.88397068580127192</v>
      </c>
      <c r="N400" s="5">
        <v>27.36</v>
      </c>
      <c r="O400" s="5">
        <v>0.94099999999999995</v>
      </c>
      <c r="P400" s="5">
        <v>5.8789999999999996</v>
      </c>
      <c r="Q400" s="5">
        <v>2.7080000000000002</v>
      </c>
      <c r="R400" s="5">
        <v>2.4180000000000001</v>
      </c>
      <c r="AF400" s="60"/>
      <c r="AG400" s="61"/>
      <c r="AJ400" s="60"/>
      <c r="AK400" s="62"/>
      <c r="AL400" s="63"/>
      <c r="AM400" s="63"/>
      <c r="AN400" s="64"/>
      <c r="AO400" s="63"/>
      <c r="AP400" s="60"/>
      <c r="AR400" s="60"/>
      <c r="AS400" s="62"/>
      <c r="AW400" s="60"/>
      <c r="AZ400" s="60"/>
      <c r="BC400" s="60"/>
      <c r="BK400" s="60"/>
      <c r="BL400" s="60"/>
      <c r="BM400" s="60"/>
      <c r="BN400" s="60"/>
      <c r="BO400" s="60"/>
      <c r="BR400" s="60"/>
      <c r="BS400" s="65"/>
      <c r="BU400" s="60"/>
      <c r="CF400" s="66"/>
      <c r="CP400" s="30"/>
    </row>
    <row r="401" spans="1:94" x14ac:dyDescent="0.3">
      <c r="A401" s="13">
        <v>551</v>
      </c>
      <c r="B401" s="5" t="s">
        <v>3</v>
      </c>
      <c r="C401" s="5" t="s">
        <v>1</v>
      </c>
      <c r="D401" s="5" t="s">
        <v>4</v>
      </c>
      <c r="E401" s="5">
        <v>2</v>
      </c>
      <c r="F401" s="5" t="s">
        <v>7</v>
      </c>
      <c r="G401" s="5">
        <v>7.04</v>
      </c>
      <c r="H401" s="5">
        <v>2</v>
      </c>
      <c r="I401" s="5">
        <v>11.292999999999999</v>
      </c>
      <c r="J401" s="5">
        <v>5.95</v>
      </c>
      <c r="K401" s="5">
        <v>52.687505534401843</v>
      </c>
      <c r="L401" s="5">
        <v>15.482954545454545</v>
      </c>
      <c r="M401" s="7">
        <f t="shared" si="41"/>
        <v>0.86136413117235788</v>
      </c>
      <c r="N401" s="5">
        <v>48.52</v>
      </c>
      <c r="O401" s="5">
        <v>0.95299999999999996</v>
      </c>
      <c r="P401" s="5">
        <v>5.9589999999999996</v>
      </c>
      <c r="Q401" s="5">
        <v>2.4039999999999999</v>
      </c>
      <c r="R401" s="5">
        <v>1.907</v>
      </c>
      <c r="AF401" s="60"/>
      <c r="AG401" s="61"/>
      <c r="AJ401" s="60"/>
      <c r="AK401" s="62"/>
      <c r="AL401" s="63"/>
      <c r="AM401" s="63"/>
      <c r="AN401" s="64"/>
      <c r="AO401" s="63"/>
      <c r="AP401" s="60"/>
      <c r="AR401" s="60"/>
      <c r="AS401" s="62"/>
      <c r="AW401" s="60"/>
      <c r="AZ401" s="60"/>
      <c r="BC401" s="60"/>
      <c r="BK401" s="60"/>
      <c r="BL401" s="60"/>
      <c r="BM401" s="60"/>
      <c r="BN401" s="60"/>
      <c r="BO401" s="60"/>
      <c r="BR401" s="60"/>
      <c r="BS401" s="65"/>
      <c r="BU401" s="60"/>
      <c r="CF401" s="66"/>
      <c r="CP401" s="30"/>
    </row>
    <row r="402" spans="1:94" x14ac:dyDescent="0.3">
      <c r="A402" s="13">
        <v>556</v>
      </c>
      <c r="B402" s="5" t="s">
        <v>3</v>
      </c>
      <c r="C402" s="5" t="s">
        <v>14</v>
      </c>
      <c r="D402" s="5" t="s">
        <v>4</v>
      </c>
      <c r="E402" s="5">
        <v>3</v>
      </c>
      <c r="F402" s="5" t="s">
        <v>7</v>
      </c>
      <c r="G402" s="5">
        <v>6.94</v>
      </c>
      <c r="H402" s="5">
        <v>2</v>
      </c>
      <c r="I402" s="5">
        <v>12.138999999999999</v>
      </c>
      <c r="J402" s="5">
        <v>6.0540000000000003</v>
      </c>
      <c r="K402" s="5">
        <v>49.872312381580038</v>
      </c>
      <c r="L402" s="5">
        <v>12.766570605187322</v>
      </c>
      <c r="M402" s="7">
        <f t="shared" si="41"/>
        <v>0.82972974447913161</v>
      </c>
      <c r="N402" s="5">
        <v>47.9</v>
      </c>
      <c r="O402" s="5">
        <v>0.94</v>
      </c>
      <c r="P402" s="5">
        <v>5.8719999999999999</v>
      </c>
      <c r="Q402" s="5">
        <v>2.4569999999999999</v>
      </c>
      <c r="R402" s="5">
        <v>1.8029999999999999</v>
      </c>
      <c r="AF402" s="60"/>
      <c r="AG402" s="61"/>
      <c r="AJ402" s="60"/>
      <c r="AK402" s="62"/>
      <c r="AL402" s="63"/>
      <c r="AM402" s="63"/>
      <c r="AN402" s="64"/>
      <c r="AO402" s="63"/>
      <c r="AP402" s="60"/>
      <c r="AR402" s="60"/>
      <c r="AS402" s="62"/>
      <c r="AW402" s="60"/>
      <c r="AZ402" s="60"/>
      <c r="BC402" s="60"/>
      <c r="BK402" s="60"/>
      <c r="BL402" s="60"/>
      <c r="BM402" s="60"/>
      <c r="BN402" s="60"/>
      <c r="BO402" s="60"/>
      <c r="BR402" s="60"/>
      <c r="BS402" s="65"/>
      <c r="BU402" s="60"/>
      <c r="CF402" s="66"/>
      <c r="CP402" s="30"/>
    </row>
    <row r="403" spans="1:94" x14ac:dyDescent="0.3">
      <c r="A403" s="13">
        <v>561</v>
      </c>
      <c r="B403" s="5" t="s">
        <v>3</v>
      </c>
      <c r="C403" s="5" t="s">
        <v>14</v>
      </c>
      <c r="D403" s="5" t="s">
        <v>4</v>
      </c>
      <c r="E403" s="5">
        <v>2</v>
      </c>
      <c r="F403" s="5" t="s">
        <v>7</v>
      </c>
      <c r="G403" s="5">
        <v>7.03</v>
      </c>
      <c r="H403" s="5">
        <v>2</v>
      </c>
      <c r="I403" s="5">
        <v>10.032</v>
      </c>
      <c r="J403" s="5">
        <v>6.1950000000000003</v>
      </c>
      <c r="K403" s="5">
        <v>61.752392344497608</v>
      </c>
      <c r="L403" s="5">
        <v>11.877667140825036</v>
      </c>
      <c r="M403" s="7">
        <f t="shared" si="41"/>
        <v>0.81959137130141302</v>
      </c>
      <c r="N403" s="5">
        <v>47.98</v>
      </c>
      <c r="O403" s="5">
        <v>0.998</v>
      </c>
      <c r="P403" s="5">
        <v>6.2359999999999998</v>
      </c>
      <c r="Q403" s="5">
        <v>2.8119999999999998</v>
      </c>
      <c r="R403" s="5">
        <v>2.2759999999999998</v>
      </c>
      <c r="AF403" s="60"/>
      <c r="AG403" s="61"/>
      <c r="AJ403" s="60"/>
      <c r="AK403" s="62"/>
      <c r="AL403" s="63"/>
      <c r="AM403" s="63"/>
      <c r="AN403" s="64"/>
      <c r="AO403" s="63"/>
      <c r="AP403" s="60"/>
      <c r="AR403" s="60"/>
      <c r="AS403" s="62"/>
      <c r="AW403" s="60"/>
      <c r="AZ403" s="60"/>
      <c r="BC403" s="60"/>
      <c r="BK403" s="60"/>
      <c r="BL403" s="60"/>
      <c r="BM403" s="60"/>
      <c r="BN403" s="60"/>
      <c r="BO403" s="60"/>
      <c r="BR403" s="60"/>
      <c r="BS403" s="65"/>
      <c r="BU403" s="60"/>
      <c r="CF403" s="66"/>
      <c r="CP403" s="30"/>
    </row>
    <row r="404" spans="1:94" x14ac:dyDescent="0.3">
      <c r="A404" s="13">
        <v>566</v>
      </c>
      <c r="B404" s="5" t="s">
        <v>3</v>
      </c>
      <c r="C404" s="5" t="s">
        <v>14</v>
      </c>
      <c r="D404" s="5" t="s">
        <v>4</v>
      </c>
      <c r="E404" s="5">
        <v>4</v>
      </c>
      <c r="F404" s="5" t="s">
        <v>7</v>
      </c>
      <c r="G404" s="5">
        <v>6.98</v>
      </c>
      <c r="H404" s="5">
        <v>2</v>
      </c>
      <c r="I404" s="5">
        <v>12.401</v>
      </c>
      <c r="J404" s="5">
        <v>6.0209999999999999</v>
      </c>
      <c r="K404" s="5">
        <v>48.552536085799531</v>
      </c>
      <c r="L404" s="5">
        <v>13.739255014326654</v>
      </c>
      <c r="M404" s="7">
        <f t="shared" si="41"/>
        <v>0.84094273885191573</v>
      </c>
      <c r="N404" s="5">
        <v>48.02</v>
      </c>
      <c r="O404" s="5">
        <v>0.99399999999999999</v>
      </c>
      <c r="P404" s="5">
        <v>6.2149999999999999</v>
      </c>
      <c r="Q404" s="5">
        <v>2.4569999999999999</v>
      </c>
      <c r="R404" s="5">
        <v>2.3519999999999999</v>
      </c>
      <c r="AF404" s="60"/>
      <c r="AG404" s="61"/>
      <c r="AJ404" s="60"/>
      <c r="AK404" s="62"/>
      <c r="AL404" s="63"/>
      <c r="AM404" s="63"/>
      <c r="AN404" s="64"/>
      <c r="AO404" s="63"/>
      <c r="AP404" s="60"/>
      <c r="AR404" s="60"/>
      <c r="AS404" s="62"/>
      <c r="AW404" s="60"/>
      <c r="AZ404" s="60"/>
      <c r="BC404" s="60"/>
      <c r="BK404" s="60"/>
      <c r="BL404" s="60"/>
      <c r="BM404" s="60"/>
      <c r="BN404" s="60"/>
      <c r="BO404" s="60"/>
      <c r="BR404" s="60"/>
      <c r="BS404" s="65"/>
      <c r="BU404" s="60"/>
      <c r="CF404" s="66"/>
      <c r="CP404" s="30"/>
    </row>
    <row r="405" spans="1:94" x14ac:dyDescent="0.3">
      <c r="A405" s="13">
        <v>578</v>
      </c>
      <c r="B405" s="5" t="s">
        <v>3</v>
      </c>
      <c r="C405" s="5" t="s">
        <v>14</v>
      </c>
      <c r="D405" s="5" t="s">
        <v>4</v>
      </c>
      <c r="E405" s="5">
        <v>5</v>
      </c>
      <c r="F405" s="5" t="s">
        <v>7</v>
      </c>
      <c r="G405" s="5">
        <v>7.02</v>
      </c>
      <c r="H405" s="5">
        <v>2</v>
      </c>
      <c r="I405" s="5">
        <v>11.574</v>
      </c>
      <c r="J405" s="5">
        <v>6.1420000000000003</v>
      </c>
      <c r="K405" s="5">
        <v>53.067219630205642</v>
      </c>
      <c r="L405" s="5">
        <v>12.507122507122498</v>
      </c>
      <c r="M405" s="7">
        <f t="shared" si="41"/>
        <v>0.82675997657903422</v>
      </c>
      <c r="N405" s="5">
        <v>48.12</v>
      </c>
      <c r="O405" s="5">
        <v>1.0009999999999999</v>
      </c>
      <c r="P405" s="5">
        <v>6.2590000000000003</v>
      </c>
      <c r="Q405" s="5">
        <v>2.778</v>
      </c>
      <c r="R405" s="5">
        <v>1.968</v>
      </c>
      <c r="AF405" s="60"/>
      <c r="AG405" s="61"/>
      <c r="AJ405" s="60"/>
      <c r="AK405" s="62"/>
      <c r="AL405" s="63"/>
      <c r="AM405" s="63"/>
      <c r="AN405" s="64"/>
      <c r="AO405" s="63"/>
      <c r="AP405" s="60"/>
      <c r="AR405" s="60"/>
      <c r="AS405" s="62"/>
      <c r="AW405" s="60"/>
      <c r="AZ405" s="60"/>
      <c r="BC405" s="60"/>
      <c r="BK405" s="60"/>
      <c r="BL405" s="60"/>
      <c r="BM405" s="60"/>
      <c r="BN405" s="60"/>
      <c r="BO405" s="60"/>
      <c r="BR405" s="60"/>
      <c r="BS405" s="65"/>
      <c r="BU405" s="60"/>
      <c r="CF405" s="66"/>
      <c r="CP405" s="30"/>
    </row>
    <row r="406" spans="1:94" x14ac:dyDescent="0.3">
      <c r="A406" s="13">
        <v>585</v>
      </c>
      <c r="B406" s="5" t="s">
        <v>3</v>
      </c>
      <c r="C406" s="5" t="s">
        <v>1</v>
      </c>
      <c r="D406" s="5" t="s">
        <v>4</v>
      </c>
      <c r="E406" s="5">
        <v>3</v>
      </c>
      <c r="F406" s="5" t="s">
        <v>7</v>
      </c>
      <c r="G406" s="5">
        <v>6.96</v>
      </c>
      <c r="H406" s="5">
        <v>2</v>
      </c>
      <c r="I406" s="5">
        <v>13.132999999999999</v>
      </c>
      <c r="J406" s="5">
        <v>5.891</v>
      </c>
      <c r="K406" s="5">
        <v>44.856468438285241</v>
      </c>
      <c r="L406" s="5">
        <v>15.35919540229885</v>
      </c>
      <c r="M406" s="7">
        <f t="shared" si="41"/>
        <v>0.85990089236672329</v>
      </c>
      <c r="N406" s="5">
        <v>48.19</v>
      </c>
      <c r="O406" s="5">
        <v>0.92</v>
      </c>
      <c r="P406" s="5">
        <v>5.7480000000000002</v>
      </c>
      <c r="Q406" s="5">
        <v>2.573</v>
      </c>
      <c r="R406" s="5">
        <v>0.90700000000000003</v>
      </c>
      <c r="AF406" s="60"/>
      <c r="AG406" s="61"/>
      <c r="AJ406" s="60"/>
      <c r="AK406" s="62"/>
      <c r="AL406" s="63"/>
      <c r="AM406" s="63"/>
      <c r="AN406" s="64"/>
      <c r="AO406" s="63"/>
      <c r="AP406" s="60"/>
      <c r="AR406" s="60"/>
      <c r="AS406" s="62"/>
      <c r="AW406" s="60"/>
      <c r="AZ406" s="60"/>
      <c r="BC406" s="60"/>
      <c r="BK406" s="60"/>
      <c r="BL406" s="60"/>
      <c r="BM406" s="60"/>
      <c r="BN406" s="60"/>
      <c r="BO406" s="60"/>
      <c r="BR406" s="60"/>
      <c r="BS406" s="65"/>
      <c r="BU406" s="60"/>
      <c r="CF406" s="66"/>
      <c r="CP406" s="30"/>
    </row>
    <row r="407" spans="1:94" x14ac:dyDescent="0.3">
      <c r="A407" s="13">
        <v>587</v>
      </c>
      <c r="B407" s="5" t="s">
        <v>3</v>
      </c>
      <c r="C407" s="5" t="s">
        <v>14</v>
      </c>
      <c r="D407" s="5" t="s">
        <v>4</v>
      </c>
      <c r="E407" s="5">
        <v>1</v>
      </c>
      <c r="F407" s="5" t="s">
        <v>7</v>
      </c>
      <c r="G407" s="5">
        <v>7</v>
      </c>
      <c r="H407" s="5">
        <v>2</v>
      </c>
      <c r="I407" s="5">
        <v>8.9969999999999999</v>
      </c>
      <c r="J407" s="5">
        <v>5.9409999999999998</v>
      </c>
      <c r="K407" s="5">
        <v>66.03312215182838</v>
      </c>
      <c r="L407" s="5">
        <v>15.12857142857143</v>
      </c>
      <c r="M407" s="7">
        <f t="shared" si="41"/>
        <v>0.85717986024165427</v>
      </c>
      <c r="N407" s="5">
        <v>48.18</v>
      </c>
      <c r="O407" s="5">
        <v>1.1220000000000001</v>
      </c>
      <c r="P407" s="5">
        <v>7.0110000000000001</v>
      </c>
      <c r="Q407" s="5">
        <v>2.0739999999999998</v>
      </c>
      <c r="R407" s="5">
        <v>1.649</v>
      </c>
      <c r="AF407" s="60"/>
      <c r="AG407" s="61"/>
      <c r="AJ407" s="60"/>
      <c r="AK407" s="62"/>
      <c r="AL407" s="63"/>
      <c r="AM407" s="63"/>
      <c r="AN407" s="64"/>
      <c r="AO407" s="63"/>
      <c r="AP407" s="60"/>
      <c r="AR407" s="60"/>
      <c r="AS407" s="62"/>
      <c r="AW407" s="60"/>
      <c r="AZ407" s="60"/>
      <c r="BC407" s="60"/>
      <c r="BK407" s="60"/>
      <c r="BL407" s="60"/>
      <c r="BM407" s="60"/>
      <c r="BN407" s="60"/>
      <c r="BO407" s="60"/>
      <c r="BR407" s="60"/>
      <c r="BS407" s="65"/>
      <c r="BU407" s="60"/>
      <c r="CF407" s="66"/>
      <c r="CP407" s="30"/>
    </row>
    <row r="408" spans="1:94" x14ac:dyDescent="0.3">
      <c r="A408" s="13">
        <v>592</v>
      </c>
      <c r="B408" s="5" t="s">
        <v>3</v>
      </c>
      <c r="C408" s="5" t="s">
        <v>1</v>
      </c>
      <c r="D408" s="5" t="s">
        <v>4</v>
      </c>
      <c r="E408" s="5">
        <v>1</v>
      </c>
      <c r="F408" s="5" t="s">
        <v>7</v>
      </c>
      <c r="G408" s="5">
        <v>6.92</v>
      </c>
      <c r="H408" s="5">
        <v>2</v>
      </c>
      <c r="I408" s="5">
        <v>14.63</v>
      </c>
      <c r="J408" s="5">
        <v>5.891</v>
      </c>
      <c r="K408" s="5">
        <v>40.266575529733423</v>
      </c>
      <c r="L408" s="5">
        <v>14.86994219653179</v>
      </c>
      <c r="M408" s="7">
        <f t="shared" si="41"/>
        <v>0.85413718764997326</v>
      </c>
      <c r="N408" s="5">
        <v>47.52</v>
      </c>
      <c r="O408" s="5">
        <v>0.98299999999999998</v>
      </c>
      <c r="P408" s="5">
        <v>6.1440000000000001</v>
      </c>
      <c r="Q408" s="5">
        <v>2.31</v>
      </c>
      <c r="R408" s="5">
        <v>1.7390000000000001</v>
      </c>
      <c r="AF408" s="60"/>
      <c r="AG408" s="61"/>
      <c r="AJ408" s="60"/>
      <c r="AK408" s="62"/>
      <c r="AL408" s="63"/>
      <c r="AM408" s="63"/>
      <c r="AN408" s="64"/>
      <c r="AO408" s="63"/>
      <c r="AP408" s="60"/>
      <c r="AR408" s="60"/>
      <c r="AS408" s="62"/>
      <c r="AW408" s="60"/>
      <c r="AZ408" s="60"/>
      <c r="BC408" s="60"/>
      <c r="BK408" s="60"/>
      <c r="BL408" s="60"/>
      <c r="BM408" s="60"/>
      <c r="BN408" s="60"/>
      <c r="BO408" s="60"/>
      <c r="BR408" s="60"/>
      <c r="BS408" s="65"/>
      <c r="BU408" s="60"/>
      <c r="CF408" s="66"/>
      <c r="CP408" s="30"/>
    </row>
    <row r="409" spans="1:94" x14ac:dyDescent="0.3">
      <c r="A409" s="13">
        <v>665</v>
      </c>
      <c r="B409" s="5" t="s">
        <v>3</v>
      </c>
      <c r="C409" s="5" t="s">
        <v>1</v>
      </c>
      <c r="D409" s="5" t="s">
        <v>5</v>
      </c>
      <c r="E409" s="5">
        <v>3</v>
      </c>
      <c r="F409" s="5" t="s">
        <v>7</v>
      </c>
      <c r="G409" s="5">
        <v>7.09</v>
      </c>
      <c r="H409" s="5">
        <v>2</v>
      </c>
      <c r="I409" s="5">
        <v>13.23</v>
      </c>
      <c r="J409" s="5">
        <v>5.9870000000000001</v>
      </c>
      <c r="K409" s="5">
        <v>45.253212396069536</v>
      </c>
      <c r="L409" s="5">
        <v>15.55712270803949</v>
      </c>
      <c r="M409" s="7">
        <f t="shared" si="41"/>
        <v>0.86224206916076629</v>
      </c>
      <c r="N409" s="5">
        <v>47.76</v>
      </c>
      <c r="O409" s="5">
        <v>1.079</v>
      </c>
      <c r="P409" s="5">
        <v>6.7430000000000003</v>
      </c>
      <c r="Q409" s="5">
        <v>0.998</v>
      </c>
      <c r="R409" s="5">
        <v>1.85</v>
      </c>
      <c r="AF409" s="60"/>
      <c r="AG409" s="61"/>
      <c r="AJ409" s="60"/>
      <c r="AK409" s="62"/>
      <c r="AL409" s="63"/>
      <c r="AM409" s="63"/>
      <c r="AN409" s="64"/>
      <c r="AO409" s="63"/>
      <c r="AP409" s="60"/>
      <c r="AR409" s="60"/>
      <c r="AS409" s="62"/>
      <c r="AW409" s="60"/>
      <c r="AZ409" s="60"/>
      <c r="BC409" s="60"/>
      <c r="BK409" s="60"/>
      <c r="BL409" s="60"/>
      <c r="BM409" s="60"/>
      <c r="BN409" s="60"/>
      <c r="BO409" s="60"/>
      <c r="BR409" s="60"/>
      <c r="BS409" s="65"/>
      <c r="BU409" s="60"/>
      <c r="CF409" s="66"/>
      <c r="CP409" s="30"/>
    </row>
    <row r="410" spans="1:94" x14ac:dyDescent="0.3">
      <c r="A410" s="13">
        <v>675</v>
      </c>
      <c r="B410" s="5" t="s">
        <v>3</v>
      </c>
      <c r="C410" s="5" t="s">
        <v>14</v>
      </c>
      <c r="D410" s="5" t="s">
        <v>5</v>
      </c>
      <c r="E410" s="5">
        <v>5</v>
      </c>
      <c r="F410" s="5" t="s">
        <v>7</v>
      </c>
      <c r="G410" s="5">
        <v>6.91</v>
      </c>
      <c r="H410" s="5">
        <v>2</v>
      </c>
      <c r="I410" s="5">
        <v>11.863</v>
      </c>
      <c r="J410" s="5">
        <v>6.01</v>
      </c>
      <c r="K410" s="5">
        <v>50.661721318384892</v>
      </c>
      <c r="L410" s="5">
        <v>13.024602026049209</v>
      </c>
      <c r="M410" s="7">
        <f t="shared" si="41"/>
        <v>0.83269206979240762</v>
      </c>
      <c r="N410" s="5">
        <v>46.63</v>
      </c>
      <c r="O410" s="5">
        <v>0.73899999999999999</v>
      </c>
      <c r="P410" s="5">
        <v>4.6180000000000003</v>
      </c>
      <c r="Q410" s="5">
        <v>0.94699999999999995</v>
      </c>
      <c r="R410" s="5">
        <v>1.24</v>
      </c>
      <c r="AF410" s="60"/>
      <c r="AG410" s="61"/>
      <c r="AJ410" s="60"/>
      <c r="AK410" s="62"/>
      <c r="AL410" s="63"/>
      <c r="AM410" s="63"/>
      <c r="AN410" s="64"/>
      <c r="AO410" s="63"/>
      <c r="AP410" s="60"/>
      <c r="AR410" s="60"/>
      <c r="AS410" s="62"/>
      <c r="AW410" s="60"/>
      <c r="AZ410" s="60"/>
      <c r="BC410" s="60"/>
      <c r="BK410" s="60"/>
      <c r="BL410" s="60"/>
      <c r="BM410" s="60"/>
      <c r="BN410" s="60"/>
      <c r="BO410" s="60"/>
      <c r="BR410" s="60"/>
      <c r="BS410" s="65"/>
      <c r="BU410" s="60"/>
      <c r="CF410" s="66"/>
      <c r="CP410" s="30"/>
    </row>
    <row r="411" spans="1:94" x14ac:dyDescent="0.3">
      <c r="A411" s="13">
        <v>676</v>
      </c>
      <c r="B411" s="5" t="s">
        <v>3</v>
      </c>
      <c r="C411" s="5" t="s">
        <v>1</v>
      </c>
      <c r="D411" s="5" t="s">
        <v>5</v>
      </c>
      <c r="E411" s="5">
        <v>1</v>
      </c>
      <c r="F411" s="5" t="s">
        <v>7</v>
      </c>
      <c r="G411" s="5">
        <v>7.06</v>
      </c>
      <c r="H411" s="5">
        <v>2</v>
      </c>
      <c r="I411" s="5">
        <v>12.689</v>
      </c>
      <c r="J411" s="5">
        <v>6.1260000000000003</v>
      </c>
      <c r="K411" s="5">
        <v>48.278036094254865</v>
      </c>
      <c r="L411" s="5">
        <v>13.229461756373928</v>
      </c>
      <c r="M411" s="7">
        <f t="shared" si="41"/>
        <v>0.83505022365451242</v>
      </c>
      <c r="N411" s="5">
        <v>47.31</v>
      </c>
      <c r="O411" s="5">
        <v>0.876</v>
      </c>
      <c r="P411" s="5">
        <v>5.4779999999999998</v>
      </c>
      <c r="Q411" s="5">
        <v>0.95</v>
      </c>
      <c r="R411" s="5">
        <v>1.6539999999999999</v>
      </c>
      <c r="AF411" s="60"/>
      <c r="AG411" s="61"/>
      <c r="AJ411" s="60"/>
      <c r="AK411" s="62"/>
      <c r="AL411" s="63"/>
      <c r="AM411" s="63"/>
      <c r="AN411" s="64"/>
      <c r="AO411" s="63"/>
      <c r="AP411" s="60"/>
      <c r="AR411" s="60"/>
      <c r="AS411" s="62"/>
      <c r="AW411" s="60"/>
      <c r="AZ411" s="60"/>
      <c r="BC411" s="60"/>
      <c r="BK411" s="60"/>
      <c r="BL411" s="60"/>
      <c r="BM411" s="60"/>
      <c r="BN411" s="60"/>
      <c r="BO411" s="60"/>
      <c r="BR411" s="60"/>
      <c r="BS411" s="65"/>
      <c r="BU411" s="60"/>
      <c r="CF411" s="66"/>
      <c r="CP411" s="30"/>
    </row>
    <row r="412" spans="1:94" x14ac:dyDescent="0.3">
      <c r="A412" s="13">
        <v>681</v>
      </c>
      <c r="B412" s="5" t="s">
        <v>3</v>
      </c>
      <c r="C412" s="5" t="s">
        <v>1</v>
      </c>
      <c r="D412" s="5" t="s">
        <v>5</v>
      </c>
      <c r="E412" s="5">
        <v>5</v>
      </c>
      <c r="F412" s="5" t="s">
        <v>7</v>
      </c>
      <c r="G412" s="5">
        <v>6.98</v>
      </c>
      <c r="H412" s="5">
        <v>2</v>
      </c>
      <c r="I412" s="5">
        <v>11.087</v>
      </c>
      <c r="J412" s="5">
        <v>5.9649999999999999</v>
      </c>
      <c r="K412" s="5">
        <v>53.801749797059614</v>
      </c>
      <c r="L412" s="5">
        <v>14.541547277936969</v>
      </c>
      <c r="M412" s="7">
        <f t="shared" si="41"/>
        <v>0.85028704178434711</v>
      </c>
      <c r="N412" s="5">
        <v>47.84</v>
      </c>
      <c r="O412" s="5">
        <v>1.179</v>
      </c>
      <c r="P412" s="5">
        <v>7.3710000000000004</v>
      </c>
      <c r="Q412" s="5">
        <v>0.61299999999999999</v>
      </c>
      <c r="R412" s="5">
        <v>0.86199999999999999</v>
      </c>
      <c r="AF412" s="60"/>
      <c r="AG412" s="61"/>
      <c r="AJ412" s="60"/>
      <c r="AK412" s="62"/>
      <c r="AL412" s="63"/>
      <c r="AM412" s="63"/>
      <c r="AN412" s="64"/>
      <c r="AO412" s="63"/>
      <c r="AP412" s="60"/>
      <c r="AR412" s="60"/>
      <c r="AS412" s="62"/>
      <c r="AW412" s="60"/>
      <c r="AZ412" s="60"/>
      <c r="BC412" s="60"/>
      <c r="BK412" s="60"/>
      <c r="BL412" s="60"/>
      <c r="BM412" s="60"/>
      <c r="BN412" s="60"/>
      <c r="BO412" s="60"/>
      <c r="BR412" s="60"/>
      <c r="BS412" s="65"/>
      <c r="BU412" s="60"/>
      <c r="CF412" s="66"/>
      <c r="CP412" s="30"/>
    </row>
    <row r="413" spans="1:94" x14ac:dyDescent="0.3">
      <c r="A413" s="13">
        <v>682</v>
      </c>
      <c r="B413" s="5" t="s">
        <v>3</v>
      </c>
      <c r="C413" s="5" t="s">
        <v>14</v>
      </c>
      <c r="D413" s="5" t="s">
        <v>5</v>
      </c>
      <c r="E413" s="5">
        <v>4</v>
      </c>
      <c r="F413" s="5" t="s">
        <v>7</v>
      </c>
      <c r="G413" s="5">
        <v>6.95</v>
      </c>
      <c r="H413" s="5">
        <v>2</v>
      </c>
      <c r="I413" s="5">
        <v>11.641</v>
      </c>
      <c r="J413" s="5">
        <v>6.0469999999999997</v>
      </c>
      <c r="K413" s="5">
        <v>51.945709131517901</v>
      </c>
      <c r="L413" s="5">
        <v>12.99280575539569</v>
      </c>
      <c r="M413" s="7">
        <f t="shared" si="41"/>
        <v>0.83232655884557027</v>
      </c>
      <c r="N413" s="5">
        <v>47.35</v>
      </c>
      <c r="O413" s="5">
        <v>0.80800000000000005</v>
      </c>
      <c r="P413" s="5">
        <v>5.0469999999999997</v>
      </c>
      <c r="Q413" s="5">
        <v>1.331</v>
      </c>
      <c r="R413" s="5">
        <v>1.708</v>
      </c>
      <c r="AF413" s="60"/>
      <c r="AG413" s="61"/>
      <c r="AJ413" s="60"/>
      <c r="AK413" s="62"/>
      <c r="AL413" s="63"/>
      <c r="AM413" s="63"/>
      <c r="AN413" s="64"/>
      <c r="AO413" s="63"/>
      <c r="AP413" s="60"/>
      <c r="AR413" s="60"/>
      <c r="AS413" s="62"/>
      <c r="AW413" s="60"/>
      <c r="AZ413" s="60"/>
      <c r="BC413" s="60"/>
      <c r="BK413" s="60"/>
      <c r="BL413" s="60"/>
      <c r="BM413" s="60"/>
      <c r="BN413" s="60"/>
      <c r="BO413" s="60"/>
      <c r="BR413" s="60"/>
      <c r="BS413" s="65"/>
      <c r="BU413" s="60"/>
      <c r="CF413" s="66"/>
      <c r="CP413" s="30"/>
    </row>
    <row r="414" spans="1:94" x14ac:dyDescent="0.3">
      <c r="A414" s="13">
        <v>696</v>
      </c>
      <c r="B414" s="5" t="s">
        <v>3</v>
      </c>
      <c r="C414" s="5" t="s">
        <v>14</v>
      </c>
      <c r="D414" s="5" t="s">
        <v>5</v>
      </c>
      <c r="E414" s="5">
        <v>2</v>
      </c>
      <c r="F414" s="5" t="s">
        <v>7</v>
      </c>
      <c r="G414" s="5">
        <v>7.05</v>
      </c>
      <c r="H414" s="5">
        <v>2</v>
      </c>
      <c r="I414" s="5">
        <v>10.648</v>
      </c>
      <c r="J414" s="5">
        <v>6.2370000000000001</v>
      </c>
      <c r="K414" s="5">
        <v>58.574380165289263</v>
      </c>
      <c r="L414" s="5">
        <v>11.531914893617017</v>
      </c>
      <c r="M414" s="7">
        <f t="shared" si="41"/>
        <v>0.81567549984013699</v>
      </c>
      <c r="N414" s="5">
        <v>47.49</v>
      </c>
      <c r="O414" s="5">
        <v>0.61399999999999999</v>
      </c>
      <c r="P414" s="5">
        <v>3.84</v>
      </c>
      <c r="Q414" s="5">
        <v>1.0489999999999999</v>
      </c>
      <c r="R414" s="5">
        <v>1.704</v>
      </c>
      <c r="AF414" s="60"/>
      <c r="AG414" s="61"/>
      <c r="AJ414" s="60"/>
      <c r="AK414" s="62"/>
      <c r="AL414" s="63"/>
      <c r="AM414" s="63"/>
      <c r="AN414" s="64"/>
      <c r="AO414" s="63"/>
      <c r="AP414" s="60"/>
      <c r="AR414" s="60"/>
      <c r="AS414" s="62"/>
      <c r="AW414" s="60"/>
      <c r="AZ414" s="60"/>
      <c r="BC414" s="60"/>
      <c r="BK414" s="60"/>
      <c r="BL414" s="60"/>
      <c r="BM414" s="60"/>
      <c r="BN414" s="60"/>
      <c r="BO414" s="60"/>
      <c r="BR414" s="60"/>
      <c r="BS414" s="65"/>
      <c r="BU414" s="60"/>
      <c r="CF414" s="66"/>
      <c r="CP414" s="30"/>
    </row>
    <row r="415" spans="1:94" x14ac:dyDescent="0.3">
      <c r="A415" s="13">
        <v>707</v>
      </c>
      <c r="B415" s="5" t="s">
        <v>3</v>
      </c>
      <c r="C415" s="5" t="s">
        <v>1</v>
      </c>
      <c r="D415" s="5" t="s">
        <v>5</v>
      </c>
      <c r="E415" s="5">
        <v>4</v>
      </c>
      <c r="F415" s="5" t="s">
        <v>7</v>
      </c>
      <c r="G415" s="5">
        <v>7.05</v>
      </c>
      <c r="H415" s="5">
        <v>2</v>
      </c>
      <c r="I415" s="5">
        <v>13.554</v>
      </c>
      <c r="J415" s="5">
        <v>5.9850000000000003</v>
      </c>
      <c r="K415" s="5">
        <v>44.156706507304115</v>
      </c>
      <c r="L415" s="5">
        <v>15.106382978723399</v>
      </c>
      <c r="M415" s="7">
        <f t="shared" si="41"/>
        <v>0.85691845837418601</v>
      </c>
      <c r="N415" s="5">
        <v>47.64</v>
      </c>
      <c r="O415" s="5">
        <v>0.89500000000000002</v>
      </c>
      <c r="P415" s="5">
        <v>5.5940000000000003</v>
      </c>
      <c r="Q415" s="5">
        <v>0.92400000000000004</v>
      </c>
      <c r="R415" s="5">
        <v>1.294</v>
      </c>
      <c r="AF415" s="60"/>
      <c r="AG415" s="61"/>
      <c r="AJ415" s="60"/>
      <c r="AK415" s="62"/>
      <c r="AL415" s="63"/>
      <c r="AM415" s="63"/>
      <c r="AN415" s="64"/>
      <c r="AO415" s="63"/>
      <c r="AP415" s="60"/>
      <c r="AR415" s="60"/>
      <c r="AS415" s="62"/>
      <c r="AW415" s="60"/>
      <c r="AZ415" s="60"/>
      <c r="BC415" s="60"/>
      <c r="BK415" s="60"/>
      <c r="BL415" s="60"/>
      <c r="BM415" s="60"/>
      <c r="BN415" s="60"/>
      <c r="BO415" s="60"/>
      <c r="BR415" s="60"/>
      <c r="BS415" s="65"/>
      <c r="BU415" s="60"/>
      <c r="CF415" s="66"/>
      <c r="CP415" s="30"/>
    </row>
    <row r="416" spans="1:94" x14ac:dyDescent="0.3">
      <c r="A416" s="13">
        <v>712</v>
      </c>
      <c r="B416" s="5" t="s">
        <v>3</v>
      </c>
      <c r="C416" s="5" t="s">
        <v>14</v>
      </c>
      <c r="D416" s="5" t="s">
        <v>5</v>
      </c>
      <c r="E416" s="5">
        <v>1</v>
      </c>
      <c r="F416" s="5" t="s">
        <v>7</v>
      </c>
      <c r="G416" s="5">
        <v>7.09</v>
      </c>
      <c r="H416" s="5">
        <v>2</v>
      </c>
      <c r="I416" s="5">
        <v>12.119</v>
      </c>
      <c r="J416" s="5">
        <v>5.5309999999999997</v>
      </c>
      <c r="K416" s="5">
        <v>45.639079131941578</v>
      </c>
      <c r="L416" s="5">
        <v>21.988716502115661</v>
      </c>
      <c r="M416" s="7">
        <f t="shared" si="41"/>
        <v>0.94146389009144049</v>
      </c>
      <c r="N416" s="5">
        <v>47.28</v>
      </c>
      <c r="O416" s="5">
        <v>0.746</v>
      </c>
      <c r="P416" s="5">
        <v>4.6630000000000003</v>
      </c>
      <c r="Q416" s="5">
        <v>2.1</v>
      </c>
      <c r="R416" s="5">
        <v>1.9039999999999999</v>
      </c>
      <c r="AF416" s="60"/>
      <c r="AG416" s="61"/>
      <c r="AJ416" s="60"/>
      <c r="AK416" s="62"/>
      <c r="AL416" s="63"/>
      <c r="AM416" s="63"/>
      <c r="AN416" s="64"/>
      <c r="AO416" s="63"/>
      <c r="AP416" s="60"/>
      <c r="AR416" s="60"/>
      <c r="AS416" s="62"/>
      <c r="AW416" s="60"/>
      <c r="AZ416" s="60"/>
      <c r="BC416" s="60"/>
      <c r="BK416" s="60"/>
      <c r="BL416" s="60"/>
      <c r="BM416" s="60"/>
      <c r="BN416" s="60"/>
      <c r="BO416" s="60"/>
      <c r="BR416" s="60"/>
      <c r="BS416" s="65"/>
      <c r="BU416" s="60"/>
      <c r="CF416" s="66"/>
      <c r="CP416" s="30"/>
    </row>
    <row r="417" spans="1:94" x14ac:dyDescent="0.3">
      <c r="A417" s="13">
        <v>713</v>
      </c>
      <c r="B417" s="5" t="s">
        <v>3</v>
      </c>
      <c r="C417" s="5" t="s">
        <v>14</v>
      </c>
      <c r="D417" s="5" t="s">
        <v>5</v>
      </c>
      <c r="E417" s="5">
        <v>3</v>
      </c>
      <c r="F417" s="5" t="s">
        <v>7</v>
      </c>
      <c r="G417" s="5">
        <v>7.07</v>
      </c>
      <c r="H417" s="5">
        <v>2</v>
      </c>
      <c r="I417" s="5">
        <v>13.896000000000001</v>
      </c>
      <c r="J417" s="5">
        <v>5.9009999999999998</v>
      </c>
      <c r="K417" s="5">
        <v>42.465457685664937</v>
      </c>
      <c r="L417" s="5">
        <v>16.53465346534654</v>
      </c>
      <c r="M417" s="7">
        <f t="shared" si="41"/>
        <v>0.87388583239339501</v>
      </c>
      <c r="N417" s="5">
        <v>46.51</v>
      </c>
      <c r="O417" s="5">
        <v>0.873</v>
      </c>
      <c r="P417" s="5">
        <v>5.4580000000000002</v>
      </c>
      <c r="Q417" s="5">
        <v>1.1100000000000001</v>
      </c>
      <c r="R417" s="5">
        <v>1.6199999999999999</v>
      </c>
      <c r="AF417" s="60"/>
      <c r="AG417" s="61"/>
      <c r="AJ417" s="60"/>
      <c r="AK417" s="62"/>
      <c r="AL417" s="63"/>
      <c r="AM417" s="63"/>
      <c r="AN417" s="64"/>
      <c r="AO417" s="63"/>
      <c r="AP417" s="60"/>
      <c r="AR417" s="60"/>
      <c r="AS417" s="62"/>
      <c r="AW417" s="60"/>
      <c r="AZ417" s="60"/>
      <c r="BC417" s="60"/>
      <c r="BK417" s="60"/>
      <c r="BL417" s="60"/>
      <c r="BM417" s="60"/>
      <c r="BN417" s="60"/>
      <c r="BO417" s="60"/>
      <c r="BR417" s="60"/>
      <c r="BS417" s="65"/>
      <c r="BU417" s="60"/>
      <c r="CF417" s="66"/>
      <c r="CP417" s="30"/>
    </row>
    <row r="418" spans="1:94" x14ac:dyDescent="0.3">
      <c r="A418" s="13">
        <v>720</v>
      </c>
      <c r="B418" s="5" t="s">
        <v>3</v>
      </c>
      <c r="C418" s="5" t="s">
        <v>1</v>
      </c>
      <c r="D418" s="5" t="s">
        <v>5</v>
      </c>
      <c r="E418" s="5">
        <v>2</v>
      </c>
      <c r="F418" s="5" t="s">
        <v>7</v>
      </c>
      <c r="G418" s="5">
        <v>6.97</v>
      </c>
      <c r="H418" s="5">
        <v>2</v>
      </c>
      <c r="I418" s="5">
        <v>11.816000000000001</v>
      </c>
      <c r="J418" s="5">
        <v>5.9550000000000001</v>
      </c>
      <c r="K418" s="5">
        <v>50.397765741367643</v>
      </c>
      <c r="L418" s="5">
        <v>14.562410329985648</v>
      </c>
      <c r="M418" s="7">
        <f t="shared" si="41"/>
        <v>0.85053120252511438</v>
      </c>
      <c r="N418" s="5">
        <v>48.27</v>
      </c>
      <c r="O418" s="5">
        <v>0.74199999999999999</v>
      </c>
      <c r="P418" s="5">
        <v>4.6349999999999998</v>
      </c>
      <c r="Q418" s="5">
        <v>1.1819999999999999</v>
      </c>
      <c r="R418" s="5">
        <v>2.1070000000000002</v>
      </c>
      <c r="AF418" s="60"/>
      <c r="AG418" s="61"/>
      <c r="AJ418" s="60"/>
      <c r="AK418" s="62"/>
      <c r="AL418" s="63"/>
      <c r="AM418" s="63"/>
      <c r="AN418" s="64"/>
      <c r="AO418" s="63"/>
      <c r="AP418" s="60"/>
      <c r="AR418" s="60"/>
      <c r="AS418" s="62"/>
      <c r="AW418" s="60"/>
      <c r="AZ418" s="60"/>
      <c r="BC418" s="60"/>
      <c r="BK418" s="60"/>
      <c r="BL418" s="60"/>
      <c r="BM418" s="60"/>
      <c r="BN418" s="60"/>
      <c r="BO418" s="60"/>
      <c r="BR418" s="60"/>
      <c r="BS418" s="65"/>
      <c r="BU418" s="60"/>
      <c r="CF418" s="66"/>
      <c r="CP418" s="30"/>
    </row>
    <row r="419" spans="1:94" x14ac:dyDescent="0.3">
      <c r="A419" s="4">
        <v>67</v>
      </c>
      <c r="B419" s="4" t="s">
        <v>0</v>
      </c>
      <c r="C419" s="4" t="s">
        <v>14</v>
      </c>
      <c r="D419" s="4" t="s">
        <v>4</v>
      </c>
      <c r="E419" s="4">
        <v>3</v>
      </c>
      <c r="F419" s="4" t="s">
        <v>7</v>
      </c>
      <c r="G419" s="4">
        <v>6.96</v>
      </c>
      <c r="H419" s="4">
        <v>6</v>
      </c>
      <c r="I419" s="4">
        <v>6.0289999999999999</v>
      </c>
      <c r="J419" s="4">
        <v>5.4169999999999998</v>
      </c>
      <c r="K419" s="4">
        <v>10.150937137170345</v>
      </c>
      <c r="L419" s="4">
        <v>22.169540229885058</v>
      </c>
      <c r="M419" s="7">
        <f t="shared" si="41"/>
        <v>2.0423967868986215</v>
      </c>
      <c r="N419" s="4">
        <v>47.86</v>
      </c>
      <c r="O419" s="4">
        <v>1.17</v>
      </c>
      <c r="P419" s="4">
        <v>6.6360000000000001</v>
      </c>
      <c r="Q419" s="4">
        <v>2.23</v>
      </c>
      <c r="R419" s="4">
        <v>1.5469999999999999</v>
      </c>
      <c r="AF419" s="60"/>
      <c r="AG419" s="61"/>
      <c r="AJ419" s="60"/>
      <c r="AK419" s="62"/>
      <c r="AL419" s="63"/>
      <c r="AM419" s="63"/>
      <c r="AN419" s="64"/>
      <c r="AO419" s="63"/>
      <c r="AP419" s="60"/>
      <c r="AR419" s="60"/>
      <c r="AS419" s="62"/>
      <c r="AW419" s="60"/>
      <c r="AZ419" s="60"/>
      <c r="BC419" s="60"/>
      <c r="BK419" s="60"/>
      <c r="BL419" s="60"/>
      <c r="BM419" s="60"/>
      <c r="BN419" s="60"/>
      <c r="BO419" s="60"/>
      <c r="BR419" s="60"/>
      <c r="BS419" s="65"/>
      <c r="BU419" s="60"/>
      <c r="CF419" s="66"/>
      <c r="CP419" s="30"/>
    </row>
    <row r="420" spans="1:94" x14ac:dyDescent="0.3">
      <c r="A420" s="4">
        <v>71</v>
      </c>
      <c r="B420" s="4" t="s">
        <v>0</v>
      </c>
      <c r="C420" s="4" t="s">
        <v>14</v>
      </c>
      <c r="D420" s="4" t="s">
        <v>4</v>
      </c>
      <c r="E420" s="4">
        <v>5</v>
      </c>
      <c r="F420" s="4" t="s">
        <v>7</v>
      </c>
      <c r="G420" s="4">
        <v>7.03</v>
      </c>
      <c r="H420" s="4">
        <v>6</v>
      </c>
      <c r="I420" s="4">
        <v>6.1760000000000002</v>
      </c>
      <c r="J420" s="4">
        <v>5.4420000000000002</v>
      </c>
      <c r="K420" s="4">
        <v>11.884715025906734</v>
      </c>
      <c r="L420" s="4">
        <v>22.588904694167852</v>
      </c>
      <c r="M420" s="7">
        <f t="shared" si="41"/>
        <v>2.0477995346895739</v>
      </c>
      <c r="N420" s="4">
        <v>47.42</v>
      </c>
      <c r="O420" s="4">
        <v>1.1100000000000001</v>
      </c>
      <c r="P420" s="4">
        <v>6.9359999999999999</v>
      </c>
      <c r="Q420" s="4">
        <v>1.97</v>
      </c>
      <c r="R420" s="4">
        <v>1.4259999999999999</v>
      </c>
      <c r="AF420" s="60"/>
      <c r="AG420" s="61"/>
      <c r="AJ420" s="60"/>
      <c r="AK420" s="62"/>
      <c r="AL420" s="63"/>
      <c r="AM420" s="63"/>
      <c r="AN420" s="64"/>
      <c r="AO420" s="63"/>
      <c r="AP420" s="60"/>
      <c r="AR420" s="60"/>
      <c r="AS420" s="62"/>
      <c r="AW420" s="60"/>
      <c r="AZ420" s="60"/>
      <c r="BC420" s="60"/>
      <c r="BK420" s="60"/>
      <c r="BL420" s="60"/>
      <c r="BM420" s="60"/>
      <c r="BN420" s="60"/>
      <c r="BO420" s="60"/>
      <c r="BR420" s="60"/>
      <c r="BS420" s="65"/>
      <c r="BU420" s="60"/>
      <c r="CF420" s="66"/>
      <c r="CP420" s="30"/>
    </row>
    <row r="421" spans="1:94" x14ac:dyDescent="0.3">
      <c r="A421" s="4">
        <v>72</v>
      </c>
      <c r="B421" s="4" t="s">
        <v>0</v>
      </c>
      <c r="C421" s="4" t="s">
        <v>1</v>
      </c>
      <c r="D421" s="4" t="s">
        <v>4</v>
      </c>
      <c r="E421" s="4">
        <v>4</v>
      </c>
      <c r="F421" s="4" t="s">
        <v>7</v>
      </c>
      <c r="G421" s="4">
        <v>6.99</v>
      </c>
      <c r="H421" s="4">
        <v>6</v>
      </c>
      <c r="I421" s="4">
        <v>13.884</v>
      </c>
      <c r="J421" s="4">
        <v>5.74</v>
      </c>
      <c r="K421" s="4">
        <v>29.847306251800632</v>
      </c>
      <c r="L421" s="4">
        <v>17.882689556509298</v>
      </c>
      <c r="M421" s="7">
        <f t="shared" si="41"/>
        <v>1.988780815142299</v>
      </c>
      <c r="N421" s="4">
        <v>33.53</v>
      </c>
      <c r="O421" s="4">
        <v>1.02</v>
      </c>
      <c r="P421" s="4">
        <v>6.3739999999999997</v>
      </c>
      <c r="Q421" s="4">
        <v>0.62</v>
      </c>
      <c r="R421" s="4">
        <v>0.64300000000000002</v>
      </c>
      <c r="AF421" s="60"/>
      <c r="AG421" s="61"/>
      <c r="AJ421" s="60"/>
      <c r="AK421" s="62"/>
      <c r="AL421" s="63"/>
      <c r="AM421" s="63"/>
      <c r="AN421" s="64"/>
      <c r="AO421" s="63"/>
      <c r="AP421" s="60"/>
      <c r="AR421" s="60"/>
      <c r="AS421" s="62"/>
      <c r="AW421" s="60"/>
      <c r="AZ421" s="60"/>
      <c r="BC421" s="60"/>
      <c r="BK421" s="60"/>
      <c r="BL421" s="60"/>
      <c r="BM421" s="60"/>
      <c r="BN421" s="60"/>
      <c r="BO421" s="60"/>
      <c r="BR421" s="60"/>
      <c r="BS421" s="65"/>
      <c r="BU421" s="60"/>
      <c r="CF421" s="66"/>
      <c r="CP421" s="30"/>
    </row>
    <row r="422" spans="1:94" x14ac:dyDescent="0.3">
      <c r="A422" s="4">
        <v>82</v>
      </c>
      <c r="B422" s="4" t="s">
        <v>0</v>
      </c>
      <c r="C422" s="4" t="s">
        <v>14</v>
      </c>
      <c r="D422" s="4" t="s">
        <v>4</v>
      </c>
      <c r="E422" s="4">
        <v>1</v>
      </c>
      <c r="F422" s="4" t="s">
        <v>7</v>
      </c>
      <c r="G422" s="4">
        <v>6.99</v>
      </c>
      <c r="H422" s="4">
        <v>6</v>
      </c>
      <c r="I422" s="4">
        <v>6.0090000000000003</v>
      </c>
      <c r="J422" s="4">
        <v>5.4249999999999998</v>
      </c>
      <c r="K422" s="4">
        <v>9.7187552005325433</v>
      </c>
      <c r="L422" s="4">
        <v>22.389127324749648</v>
      </c>
      <c r="M422" s="7">
        <f t="shared" si="41"/>
        <v>2.0452221260472507</v>
      </c>
      <c r="N422" s="4">
        <v>34.14</v>
      </c>
      <c r="O422" s="4">
        <v>1.171</v>
      </c>
      <c r="P422" s="4">
        <v>7.32</v>
      </c>
      <c r="Q422" s="4">
        <v>1.641</v>
      </c>
      <c r="R422" s="4">
        <v>1.2909999999999999</v>
      </c>
      <c r="AF422" s="60"/>
      <c r="AG422" s="61"/>
      <c r="AJ422" s="60"/>
      <c r="AK422" s="62"/>
      <c r="AL422" s="63"/>
      <c r="AM422" s="63"/>
      <c r="AN422" s="64"/>
      <c r="AO422" s="63"/>
      <c r="AP422" s="60"/>
      <c r="AR422" s="60"/>
      <c r="AS422" s="62"/>
      <c r="AW422" s="60"/>
      <c r="AZ422" s="60"/>
      <c r="BC422" s="60"/>
      <c r="BK422" s="60"/>
      <c r="BL422" s="60"/>
      <c r="BM422" s="60"/>
      <c r="BN422" s="60"/>
      <c r="BO422" s="60"/>
      <c r="BR422" s="60"/>
      <c r="BS422" s="65"/>
      <c r="BU422" s="60"/>
      <c r="CF422" s="66"/>
      <c r="CP422" s="30"/>
    </row>
    <row r="423" spans="1:94" x14ac:dyDescent="0.3">
      <c r="A423" s="4">
        <v>91</v>
      </c>
      <c r="B423" s="4" t="s">
        <v>0</v>
      </c>
      <c r="C423" s="4" t="s">
        <v>1</v>
      </c>
      <c r="D423" s="4" t="s">
        <v>4</v>
      </c>
      <c r="E423" s="4">
        <v>2</v>
      </c>
      <c r="F423" s="4" t="s">
        <v>7</v>
      </c>
      <c r="G423" s="4">
        <v>7.05</v>
      </c>
      <c r="H423" s="4">
        <v>6</v>
      </c>
      <c r="I423" s="4">
        <v>5.9340000000000002</v>
      </c>
      <c r="J423" s="4">
        <v>5.2949999999999999</v>
      </c>
      <c r="K423" s="4">
        <v>10.768452982810924</v>
      </c>
      <c r="L423" s="4">
        <v>24.893617021276597</v>
      </c>
      <c r="M423" s="7">
        <f t="shared" si="41"/>
        <v>2.0780241069988623</v>
      </c>
      <c r="N423" s="4">
        <v>46.06</v>
      </c>
      <c r="O423" s="4">
        <v>1.06</v>
      </c>
      <c r="P423" s="4">
        <v>6.6280000000000001</v>
      </c>
      <c r="Q423" s="4">
        <v>1.853</v>
      </c>
      <c r="R423" s="4">
        <v>1.6140000000000001</v>
      </c>
      <c r="AF423" s="60"/>
      <c r="AG423" s="61"/>
      <c r="AJ423" s="60"/>
      <c r="AK423" s="62"/>
      <c r="AL423" s="63"/>
      <c r="AM423" s="63"/>
      <c r="AN423" s="64"/>
      <c r="AO423" s="63"/>
      <c r="AP423" s="60"/>
      <c r="AR423" s="60"/>
      <c r="AS423" s="62"/>
      <c r="AW423" s="60"/>
      <c r="AZ423" s="60"/>
      <c r="BC423" s="60"/>
      <c r="BK423" s="60"/>
      <c r="BL423" s="60"/>
      <c r="BM423" s="60"/>
      <c r="BN423" s="60"/>
      <c r="BO423" s="60"/>
      <c r="BR423" s="60"/>
      <c r="BS423" s="65"/>
      <c r="BU423" s="60"/>
      <c r="CF423" s="66"/>
      <c r="CP423" s="30"/>
    </row>
    <row r="424" spans="1:94" x14ac:dyDescent="0.3">
      <c r="A424" s="4">
        <v>104</v>
      </c>
      <c r="B424" s="4" t="s">
        <v>0</v>
      </c>
      <c r="C424" s="4" t="s">
        <v>1</v>
      </c>
      <c r="D424" s="4" t="s">
        <v>4</v>
      </c>
      <c r="E424" s="4">
        <v>5</v>
      </c>
      <c r="F424" s="4" t="s">
        <v>7</v>
      </c>
      <c r="G424" s="4">
        <v>6.95</v>
      </c>
      <c r="H424" s="4">
        <v>6</v>
      </c>
      <c r="I424" s="4">
        <v>6.3220000000000001</v>
      </c>
      <c r="J424" s="4">
        <v>5.2439999999999998</v>
      </c>
      <c r="K424" s="4">
        <v>17.0515659601392</v>
      </c>
      <c r="L424" s="4">
        <v>24.546762589928061</v>
      </c>
      <c r="M424" s="7">
        <f t="shared" si="41"/>
        <v>2.0734165629033026</v>
      </c>
      <c r="N424" s="4">
        <v>47.99</v>
      </c>
      <c r="O424" s="4">
        <v>1.214</v>
      </c>
      <c r="P424" s="4">
        <v>7.5860000000000003</v>
      </c>
      <c r="Q424" s="4">
        <v>2.0390000000000001</v>
      </c>
      <c r="R424" s="4">
        <v>1.8939999999999999</v>
      </c>
      <c r="AF424" s="60"/>
      <c r="AG424" s="61"/>
      <c r="AJ424" s="60"/>
      <c r="AK424" s="62"/>
      <c r="AL424" s="63"/>
      <c r="AM424" s="63"/>
      <c r="AN424" s="64"/>
      <c r="AO424" s="63"/>
      <c r="AP424" s="60"/>
      <c r="AR424" s="60"/>
      <c r="AS424" s="62"/>
      <c r="AW424" s="60"/>
      <c r="AZ424" s="60"/>
      <c r="BC424" s="60"/>
      <c r="BK424" s="60"/>
      <c r="BL424" s="60"/>
      <c r="BM424" s="60"/>
      <c r="BN424" s="60"/>
      <c r="BO424" s="60"/>
      <c r="BR424" s="60"/>
      <c r="BS424" s="65"/>
      <c r="BU424" s="60"/>
      <c r="CF424" s="66"/>
      <c r="CP424" s="30"/>
    </row>
    <row r="425" spans="1:94" x14ac:dyDescent="0.3">
      <c r="A425" s="4">
        <v>112</v>
      </c>
      <c r="B425" s="4" t="s">
        <v>0</v>
      </c>
      <c r="C425" s="4" t="s">
        <v>1</v>
      </c>
      <c r="D425" s="4" t="s">
        <v>4</v>
      </c>
      <c r="E425" s="4">
        <v>3</v>
      </c>
      <c r="F425" s="4" t="s">
        <v>7</v>
      </c>
      <c r="G425" s="4">
        <v>7.03</v>
      </c>
      <c r="H425" s="4">
        <v>6</v>
      </c>
      <c r="I425" s="4">
        <v>6.1449999999999996</v>
      </c>
      <c r="J425" s="4">
        <v>5.5119999999999996</v>
      </c>
      <c r="K425" s="4">
        <v>10.301057770545158</v>
      </c>
      <c r="L425" s="4">
        <v>21.593172119487917</v>
      </c>
      <c r="M425" s="7">
        <f t="shared" si="41"/>
        <v>2.035018641339271</v>
      </c>
      <c r="N425" s="4">
        <v>48.09</v>
      </c>
      <c r="O425" s="4">
        <v>1.105</v>
      </c>
      <c r="P425" s="4">
        <v>6.9059999999999997</v>
      </c>
      <c r="Q425" s="4">
        <v>1.4319999999999999</v>
      </c>
      <c r="R425" s="4">
        <v>1.194</v>
      </c>
      <c r="AF425" s="60"/>
      <c r="AG425" s="61"/>
      <c r="AJ425" s="60"/>
      <c r="AK425" s="62"/>
      <c r="AL425" s="63"/>
      <c r="AM425" s="63"/>
      <c r="AN425" s="64"/>
      <c r="AO425" s="63"/>
      <c r="AP425" s="60"/>
      <c r="AR425" s="60"/>
      <c r="AS425" s="62"/>
      <c r="AW425" s="60"/>
      <c r="AZ425" s="60"/>
      <c r="BC425" s="60"/>
      <c r="BK425" s="60"/>
      <c r="BL425" s="60"/>
      <c r="BM425" s="60"/>
      <c r="BN425" s="60"/>
      <c r="BO425" s="60"/>
      <c r="BR425" s="60"/>
      <c r="BS425" s="65"/>
      <c r="BU425" s="60"/>
      <c r="CF425" s="66"/>
      <c r="CP425" s="30"/>
    </row>
    <row r="426" spans="1:94" x14ac:dyDescent="0.3">
      <c r="A426" s="4">
        <v>114</v>
      </c>
      <c r="B426" s="4" t="s">
        <v>0</v>
      </c>
      <c r="C426" s="4" t="s">
        <v>1</v>
      </c>
      <c r="D426" s="4" t="s">
        <v>4</v>
      </c>
      <c r="E426" s="4">
        <v>1</v>
      </c>
      <c r="F426" s="4" t="s">
        <v>7</v>
      </c>
      <c r="G426" s="4">
        <v>6.63</v>
      </c>
      <c r="H426" s="4">
        <v>6</v>
      </c>
      <c r="I426" s="4">
        <v>6.2329999999999997</v>
      </c>
      <c r="J426" s="4">
        <v>5.2880000000000003</v>
      </c>
      <c r="K426" s="4">
        <v>15.16123856890742</v>
      </c>
      <c r="L426" s="4">
        <v>20.241327300150825</v>
      </c>
      <c r="M426" s="7">
        <f t="shared" si="41"/>
        <v>2.0179241708764408</v>
      </c>
      <c r="N426" s="4">
        <v>44.73</v>
      </c>
      <c r="O426" s="4">
        <v>1.3149999999999999</v>
      </c>
      <c r="P426" s="4">
        <v>8.2210000000000001</v>
      </c>
      <c r="Q426" s="4">
        <v>0.95</v>
      </c>
      <c r="R426" s="4">
        <v>0.72799999999999998</v>
      </c>
      <c r="AF426" s="60"/>
      <c r="AG426" s="61"/>
      <c r="AJ426" s="60"/>
      <c r="AK426" s="62"/>
      <c r="AL426" s="63"/>
      <c r="AM426" s="63"/>
      <c r="AN426" s="64"/>
      <c r="AO426" s="63"/>
      <c r="AP426" s="60"/>
      <c r="AR426" s="60"/>
      <c r="AS426" s="62"/>
      <c r="AW426" s="60"/>
      <c r="AZ426" s="60"/>
      <c r="BC426" s="60"/>
      <c r="BK426" s="60"/>
      <c r="BL426" s="60"/>
      <c r="BM426" s="60"/>
      <c r="BN426" s="60"/>
      <c r="BO426" s="60"/>
      <c r="BR426" s="60"/>
      <c r="BS426" s="65"/>
      <c r="BU426" s="60"/>
      <c r="CF426" s="66"/>
      <c r="CP426" s="30"/>
    </row>
    <row r="427" spans="1:94" x14ac:dyDescent="0.3">
      <c r="A427" s="4">
        <v>116</v>
      </c>
      <c r="B427" s="4" t="s">
        <v>0</v>
      </c>
      <c r="C427" s="4" t="s">
        <v>14</v>
      </c>
      <c r="D427" s="4" t="s">
        <v>4</v>
      </c>
      <c r="E427" s="4">
        <v>4</v>
      </c>
      <c r="F427" s="4" t="s">
        <v>7</v>
      </c>
      <c r="G427" s="4">
        <v>6.97</v>
      </c>
      <c r="H427" s="4">
        <v>6</v>
      </c>
      <c r="I427" s="4">
        <v>6.2009999999999996</v>
      </c>
      <c r="J427" s="4">
        <v>5.3529999999999998</v>
      </c>
      <c r="K427" s="4">
        <v>13.675213675213675</v>
      </c>
      <c r="L427" s="4">
        <v>23.199426111908178</v>
      </c>
      <c r="M427" s="7">
        <f t="shared" si="41"/>
        <v>2.0557175425892433</v>
      </c>
      <c r="N427" s="4">
        <v>48.59</v>
      </c>
      <c r="O427" s="4">
        <v>1.0940000000000001</v>
      </c>
      <c r="P427" s="4">
        <v>6.835</v>
      </c>
      <c r="Q427" s="4">
        <v>1.56</v>
      </c>
      <c r="R427" s="4">
        <v>1.43</v>
      </c>
      <c r="AF427" s="60"/>
      <c r="AG427" s="61"/>
      <c r="AJ427" s="60"/>
      <c r="AK427" s="62"/>
      <c r="AL427" s="63"/>
      <c r="AM427" s="63"/>
      <c r="AN427" s="64"/>
      <c r="AO427" s="63"/>
      <c r="AP427" s="60"/>
      <c r="AR427" s="60"/>
      <c r="AS427" s="62"/>
      <c r="AW427" s="60"/>
      <c r="AZ427" s="60"/>
      <c r="BC427" s="60"/>
      <c r="BK427" s="60"/>
      <c r="BL427" s="60"/>
      <c r="BM427" s="60"/>
      <c r="BN427" s="60"/>
      <c r="BO427" s="60"/>
      <c r="BR427" s="60"/>
      <c r="BS427" s="65"/>
      <c r="BU427" s="60"/>
      <c r="CF427" s="66"/>
      <c r="CP427" s="30"/>
    </row>
    <row r="428" spans="1:94" x14ac:dyDescent="0.3">
      <c r="A428" s="4">
        <v>188</v>
      </c>
      <c r="B428" s="4" t="s">
        <v>0</v>
      </c>
      <c r="C428" s="4" t="s">
        <v>14</v>
      </c>
      <c r="D428" s="4" t="s">
        <v>5</v>
      </c>
      <c r="E428" s="4">
        <v>4</v>
      </c>
      <c r="F428" s="4" t="s">
        <v>7</v>
      </c>
      <c r="G428" s="4">
        <v>7.08</v>
      </c>
      <c r="H428" s="4">
        <v>6</v>
      </c>
      <c r="I428" s="4">
        <v>6.351</v>
      </c>
      <c r="J428" s="4">
        <v>5.58</v>
      </c>
      <c r="K428" s="4">
        <v>12.139820500708549</v>
      </c>
      <c r="L428" s="4">
        <v>21.1864406779661</v>
      </c>
      <c r="M428" s="7">
        <f t="shared" si="41"/>
        <v>2.0298446005404638</v>
      </c>
      <c r="N428" s="4">
        <v>46.56</v>
      </c>
      <c r="O428" s="4">
        <v>0.84399999999999997</v>
      </c>
      <c r="P428" s="4">
        <v>5.2729999999999997</v>
      </c>
      <c r="Q428" s="4">
        <v>0.66400000000000003</v>
      </c>
      <c r="R428" s="4">
        <v>0.76600000000000001</v>
      </c>
      <c r="AF428" s="60"/>
      <c r="AG428" s="61"/>
      <c r="AJ428" s="60"/>
      <c r="AK428" s="62"/>
      <c r="AL428" s="63"/>
      <c r="AM428" s="63"/>
      <c r="AN428" s="64"/>
      <c r="AO428" s="63"/>
      <c r="AP428" s="60"/>
      <c r="AR428" s="60"/>
      <c r="AS428" s="62"/>
      <c r="AW428" s="60"/>
      <c r="AZ428" s="60"/>
      <c r="BC428" s="60"/>
      <c r="BK428" s="60"/>
      <c r="BL428" s="60"/>
      <c r="BM428" s="60"/>
      <c r="BN428" s="60"/>
      <c r="BO428" s="60"/>
      <c r="BR428" s="60"/>
      <c r="BS428" s="65"/>
      <c r="BU428" s="60"/>
      <c r="CF428" s="66"/>
      <c r="CP428" s="30"/>
    </row>
    <row r="429" spans="1:94" x14ac:dyDescent="0.3">
      <c r="A429" s="4">
        <v>195</v>
      </c>
      <c r="B429" s="4" t="s">
        <v>0</v>
      </c>
      <c r="C429" s="4" t="s">
        <v>14</v>
      </c>
      <c r="D429" s="4" t="s">
        <v>5</v>
      </c>
      <c r="E429" s="4">
        <v>5</v>
      </c>
      <c r="F429" s="4" t="s">
        <v>7</v>
      </c>
      <c r="G429" s="4">
        <v>7.01</v>
      </c>
      <c r="H429" s="4">
        <v>6</v>
      </c>
      <c r="I429" s="4">
        <v>6.4690000000000003</v>
      </c>
      <c r="J429" s="4">
        <v>5.5940000000000003</v>
      </c>
      <c r="K429" s="4">
        <v>13.526047302519709</v>
      </c>
      <c r="L429" s="4">
        <v>20.199714693295288</v>
      </c>
      <c r="M429" s="7">
        <f t="shared" si="41"/>
        <v>2.0174025754947857</v>
      </c>
      <c r="N429" s="4">
        <v>47.82</v>
      </c>
      <c r="O429" s="4">
        <v>0.77100000000000002</v>
      </c>
      <c r="P429" s="4">
        <v>4.8209999999999997</v>
      </c>
      <c r="Q429" s="4">
        <v>0.96399999999999997</v>
      </c>
      <c r="R429" s="4">
        <v>1.6180000000000001</v>
      </c>
      <c r="AF429" s="60"/>
      <c r="AG429" s="61"/>
      <c r="AJ429" s="60"/>
      <c r="AK429" s="62"/>
      <c r="AL429" s="63"/>
      <c r="AM429" s="63"/>
      <c r="AN429" s="64"/>
      <c r="AO429" s="63"/>
      <c r="AP429" s="60"/>
      <c r="AR429" s="60"/>
      <c r="AS429" s="62"/>
      <c r="AW429" s="60"/>
      <c r="AZ429" s="60"/>
      <c r="BC429" s="60"/>
      <c r="BK429" s="60"/>
      <c r="BL429" s="60"/>
      <c r="BM429" s="60"/>
      <c r="BN429" s="60"/>
      <c r="BO429" s="60"/>
      <c r="BR429" s="60"/>
      <c r="BS429" s="65"/>
      <c r="BU429" s="60"/>
      <c r="CF429" s="66"/>
      <c r="CP429" s="30"/>
    </row>
    <row r="430" spans="1:94" x14ac:dyDescent="0.3">
      <c r="A430" s="4">
        <v>199</v>
      </c>
      <c r="B430" s="4" t="s">
        <v>0</v>
      </c>
      <c r="C430" s="4" t="s">
        <v>1</v>
      </c>
      <c r="D430" s="4" t="s">
        <v>5</v>
      </c>
      <c r="E430" s="4">
        <v>5</v>
      </c>
      <c r="F430" s="4" t="s">
        <v>7</v>
      </c>
      <c r="G430" s="4">
        <v>7.05</v>
      </c>
      <c r="H430" s="4">
        <v>6</v>
      </c>
      <c r="I430" s="4">
        <v>6.6609999999999996</v>
      </c>
      <c r="J430" s="4">
        <v>5.5019999999999998</v>
      </c>
      <c r="K430" s="4">
        <v>17.399789821348143</v>
      </c>
      <c r="L430" s="4">
        <v>21.957446808510639</v>
      </c>
      <c r="M430" s="7">
        <f t="shared" si="41"/>
        <v>2.0396754235498493</v>
      </c>
      <c r="N430" s="4">
        <v>47.23</v>
      </c>
      <c r="O430" s="4">
        <v>0.82199999999999995</v>
      </c>
      <c r="P430" s="4">
        <v>5.1390000000000002</v>
      </c>
      <c r="Q430" s="4">
        <v>0.73899999999999999</v>
      </c>
      <c r="R430" s="4">
        <v>1.0009999999999999</v>
      </c>
      <c r="AF430" s="60"/>
      <c r="AG430" s="61"/>
      <c r="AJ430" s="60"/>
      <c r="AK430" s="62"/>
      <c r="AL430" s="63"/>
      <c r="AM430" s="63"/>
      <c r="AN430" s="64"/>
      <c r="AO430" s="63"/>
      <c r="AP430" s="60"/>
      <c r="AR430" s="60"/>
      <c r="AS430" s="62"/>
      <c r="AW430" s="60"/>
      <c r="AZ430" s="60"/>
      <c r="BC430" s="60"/>
      <c r="BK430" s="60"/>
      <c r="BL430" s="60"/>
      <c r="BM430" s="60"/>
      <c r="BN430" s="60"/>
      <c r="BO430" s="60"/>
      <c r="BR430" s="60"/>
      <c r="BS430" s="65"/>
      <c r="BU430" s="60"/>
      <c r="CF430" s="66"/>
      <c r="CP430" s="30"/>
    </row>
    <row r="431" spans="1:94" x14ac:dyDescent="0.3">
      <c r="A431" s="4">
        <v>202</v>
      </c>
      <c r="B431" s="4" t="s">
        <v>0</v>
      </c>
      <c r="C431" s="4" t="s">
        <v>1</v>
      </c>
      <c r="D431" s="4" t="s">
        <v>5</v>
      </c>
      <c r="E431" s="4">
        <v>3</v>
      </c>
      <c r="F431" s="4" t="s">
        <v>7</v>
      </c>
      <c r="G431" s="4">
        <v>6.95</v>
      </c>
      <c r="H431" s="4">
        <v>6</v>
      </c>
      <c r="I431" s="4">
        <v>6.56</v>
      </c>
      <c r="J431" s="4">
        <v>5.6260000000000003</v>
      </c>
      <c r="K431" s="4">
        <v>14.23780487804877</v>
      </c>
      <c r="L431" s="4">
        <v>19.050359712230215</v>
      </c>
      <c r="M431" s="7">
        <f t="shared" si="41"/>
        <v>2.0031024187370905</v>
      </c>
      <c r="N431" s="4">
        <v>47.23</v>
      </c>
      <c r="O431" s="4">
        <v>0.85799999999999998</v>
      </c>
      <c r="P431" s="4">
        <v>5.3609999999999998</v>
      </c>
      <c r="Q431" s="4">
        <v>0.78300000000000003</v>
      </c>
      <c r="R431" s="4">
        <v>1.3420000000000001</v>
      </c>
      <c r="AF431" s="60"/>
      <c r="AG431" s="61"/>
      <c r="AJ431" s="60"/>
      <c r="AK431" s="62"/>
      <c r="AL431" s="63"/>
      <c r="AM431" s="63"/>
      <c r="AN431" s="64"/>
      <c r="AO431" s="63"/>
      <c r="AP431" s="60"/>
      <c r="AR431" s="60"/>
      <c r="AS431" s="62"/>
      <c r="AW431" s="60"/>
      <c r="AZ431" s="60"/>
      <c r="BC431" s="60"/>
      <c r="BK431" s="60"/>
      <c r="BL431" s="60"/>
      <c r="BM431" s="60"/>
      <c r="BN431" s="60"/>
      <c r="BO431" s="60"/>
      <c r="BR431" s="60"/>
      <c r="BS431" s="65"/>
      <c r="BU431" s="60"/>
      <c r="CF431" s="66"/>
      <c r="CP431" s="30"/>
    </row>
    <row r="432" spans="1:94" x14ac:dyDescent="0.3">
      <c r="A432" s="4">
        <v>214</v>
      </c>
      <c r="B432" s="4" t="s">
        <v>0</v>
      </c>
      <c r="C432" s="4" t="s">
        <v>1</v>
      </c>
      <c r="D432" s="4" t="s">
        <v>5</v>
      </c>
      <c r="E432" s="4">
        <v>4</v>
      </c>
      <c r="F432" s="4" t="s">
        <v>7</v>
      </c>
      <c r="G432" s="4">
        <v>6.98</v>
      </c>
      <c r="H432" s="4">
        <v>6</v>
      </c>
      <c r="I432" s="4">
        <v>6.3360000000000003</v>
      </c>
      <c r="J432" s="4">
        <v>5.2480000000000002</v>
      </c>
      <c r="K432" s="4">
        <v>17.171717171717169</v>
      </c>
      <c r="L432" s="4">
        <v>24.813753581661892</v>
      </c>
      <c r="M432" s="7">
        <f t="shared" si="41"/>
        <v>2.0769613343605484</v>
      </c>
      <c r="N432" s="4">
        <v>46.24</v>
      </c>
      <c r="O432" s="4">
        <v>1.1659999999999999</v>
      </c>
      <c r="P432" s="4">
        <v>7.2850000000000001</v>
      </c>
      <c r="Q432" s="4">
        <v>0.42899999999999999</v>
      </c>
      <c r="R432" s="4">
        <v>0.23899999999999999</v>
      </c>
      <c r="AF432" s="60"/>
      <c r="AG432" s="61"/>
      <c r="AJ432" s="60"/>
      <c r="AK432" s="62"/>
      <c r="AL432" s="63"/>
      <c r="AM432" s="63"/>
      <c r="AN432" s="64"/>
      <c r="AO432" s="63"/>
      <c r="AP432" s="60"/>
      <c r="AR432" s="60"/>
      <c r="AS432" s="62"/>
      <c r="AW432" s="60"/>
      <c r="AZ432" s="60"/>
      <c r="BC432" s="60"/>
      <c r="BK432" s="60"/>
      <c r="BL432" s="60"/>
      <c r="BM432" s="60"/>
      <c r="BN432" s="60"/>
      <c r="BO432" s="60"/>
      <c r="BR432" s="60"/>
      <c r="BS432" s="65"/>
      <c r="BU432" s="60"/>
      <c r="CF432" s="66"/>
      <c r="CP432" s="30"/>
    </row>
    <row r="433" spans="1:94" x14ac:dyDescent="0.3">
      <c r="A433" s="4">
        <v>224</v>
      </c>
      <c r="B433" s="4" t="s">
        <v>0</v>
      </c>
      <c r="C433" s="4" t="s">
        <v>14</v>
      </c>
      <c r="D433" s="4" t="s">
        <v>5</v>
      </c>
      <c r="E433" s="4">
        <v>3</v>
      </c>
      <c r="F433" s="4" t="s">
        <v>7</v>
      </c>
      <c r="G433" s="4">
        <v>7.05</v>
      </c>
      <c r="H433" s="4">
        <v>6</v>
      </c>
      <c r="I433" s="4">
        <v>6.0540000000000003</v>
      </c>
      <c r="J433" s="4">
        <v>5.375</v>
      </c>
      <c r="K433" s="4">
        <v>11.215725140403043</v>
      </c>
      <c r="L433" s="4">
        <v>23.75886524822695</v>
      </c>
      <c r="M433" s="7">
        <f t="shared" si="41"/>
        <v>2.0630285120385055</v>
      </c>
      <c r="N433" s="4">
        <v>41.28</v>
      </c>
      <c r="O433" s="4">
        <v>1.278</v>
      </c>
      <c r="P433" s="4">
        <v>7.9850000000000003</v>
      </c>
      <c r="Q433" s="4">
        <v>1.1559999999999999</v>
      </c>
      <c r="R433" s="4">
        <v>1.415</v>
      </c>
      <c r="AF433" s="60"/>
      <c r="AG433" s="61"/>
      <c r="AJ433" s="60"/>
      <c r="AK433" s="62"/>
      <c r="AL433" s="63"/>
      <c r="AM433" s="63"/>
      <c r="AN433" s="64"/>
      <c r="AO433" s="63"/>
      <c r="AP433" s="60"/>
      <c r="AR433" s="60"/>
      <c r="AS433" s="62"/>
      <c r="AW433" s="60"/>
      <c r="AZ433" s="60"/>
      <c r="BC433" s="60"/>
      <c r="BK433" s="60"/>
      <c r="BL433" s="60"/>
      <c r="BM433" s="60"/>
      <c r="BN433" s="60"/>
      <c r="BO433" s="60"/>
      <c r="BR433" s="60"/>
      <c r="BS433" s="65"/>
      <c r="BU433" s="60"/>
      <c r="CF433" s="66"/>
      <c r="CP433" s="30"/>
    </row>
    <row r="434" spans="1:94" x14ac:dyDescent="0.3">
      <c r="A434" s="4">
        <v>226</v>
      </c>
      <c r="B434" s="4" t="s">
        <v>0</v>
      </c>
      <c r="C434" s="4" t="s">
        <v>14</v>
      </c>
      <c r="D434" s="4" t="s">
        <v>5</v>
      </c>
      <c r="E434" s="4"/>
      <c r="F434" s="4" t="s">
        <v>7</v>
      </c>
      <c r="G434" s="4">
        <v>7.06</v>
      </c>
      <c r="H434" s="4">
        <v>6</v>
      </c>
      <c r="I434" s="4">
        <v>6.34</v>
      </c>
      <c r="J434" s="4">
        <v>5.6660000000000004</v>
      </c>
      <c r="K434" s="4">
        <v>10.630914826498415</v>
      </c>
      <c r="L434" s="4">
        <v>19.74504249291784</v>
      </c>
      <c r="M434" s="7">
        <f t="shared" si="41"/>
        <v>2.0117211193248807</v>
      </c>
      <c r="N434" s="4">
        <v>46.72</v>
      </c>
      <c r="O434" s="4">
        <v>1.0740000000000001</v>
      </c>
      <c r="P434" s="4">
        <v>6.7149999999999999</v>
      </c>
      <c r="Q434" s="4">
        <v>0.69299999999999995</v>
      </c>
      <c r="R434" s="4">
        <v>0.77500000000000002</v>
      </c>
      <c r="AF434" s="60"/>
      <c r="AG434" s="61"/>
      <c r="AJ434" s="60"/>
      <c r="AK434" s="62"/>
      <c r="AL434" s="63"/>
      <c r="AM434" s="63"/>
      <c r="AN434" s="64"/>
      <c r="AO434" s="63"/>
      <c r="AP434" s="60"/>
      <c r="AR434" s="60"/>
      <c r="AS434" s="62"/>
      <c r="AW434" s="60"/>
      <c r="AZ434" s="60"/>
      <c r="BC434" s="60"/>
      <c r="BK434" s="60"/>
      <c r="BL434" s="60"/>
      <c r="BM434" s="60"/>
      <c r="BN434" s="60"/>
      <c r="BO434" s="60"/>
      <c r="BR434" s="60"/>
      <c r="BS434" s="65"/>
      <c r="BU434" s="60"/>
      <c r="CF434" s="66"/>
      <c r="CP434" s="30"/>
    </row>
    <row r="435" spans="1:94" x14ac:dyDescent="0.3">
      <c r="A435" s="4">
        <v>228</v>
      </c>
      <c r="B435" s="4" t="s">
        <v>0</v>
      </c>
      <c r="C435" s="4" t="s">
        <v>14</v>
      </c>
      <c r="D435" s="4" t="s">
        <v>5</v>
      </c>
      <c r="E435" s="4">
        <v>2</v>
      </c>
      <c r="F435" s="4" t="s">
        <v>7</v>
      </c>
      <c r="G435" s="4">
        <v>7.05</v>
      </c>
      <c r="H435" s="4">
        <v>6</v>
      </c>
      <c r="I435" s="4">
        <v>6.4420000000000002</v>
      </c>
      <c r="J435" s="4">
        <v>5.7030000000000003</v>
      </c>
      <c r="K435" s="4">
        <v>11.47159267308289</v>
      </c>
      <c r="L435" s="4">
        <v>19.106382978723399</v>
      </c>
      <c r="M435" s="7">
        <f t="shared" si="41"/>
        <v>2.0037947338778306</v>
      </c>
      <c r="N435" s="4">
        <v>47.09</v>
      </c>
      <c r="O435" s="4">
        <v>0.97499999999999998</v>
      </c>
      <c r="P435" s="4">
        <v>6.093</v>
      </c>
      <c r="Q435" s="4">
        <v>0.70699999999999996</v>
      </c>
      <c r="R435" s="4">
        <v>1.117</v>
      </c>
      <c r="AF435" s="60"/>
      <c r="AG435" s="61"/>
      <c r="AJ435" s="60"/>
      <c r="AK435" s="62"/>
      <c r="AL435" s="63"/>
      <c r="AM435" s="63"/>
      <c r="AN435" s="64"/>
      <c r="AO435" s="63"/>
      <c r="AP435" s="60"/>
      <c r="AR435" s="60"/>
      <c r="AS435" s="62"/>
      <c r="AW435" s="60"/>
      <c r="AZ435" s="60"/>
      <c r="BC435" s="60"/>
      <c r="BK435" s="60"/>
      <c r="BL435" s="60"/>
      <c r="BM435" s="60"/>
      <c r="BN435" s="60"/>
      <c r="BO435" s="60"/>
      <c r="BR435" s="60"/>
      <c r="BS435" s="65"/>
      <c r="BU435" s="60"/>
      <c r="CF435" s="66"/>
      <c r="CP435" s="30"/>
    </row>
    <row r="436" spans="1:94" x14ac:dyDescent="0.3">
      <c r="A436" s="4">
        <v>229</v>
      </c>
      <c r="B436" s="4" t="s">
        <v>0</v>
      </c>
      <c r="C436" s="4" t="s">
        <v>1</v>
      </c>
      <c r="D436" s="4" t="s">
        <v>5</v>
      </c>
      <c r="E436" s="4">
        <v>1</v>
      </c>
      <c r="F436" s="4" t="s">
        <v>7</v>
      </c>
      <c r="G436" s="4">
        <v>7.04</v>
      </c>
      <c r="H436" s="4">
        <v>6</v>
      </c>
      <c r="I436" s="4">
        <v>6.7350000000000003</v>
      </c>
      <c r="J436" s="4">
        <v>5.6120000000000001</v>
      </c>
      <c r="K436" s="4">
        <v>16.674090571640683</v>
      </c>
      <c r="L436" s="4">
        <v>20.284090909090907</v>
      </c>
      <c r="M436" s="7">
        <f t="shared" si="41"/>
        <v>2.0184604771577916</v>
      </c>
      <c r="N436" s="4">
        <v>46.08</v>
      </c>
      <c r="O436" s="4">
        <v>1.036</v>
      </c>
      <c r="P436" s="4">
        <v>6.4720000000000004</v>
      </c>
      <c r="Q436" s="4">
        <v>0.65</v>
      </c>
      <c r="R436" s="4">
        <v>0.78300000000000003</v>
      </c>
      <c r="AF436" s="60"/>
      <c r="AG436" s="61"/>
      <c r="AJ436" s="60"/>
      <c r="AK436" s="62"/>
      <c r="AL436" s="63"/>
      <c r="AM436" s="63"/>
      <c r="AN436" s="64"/>
      <c r="AO436" s="63"/>
      <c r="AP436" s="60"/>
      <c r="AR436" s="60"/>
      <c r="AS436" s="62"/>
      <c r="AW436" s="60"/>
      <c r="AZ436" s="60"/>
      <c r="BC436" s="60"/>
      <c r="BK436" s="60"/>
      <c r="BL436" s="60"/>
      <c r="BM436" s="60"/>
      <c r="BN436" s="60"/>
      <c r="BO436" s="60"/>
      <c r="BR436" s="60"/>
      <c r="BS436" s="65"/>
      <c r="BU436" s="60"/>
      <c r="CF436" s="66"/>
      <c r="CP436" s="30"/>
    </row>
    <row r="437" spans="1:94" x14ac:dyDescent="0.3">
      <c r="A437" s="4">
        <v>233</v>
      </c>
      <c r="B437" s="4" t="s">
        <v>0</v>
      </c>
      <c r="C437" s="4" t="s">
        <v>1</v>
      </c>
      <c r="D437" s="4" t="s">
        <v>5</v>
      </c>
      <c r="E437" s="4">
        <v>2</v>
      </c>
      <c r="F437" s="4" t="s">
        <v>7</v>
      </c>
      <c r="G437" s="4">
        <v>7.01</v>
      </c>
      <c r="H437" s="4">
        <v>6</v>
      </c>
      <c r="I437" s="4">
        <v>6.4550000000000001</v>
      </c>
      <c r="J437" s="4">
        <v>5.6340000000000003</v>
      </c>
      <c r="K437" s="4">
        <v>12.718822618125481</v>
      </c>
      <c r="L437" s="4">
        <v>19.629101283880164</v>
      </c>
      <c r="M437" s="7">
        <f t="shared" si="41"/>
        <v>2.010277500820373</v>
      </c>
      <c r="N437" s="4">
        <v>46.64</v>
      </c>
      <c r="O437" s="4">
        <v>1.089</v>
      </c>
      <c r="P437" s="4">
        <v>6.8090000000000002</v>
      </c>
      <c r="Q437" s="4">
        <v>0.96699999999999997</v>
      </c>
      <c r="R437" s="4">
        <v>1.2879999999999998</v>
      </c>
      <c r="AF437" s="60"/>
      <c r="AG437" s="61"/>
      <c r="AJ437" s="60"/>
      <c r="AK437" s="62"/>
      <c r="AL437" s="63"/>
      <c r="AM437" s="63"/>
      <c r="AN437" s="64"/>
      <c r="AO437" s="63"/>
      <c r="AP437" s="60"/>
      <c r="AR437" s="60"/>
      <c r="AS437" s="62"/>
      <c r="AW437" s="60"/>
      <c r="AZ437" s="60"/>
      <c r="BC437" s="60"/>
      <c r="BK437" s="60"/>
      <c r="BL437" s="60"/>
      <c r="BM437" s="60"/>
      <c r="BN437" s="60"/>
      <c r="BO437" s="60"/>
      <c r="BR437" s="60"/>
      <c r="BS437" s="65"/>
      <c r="BU437" s="60"/>
      <c r="CF437" s="66"/>
      <c r="CP437" s="30"/>
    </row>
    <row r="438" spans="1:94" x14ac:dyDescent="0.3">
      <c r="A438" s="4">
        <v>239</v>
      </c>
      <c r="B438" s="4" t="s">
        <v>0</v>
      </c>
      <c r="C438" s="4" t="s">
        <v>14</v>
      </c>
      <c r="D438" s="4" t="s">
        <v>5</v>
      </c>
      <c r="E438" s="4">
        <v>2</v>
      </c>
      <c r="F438" s="4" t="s">
        <v>7</v>
      </c>
      <c r="G438" s="4">
        <v>7.08</v>
      </c>
      <c r="H438" s="4">
        <v>6</v>
      </c>
      <c r="I438" s="4">
        <v>6.11</v>
      </c>
      <c r="J438" s="4">
        <v>5.4710000000000001</v>
      </c>
      <c r="K438" s="4">
        <v>10.458265139116206</v>
      </c>
      <c r="L438" s="4">
        <v>22.725988700564972</v>
      </c>
      <c r="M438" s="7">
        <f t="shared" si="41"/>
        <v>2.0495719618519943</v>
      </c>
      <c r="N438" s="4">
        <v>47.17</v>
      </c>
      <c r="O438" s="4">
        <v>0.91</v>
      </c>
      <c r="P438" s="4">
        <v>5.6870000000000003</v>
      </c>
      <c r="Q438" s="4">
        <v>0.82299999999999995</v>
      </c>
      <c r="R438" s="4">
        <v>0.63500000000000001</v>
      </c>
      <c r="AF438" s="60"/>
      <c r="AG438" s="61"/>
      <c r="AJ438" s="60"/>
      <c r="AK438" s="62"/>
      <c r="AL438" s="63"/>
      <c r="AM438" s="63"/>
      <c r="AN438" s="64"/>
      <c r="AO438" s="63"/>
      <c r="AP438" s="60"/>
      <c r="AR438" s="60"/>
      <c r="AS438" s="62"/>
      <c r="AW438" s="60"/>
      <c r="AZ438" s="60"/>
      <c r="BC438" s="60"/>
      <c r="BK438" s="60"/>
      <c r="BL438" s="60"/>
      <c r="BM438" s="60"/>
      <c r="BN438" s="60"/>
      <c r="BO438" s="60"/>
      <c r="BR438" s="60"/>
      <c r="BS438" s="65"/>
      <c r="BU438" s="60"/>
      <c r="CF438" s="66"/>
      <c r="CP438" s="30"/>
    </row>
    <row r="439" spans="1:94" x14ac:dyDescent="0.3">
      <c r="A439" s="4">
        <v>301</v>
      </c>
      <c r="B439" s="4" t="s">
        <v>2</v>
      </c>
      <c r="C439" s="4" t="s">
        <v>1</v>
      </c>
      <c r="D439" s="4" t="s">
        <v>4</v>
      </c>
      <c r="E439" s="4">
        <v>1</v>
      </c>
      <c r="F439" s="4" t="s">
        <v>7</v>
      </c>
      <c r="G439" s="4">
        <v>7</v>
      </c>
      <c r="H439" s="4">
        <v>6</v>
      </c>
      <c r="I439" s="4">
        <v>27.158000000000001</v>
      </c>
      <c r="J439" s="4">
        <v>5.1909999999999998</v>
      </c>
      <c r="K439" s="4">
        <v>80.885926798733337</v>
      </c>
      <c r="L439" s="4">
        <v>25.842857142857145</v>
      </c>
      <c r="M439" s="7">
        <f t="shared" si="41"/>
        <v>2.0907432614382762</v>
      </c>
      <c r="N439" s="4">
        <v>47.61</v>
      </c>
      <c r="O439" s="4">
        <v>1.6830000000000001</v>
      </c>
      <c r="P439" s="4">
        <v>10.52</v>
      </c>
      <c r="Q439" s="4">
        <v>0.35899999999999999</v>
      </c>
      <c r="R439" s="4">
        <v>0.33900000000000002</v>
      </c>
      <c r="AF439" s="60"/>
      <c r="AG439" s="61"/>
      <c r="AJ439" s="60"/>
      <c r="AK439" s="62"/>
      <c r="AL439" s="63"/>
      <c r="AM439" s="63"/>
      <c r="AN439" s="64"/>
      <c r="AO439" s="63"/>
      <c r="AP439" s="60"/>
      <c r="AR439" s="60"/>
      <c r="AS439" s="62"/>
      <c r="AW439" s="60"/>
      <c r="AZ439" s="60"/>
      <c r="BC439" s="60"/>
      <c r="BK439" s="60"/>
      <c r="BL439" s="60"/>
      <c r="BM439" s="60"/>
      <c r="BN439" s="60"/>
      <c r="BO439" s="60"/>
      <c r="BR439" s="60"/>
      <c r="BS439" s="65"/>
      <c r="BU439" s="60"/>
      <c r="CF439" s="66"/>
      <c r="CP439" s="30"/>
    </row>
    <row r="440" spans="1:94" x14ac:dyDescent="0.3">
      <c r="A440" s="4">
        <v>310</v>
      </c>
      <c r="B440" s="4" t="s">
        <v>2</v>
      </c>
      <c r="C440" s="4" t="s">
        <v>1</v>
      </c>
      <c r="D440" s="4" t="s">
        <v>4</v>
      </c>
      <c r="E440" s="4">
        <v>5</v>
      </c>
      <c r="F440" s="4" t="s">
        <v>7</v>
      </c>
      <c r="G440" s="4">
        <v>7.07</v>
      </c>
      <c r="H440" s="4">
        <v>6</v>
      </c>
      <c r="I440" s="4">
        <v>6.7270000000000003</v>
      </c>
      <c r="J440" s="4">
        <v>5.2</v>
      </c>
      <c r="K440" s="4">
        <v>22.699568901441953</v>
      </c>
      <c r="L440" s="4">
        <v>26.449787835926454</v>
      </c>
      <c r="M440" s="7">
        <f t="shared" si="41"/>
        <v>2.0989613235491547</v>
      </c>
      <c r="N440" s="4">
        <v>47.44</v>
      </c>
      <c r="O440" s="4">
        <v>1.3220000000000001</v>
      </c>
      <c r="P440" s="4">
        <v>8.2629999999999999</v>
      </c>
      <c r="Q440" s="4">
        <v>0.91</v>
      </c>
      <c r="R440" s="4">
        <v>1.2110000000000001</v>
      </c>
      <c r="AF440" s="60"/>
      <c r="AG440" s="61"/>
      <c r="AJ440" s="60"/>
      <c r="AK440" s="62"/>
      <c r="AL440" s="63"/>
      <c r="AM440" s="63"/>
      <c r="AN440" s="64"/>
      <c r="AO440" s="63"/>
      <c r="AP440" s="60"/>
      <c r="AR440" s="60"/>
      <c r="AS440" s="62"/>
      <c r="AW440" s="60"/>
      <c r="AZ440" s="60"/>
      <c r="BC440" s="60"/>
      <c r="BK440" s="60"/>
      <c r="BL440" s="60"/>
      <c r="BM440" s="60"/>
      <c r="BN440" s="60"/>
      <c r="BO440" s="60"/>
      <c r="BR440" s="60"/>
      <c r="BS440" s="65"/>
      <c r="BU440" s="60"/>
      <c r="CF440" s="66"/>
      <c r="CP440" s="30"/>
    </row>
    <row r="441" spans="1:94" x14ac:dyDescent="0.3">
      <c r="A441" s="4">
        <v>313</v>
      </c>
      <c r="B441" s="4" t="s">
        <v>2</v>
      </c>
      <c r="C441" s="4" t="s">
        <v>14</v>
      </c>
      <c r="D441" s="4" t="s">
        <v>4</v>
      </c>
      <c r="E441" s="4">
        <v>2</v>
      </c>
      <c r="F441" s="4" t="s">
        <v>7</v>
      </c>
      <c r="G441" s="4">
        <v>7.05</v>
      </c>
      <c r="H441" s="4">
        <v>6</v>
      </c>
      <c r="I441" s="4">
        <v>6.2850000000000001</v>
      </c>
      <c r="J441" s="4">
        <v>5.5620000000000003</v>
      </c>
      <c r="K441" s="4">
        <v>11.503579952267302</v>
      </c>
      <c r="L441" s="4">
        <v>21.106382978723399</v>
      </c>
      <c r="M441" s="7">
        <f t="shared" si="41"/>
        <v>2.028829330240459</v>
      </c>
      <c r="N441" s="4">
        <v>48.2</v>
      </c>
      <c r="O441" s="4">
        <v>1.2050000000000001</v>
      </c>
      <c r="P441" s="4">
        <v>7.5279999999999996</v>
      </c>
      <c r="Q441" s="4">
        <v>1.581</v>
      </c>
      <c r="R441" s="4">
        <v>1.5980000000000001</v>
      </c>
      <c r="AF441" s="60"/>
      <c r="AG441" s="61"/>
      <c r="AJ441" s="60"/>
      <c r="AK441" s="62"/>
      <c r="AL441" s="63"/>
      <c r="AM441" s="63"/>
      <c r="AN441" s="64"/>
      <c r="AO441" s="63"/>
      <c r="AP441" s="60"/>
      <c r="AR441" s="60"/>
      <c r="AS441" s="62"/>
      <c r="AW441" s="60"/>
      <c r="AZ441" s="60"/>
      <c r="BC441" s="60"/>
      <c r="BK441" s="60"/>
      <c r="BL441" s="60"/>
      <c r="BM441" s="60"/>
      <c r="BN441" s="60"/>
      <c r="BO441" s="60"/>
      <c r="BR441" s="60"/>
      <c r="BS441" s="65"/>
      <c r="BU441" s="60"/>
      <c r="CF441" s="66"/>
      <c r="CP441" s="30"/>
    </row>
    <row r="442" spans="1:94" x14ac:dyDescent="0.3">
      <c r="A442" s="4">
        <v>315</v>
      </c>
      <c r="B442" s="4" t="s">
        <v>2</v>
      </c>
      <c r="C442" s="4" t="s">
        <v>1</v>
      </c>
      <c r="D442" s="4" t="s">
        <v>4</v>
      </c>
      <c r="E442" s="4">
        <v>4</v>
      </c>
      <c r="F442" s="4" t="s">
        <v>7</v>
      </c>
      <c r="G442" s="4">
        <v>6.97</v>
      </c>
      <c r="H442" s="4">
        <v>6</v>
      </c>
      <c r="I442" s="4">
        <v>6.234</v>
      </c>
      <c r="J442" s="4">
        <v>5.3979999999999997</v>
      </c>
      <c r="K442" s="4">
        <v>13.410330445941614</v>
      </c>
      <c r="L442" s="4">
        <v>22.553802008608322</v>
      </c>
      <c r="M442" s="7">
        <f t="shared" si="41"/>
        <v>2.0473461794046748</v>
      </c>
      <c r="N442" s="4">
        <v>47.52</v>
      </c>
      <c r="O442" s="4">
        <v>1.234</v>
      </c>
      <c r="P442" s="4">
        <v>7.7110000000000003</v>
      </c>
      <c r="Q442" s="4">
        <v>1.0189999999999999</v>
      </c>
      <c r="R442" s="4">
        <v>1.165</v>
      </c>
      <c r="AF442" s="60"/>
      <c r="AG442" s="61"/>
      <c r="AJ442" s="60"/>
      <c r="AK442" s="62"/>
      <c r="AL442" s="63"/>
      <c r="AM442" s="63"/>
      <c r="AN442" s="64"/>
      <c r="AO442" s="63"/>
      <c r="AP442" s="60"/>
      <c r="AR442" s="60"/>
      <c r="AS442" s="62"/>
      <c r="AW442" s="60"/>
      <c r="AZ442" s="60"/>
      <c r="BC442" s="60"/>
      <c r="BK442" s="60"/>
      <c r="BL442" s="60"/>
      <c r="BM442" s="60"/>
      <c r="BN442" s="60"/>
      <c r="BO442" s="60"/>
      <c r="BR442" s="60"/>
      <c r="BS442" s="65"/>
      <c r="BU442" s="60"/>
      <c r="CF442" s="66"/>
      <c r="CP442" s="30"/>
    </row>
    <row r="443" spans="1:94" x14ac:dyDescent="0.3">
      <c r="A443" s="4">
        <v>317</v>
      </c>
      <c r="B443" s="4" t="s">
        <v>2</v>
      </c>
      <c r="C443" s="4" t="s">
        <v>14</v>
      </c>
      <c r="D443" s="4" t="s">
        <v>4</v>
      </c>
      <c r="E443" s="4">
        <v>1</v>
      </c>
      <c r="F443" s="4" t="s">
        <v>7</v>
      </c>
      <c r="G443" s="4">
        <v>7.02</v>
      </c>
      <c r="H443" s="4">
        <v>6</v>
      </c>
      <c r="I443" s="4">
        <v>6.7130000000000001</v>
      </c>
      <c r="J443" s="4">
        <v>5.6040000000000001</v>
      </c>
      <c r="K443" s="4">
        <v>16.520184716222257</v>
      </c>
      <c r="L443" s="4">
        <v>20.170940170940167</v>
      </c>
      <c r="M443" s="7">
        <f t="shared" si="41"/>
        <v>2.0170420587910143</v>
      </c>
      <c r="N443" s="4">
        <v>48</v>
      </c>
      <c r="O443" s="4">
        <v>1.357</v>
      </c>
      <c r="P443" s="4">
        <v>8.48</v>
      </c>
      <c r="Q443" s="4">
        <v>0.97099999999999997</v>
      </c>
      <c r="R443" s="4">
        <v>1.0029999999999999</v>
      </c>
      <c r="AF443" s="60"/>
      <c r="AG443" s="61"/>
      <c r="AJ443" s="60"/>
      <c r="AK443" s="62"/>
      <c r="AL443" s="63"/>
      <c r="AM443" s="63"/>
      <c r="AN443" s="64"/>
      <c r="AO443" s="63"/>
      <c r="AP443" s="60"/>
      <c r="AR443" s="60"/>
      <c r="AS443" s="62"/>
      <c r="AW443" s="60"/>
      <c r="AZ443" s="60"/>
      <c r="BC443" s="60"/>
      <c r="BK443" s="60"/>
      <c r="BL443" s="60"/>
      <c r="BM443" s="60"/>
      <c r="BN443" s="60"/>
      <c r="BO443" s="60"/>
      <c r="BR443" s="60"/>
      <c r="BS443" s="65"/>
      <c r="BU443" s="60"/>
      <c r="CF443" s="66"/>
      <c r="CP443" s="30"/>
    </row>
    <row r="444" spans="1:94" x14ac:dyDescent="0.3">
      <c r="A444" s="4">
        <v>329</v>
      </c>
      <c r="B444" s="4" t="s">
        <v>2</v>
      </c>
      <c r="C444" s="4" t="s">
        <v>14</v>
      </c>
      <c r="D444" s="4" t="s">
        <v>4</v>
      </c>
      <c r="E444" s="4">
        <v>4</v>
      </c>
      <c r="F444" s="4" t="s">
        <v>7</v>
      </c>
      <c r="G444" s="4">
        <v>7.02</v>
      </c>
      <c r="H444" s="4">
        <v>6</v>
      </c>
      <c r="I444" s="4">
        <v>6.2160000000000002</v>
      </c>
      <c r="J444" s="4">
        <v>5.1289999999999996</v>
      </c>
      <c r="K444" s="4">
        <v>17.487129987129997</v>
      </c>
      <c r="L444" s="4">
        <v>26.93732193732194</v>
      </c>
      <c r="M444" s="7">
        <f t="shared" si="41"/>
        <v>2.1056119788586432</v>
      </c>
      <c r="N444" s="4">
        <v>47.13</v>
      </c>
      <c r="O444" s="4">
        <v>1.508</v>
      </c>
      <c r="P444" s="4">
        <v>9.4269999999999996</v>
      </c>
      <c r="Q444" s="4">
        <v>0.76300000000000001</v>
      </c>
      <c r="R444" s="4">
        <v>0.96499999999999997</v>
      </c>
      <c r="AF444" s="60"/>
      <c r="AG444" s="61"/>
      <c r="AJ444" s="60"/>
      <c r="AK444" s="62"/>
      <c r="AL444" s="63"/>
      <c r="AM444" s="63"/>
      <c r="AN444" s="64"/>
      <c r="AO444" s="63"/>
      <c r="AP444" s="60"/>
      <c r="AR444" s="60"/>
      <c r="AS444" s="62"/>
      <c r="AW444" s="60"/>
      <c r="AZ444" s="60"/>
      <c r="BC444" s="60"/>
      <c r="BK444" s="60"/>
      <c r="BL444" s="60"/>
      <c r="BM444" s="60"/>
      <c r="BN444" s="60"/>
      <c r="BO444" s="60"/>
      <c r="BR444" s="60"/>
      <c r="BS444" s="65"/>
      <c r="BU444" s="60"/>
      <c r="CF444" s="66"/>
      <c r="CP444" s="30"/>
    </row>
    <row r="445" spans="1:94" x14ac:dyDescent="0.3">
      <c r="A445" s="4">
        <v>341</v>
      </c>
      <c r="B445" s="4" t="s">
        <v>2</v>
      </c>
      <c r="C445" s="4" t="s">
        <v>14</v>
      </c>
      <c r="D445" s="4" t="s">
        <v>4</v>
      </c>
      <c r="E445" s="4">
        <v>3</v>
      </c>
      <c r="F445" s="4" t="s">
        <v>7</v>
      </c>
      <c r="G445" s="4">
        <v>7.01</v>
      </c>
      <c r="H445" s="4">
        <v>6</v>
      </c>
      <c r="I445" s="4">
        <v>6.2560000000000002</v>
      </c>
      <c r="J445" s="4">
        <v>5.1639999999999997</v>
      </c>
      <c r="K445" s="4">
        <v>17.455242966751928</v>
      </c>
      <c r="L445" s="4">
        <v>26.33380884450785</v>
      </c>
      <c r="M445" s="7">
        <f t="shared" si="41"/>
        <v>2.0973856972901577</v>
      </c>
      <c r="N445" s="4">
        <v>46.25</v>
      </c>
      <c r="O445" s="4">
        <v>1.2150000000000001</v>
      </c>
      <c r="P445" s="4">
        <v>7.593</v>
      </c>
      <c r="Q445" s="4">
        <v>1.085</v>
      </c>
      <c r="R445" s="4">
        <v>0.89600000000000002</v>
      </c>
      <c r="AF445" s="60"/>
      <c r="AG445" s="61"/>
      <c r="AJ445" s="60"/>
      <c r="AK445" s="62"/>
      <c r="AL445" s="63"/>
      <c r="AM445" s="63"/>
      <c r="AN445" s="64"/>
      <c r="AO445" s="63"/>
      <c r="AP445" s="60"/>
      <c r="AR445" s="60"/>
      <c r="AS445" s="62"/>
      <c r="AW445" s="60"/>
      <c r="AZ445" s="60"/>
      <c r="BC445" s="60"/>
      <c r="BK445" s="60"/>
      <c r="BL445" s="60"/>
      <c r="BM445" s="60"/>
      <c r="BN445" s="60"/>
      <c r="BO445" s="60"/>
      <c r="BR445" s="60"/>
      <c r="BS445" s="65"/>
      <c r="BU445" s="60"/>
      <c r="CF445" s="66"/>
      <c r="CP445" s="30"/>
    </row>
    <row r="446" spans="1:94" x14ac:dyDescent="0.3">
      <c r="A446" s="4">
        <v>350</v>
      </c>
      <c r="B446" s="4" t="s">
        <v>2</v>
      </c>
      <c r="C446" s="4" t="s">
        <v>1</v>
      </c>
      <c r="D446" s="4" t="s">
        <v>4</v>
      </c>
      <c r="E446" s="4">
        <v>3</v>
      </c>
      <c r="F446" s="4" t="s">
        <v>7</v>
      </c>
      <c r="G446" s="4">
        <v>6.98</v>
      </c>
      <c r="H446" s="4">
        <v>6</v>
      </c>
      <c r="I446" s="4">
        <v>6.3360000000000003</v>
      </c>
      <c r="J446" s="4">
        <v>5.2910000000000004</v>
      </c>
      <c r="K446" s="4">
        <v>16.493055555555554</v>
      </c>
      <c r="L446" s="4">
        <v>24.197707736389685</v>
      </c>
      <c r="M446" s="7">
        <f t="shared" si="41"/>
        <v>2.0688011220803415</v>
      </c>
      <c r="N446" s="4">
        <v>47.09</v>
      </c>
      <c r="O446" s="4">
        <v>1.0369999999999999</v>
      </c>
      <c r="P446" s="4">
        <v>6.4790000000000001</v>
      </c>
      <c r="Q446" s="4">
        <v>1.4930000000000001</v>
      </c>
      <c r="R446" s="4">
        <v>1.1929999999999998</v>
      </c>
      <c r="AF446" s="60"/>
      <c r="AG446" s="61"/>
      <c r="AJ446" s="60"/>
      <c r="AK446" s="62"/>
      <c r="AL446" s="63"/>
      <c r="AM446" s="63"/>
      <c r="AN446" s="64"/>
      <c r="AO446" s="63"/>
      <c r="AP446" s="60"/>
      <c r="AR446" s="60"/>
      <c r="AS446" s="62"/>
      <c r="AW446" s="60"/>
      <c r="AZ446" s="60"/>
      <c r="BC446" s="60"/>
      <c r="BK446" s="60"/>
      <c r="BL446" s="60"/>
      <c r="BM446" s="60"/>
      <c r="BN446" s="60"/>
      <c r="BO446" s="60"/>
      <c r="BR446" s="60"/>
      <c r="BS446" s="65"/>
      <c r="BU446" s="60"/>
      <c r="CF446" s="66"/>
      <c r="CP446" s="30"/>
    </row>
    <row r="447" spans="1:94" x14ac:dyDescent="0.3">
      <c r="A447" s="4">
        <v>351</v>
      </c>
      <c r="B447" s="4" t="s">
        <v>2</v>
      </c>
      <c r="C447" s="4" t="s">
        <v>1</v>
      </c>
      <c r="D447" s="4" t="s">
        <v>4</v>
      </c>
      <c r="E447" s="4">
        <v>2</v>
      </c>
      <c r="F447" s="4" t="s">
        <v>7</v>
      </c>
      <c r="G447" s="4">
        <v>7.07</v>
      </c>
      <c r="H447" s="4">
        <v>6</v>
      </c>
      <c r="I447" s="4">
        <v>6.2949999999999999</v>
      </c>
      <c r="J447" s="4">
        <v>5.3090000000000002</v>
      </c>
      <c r="K447" s="4">
        <v>15.663224781572675</v>
      </c>
      <c r="L447" s="4">
        <v>24.908062234794908</v>
      </c>
      <c r="M447" s="7">
        <f t="shared" si="41"/>
        <v>2.078216455535002</v>
      </c>
      <c r="N447" s="4">
        <v>46.75</v>
      </c>
      <c r="O447" s="4">
        <v>1.1539999999999999</v>
      </c>
      <c r="P447" s="4">
        <v>7.2119999999999997</v>
      </c>
      <c r="Q447" s="4">
        <v>1.28</v>
      </c>
      <c r="R447" s="4">
        <v>1.155</v>
      </c>
      <c r="AF447" s="60"/>
      <c r="AG447" s="61"/>
      <c r="AJ447" s="60"/>
      <c r="AK447" s="62"/>
      <c r="AL447" s="63"/>
      <c r="AM447" s="63"/>
      <c r="AN447" s="64"/>
      <c r="AO447" s="63"/>
      <c r="AP447" s="60"/>
      <c r="AR447" s="60"/>
      <c r="AS447" s="62"/>
      <c r="AW447" s="60"/>
      <c r="AZ447" s="60"/>
      <c r="BC447" s="60"/>
      <c r="BK447" s="60"/>
      <c r="BL447" s="60"/>
      <c r="BM447" s="60"/>
      <c r="BN447" s="60"/>
      <c r="BO447" s="60"/>
      <c r="BR447" s="60"/>
      <c r="BS447" s="65"/>
      <c r="BU447" s="60"/>
      <c r="CF447" s="66"/>
      <c r="CP447" s="30"/>
    </row>
    <row r="448" spans="1:94" x14ac:dyDescent="0.3">
      <c r="A448" s="4">
        <v>355</v>
      </c>
      <c r="B448" s="4" t="s">
        <v>2</v>
      </c>
      <c r="C448" s="4" t="s">
        <v>14</v>
      </c>
      <c r="D448" s="4" t="s">
        <v>4</v>
      </c>
      <c r="E448" s="4">
        <v>5</v>
      </c>
      <c r="F448" s="4" t="s">
        <v>7</v>
      </c>
      <c r="G448" s="4">
        <v>6.93</v>
      </c>
      <c r="H448" s="4">
        <v>6</v>
      </c>
      <c r="I448" s="4">
        <v>5.94</v>
      </c>
      <c r="J448" s="4">
        <v>4.9130000000000003</v>
      </c>
      <c r="K448" s="4">
        <v>17.289562289562291</v>
      </c>
      <c r="L448" s="4">
        <v>29.105339105339102</v>
      </c>
      <c r="M448" s="7">
        <f t="shared" si="41"/>
        <v>2.1357345292433556</v>
      </c>
      <c r="N448" s="4">
        <v>47.03</v>
      </c>
      <c r="O448" s="4">
        <v>1.038</v>
      </c>
      <c r="P448" s="4">
        <v>6.49</v>
      </c>
      <c r="Q448" s="4">
        <v>1.085</v>
      </c>
      <c r="R448" s="4">
        <v>1.1319999999999999</v>
      </c>
      <c r="AF448" s="60"/>
      <c r="AG448" s="61"/>
      <c r="AJ448" s="60"/>
      <c r="AK448" s="62"/>
      <c r="AL448" s="63"/>
      <c r="AM448" s="63"/>
      <c r="AN448" s="64"/>
      <c r="AO448" s="63"/>
      <c r="AP448" s="60"/>
      <c r="AR448" s="60"/>
      <c r="AS448" s="62"/>
      <c r="AW448" s="60"/>
      <c r="AZ448" s="60"/>
      <c r="BC448" s="60"/>
      <c r="BK448" s="60"/>
      <c r="BL448" s="60"/>
      <c r="BM448" s="60"/>
      <c r="BN448" s="60"/>
      <c r="BO448" s="60"/>
      <c r="BR448" s="60"/>
      <c r="BS448" s="65"/>
      <c r="BU448" s="60"/>
      <c r="CF448" s="66"/>
      <c r="CP448" s="30"/>
    </row>
    <row r="449" spans="1:94" x14ac:dyDescent="0.3">
      <c r="A449" s="4">
        <v>426</v>
      </c>
      <c r="B449" s="4" t="s">
        <v>2</v>
      </c>
      <c r="C449" s="4" t="s">
        <v>1</v>
      </c>
      <c r="D449" s="4" t="s">
        <v>5</v>
      </c>
      <c r="E449" s="4">
        <v>5</v>
      </c>
      <c r="F449" s="4" t="s">
        <v>7</v>
      </c>
      <c r="G449" s="4">
        <v>7.01</v>
      </c>
      <c r="H449" s="4">
        <v>6</v>
      </c>
      <c r="I449" s="4">
        <v>6.617</v>
      </c>
      <c r="J449" s="4">
        <v>5.3380000000000001</v>
      </c>
      <c r="K449" s="4">
        <v>19.329001057881214</v>
      </c>
      <c r="L449" s="4">
        <v>23.851640513552063</v>
      </c>
      <c r="M449" s="7">
        <f t="shared" si="41"/>
        <v>2.0642461192922212</v>
      </c>
      <c r="N449" s="4">
        <v>37.67</v>
      </c>
      <c r="O449" s="4">
        <v>0.85499999999999998</v>
      </c>
      <c r="P449" s="4">
        <v>5.343</v>
      </c>
      <c r="Q449" s="4">
        <v>0.49399999999999999</v>
      </c>
      <c r="R449" s="4">
        <v>0.63700000000000001</v>
      </c>
      <c r="AF449" s="60"/>
      <c r="AG449" s="61"/>
      <c r="AJ449" s="60"/>
      <c r="AK449" s="62"/>
      <c r="AL449" s="63"/>
      <c r="AM449" s="63"/>
      <c r="AN449" s="64"/>
      <c r="AO449" s="63"/>
      <c r="AP449" s="60"/>
      <c r="AR449" s="60"/>
      <c r="AS449" s="62"/>
      <c r="AW449" s="60"/>
      <c r="AZ449" s="60"/>
      <c r="BC449" s="60"/>
      <c r="BK449" s="60"/>
      <c r="BL449" s="60"/>
      <c r="BM449" s="60"/>
      <c r="BN449" s="60"/>
      <c r="BO449" s="60"/>
      <c r="BR449" s="60"/>
      <c r="BS449" s="65"/>
      <c r="BU449" s="60"/>
      <c r="CF449" s="66"/>
      <c r="CP449" s="30"/>
    </row>
    <row r="450" spans="1:94" x14ac:dyDescent="0.3">
      <c r="A450" s="4">
        <v>431</v>
      </c>
      <c r="B450" s="4" t="s">
        <v>2</v>
      </c>
      <c r="C450" s="4" t="s">
        <v>14</v>
      </c>
      <c r="D450" s="4" t="s">
        <v>5</v>
      </c>
      <c r="E450" s="4">
        <v>1</v>
      </c>
      <c r="F450" s="4" t="s">
        <v>7</v>
      </c>
      <c r="G450" s="4">
        <v>6.97</v>
      </c>
      <c r="H450" s="4">
        <v>6</v>
      </c>
      <c r="I450" s="4">
        <v>6.9660000000000002</v>
      </c>
      <c r="J450" s="4">
        <v>5.7469999999999999</v>
      </c>
      <c r="K450" s="4">
        <v>17.499282227964404</v>
      </c>
      <c r="L450" s="4">
        <v>17.546628407460542</v>
      </c>
      <c r="M450" s="7">
        <f t="shared" ref="M450:M513" si="42">-LN((J450/G450)/H450)</f>
        <v>1.9846967144748831</v>
      </c>
      <c r="N450" s="4">
        <v>48.12</v>
      </c>
      <c r="O450" s="4">
        <v>0.72</v>
      </c>
      <c r="P450" s="4">
        <v>4.4989999999999997</v>
      </c>
      <c r="Q450" s="4">
        <v>0.876</v>
      </c>
      <c r="R450" s="4">
        <v>1.343</v>
      </c>
      <c r="AF450" s="60"/>
      <c r="AG450" s="61"/>
      <c r="AJ450" s="60"/>
      <c r="AK450" s="62"/>
      <c r="AL450" s="63"/>
      <c r="AM450" s="63"/>
      <c r="AN450" s="64"/>
      <c r="AO450" s="63"/>
      <c r="AP450" s="60"/>
      <c r="AR450" s="60"/>
      <c r="AS450" s="62"/>
      <c r="AW450" s="60"/>
      <c r="AZ450" s="60"/>
      <c r="BC450" s="60"/>
      <c r="BK450" s="60"/>
      <c r="BL450" s="60"/>
      <c r="BM450" s="60"/>
      <c r="BN450" s="60"/>
      <c r="BO450" s="60"/>
      <c r="BR450" s="60"/>
      <c r="BS450" s="65"/>
      <c r="BU450" s="60"/>
      <c r="CF450" s="66"/>
      <c r="CP450" s="30"/>
    </row>
    <row r="451" spans="1:94" x14ac:dyDescent="0.3">
      <c r="A451" s="4">
        <v>433</v>
      </c>
      <c r="B451" s="4" t="s">
        <v>2</v>
      </c>
      <c r="C451" s="4" t="s">
        <v>1</v>
      </c>
      <c r="D451" s="4" t="s">
        <v>5</v>
      </c>
      <c r="E451" s="4">
        <v>3</v>
      </c>
      <c r="F451" s="4" t="s">
        <v>7</v>
      </c>
      <c r="G451" s="4">
        <v>6.97</v>
      </c>
      <c r="H451" s="4">
        <v>6</v>
      </c>
      <c r="I451" s="4">
        <v>6.6479999999999997</v>
      </c>
      <c r="J451" s="4">
        <v>5.5279999999999996</v>
      </c>
      <c r="K451" s="4">
        <v>16.847172081829122</v>
      </c>
      <c r="L451" s="4">
        <v>20.688665710186516</v>
      </c>
      <c r="M451" s="7">
        <f t="shared" si="42"/>
        <v>2.023548607535119</v>
      </c>
      <c r="N451" s="4">
        <v>48.5</v>
      </c>
      <c r="O451" s="4">
        <v>0.85399999999999998</v>
      </c>
      <c r="P451" s="4">
        <v>5.335</v>
      </c>
      <c r="Q451" s="4">
        <v>0.55100000000000005</v>
      </c>
      <c r="R451" s="4">
        <v>1.2909999999999999</v>
      </c>
      <c r="AF451" s="60"/>
      <c r="AG451" s="61"/>
      <c r="AJ451" s="60"/>
      <c r="AK451" s="62"/>
      <c r="AL451" s="63"/>
      <c r="AM451" s="63"/>
      <c r="AN451" s="64"/>
      <c r="AO451" s="63"/>
      <c r="AP451" s="60"/>
      <c r="AR451" s="60"/>
      <c r="AS451" s="62"/>
      <c r="AW451" s="60"/>
      <c r="AZ451" s="60"/>
      <c r="BC451" s="60"/>
      <c r="BK451" s="60"/>
      <c r="BL451" s="60"/>
      <c r="BM451" s="60"/>
      <c r="BN451" s="60"/>
      <c r="BO451" s="60"/>
      <c r="BR451" s="60"/>
      <c r="BS451" s="65"/>
      <c r="BU451" s="60"/>
      <c r="CF451" s="66"/>
      <c r="CP451" s="30"/>
    </row>
    <row r="452" spans="1:94" x14ac:dyDescent="0.3">
      <c r="A452" s="4">
        <v>454</v>
      </c>
      <c r="B452" s="4" t="s">
        <v>2</v>
      </c>
      <c r="C452" s="4" t="s">
        <v>14</v>
      </c>
      <c r="D452" s="4" t="s">
        <v>5</v>
      </c>
      <c r="E452" s="4">
        <v>5</v>
      </c>
      <c r="F452" s="4" t="s">
        <v>7</v>
      </c>
      <c r="G452" s="4">
        <v>6.95</v>
      </c>
      <c r="H452" s="4">
        <v>6</v>
      </c>
      <c r="I452" s="4">
        <v>6.5449999999999999</v>
      </c>
      <c r="J452" s="4">
        <v>5.375</v>
      </c>
      <c r="K452" s="4">
        <v>17.876241405653172</v>
      </c>
      <c r="L452" s="4">
        <v>22.661870503597122</v>
      </c>
      <c r="M452" s="7">
        <f t="shared" si="42"/>
        <v>2.0487425547910294</v>
      </c>
      <c r="N452" s="4">
        <v>47.08</v>
      </c>
      <c r="O452" s="4">
        <v>1</v>
      </c>
      <c r="P452" s="4">
        <v>6.2489999999999997</v>
      </c>
      <c r="Q452" s="4">
        <v>0.67</v>
      </c>
      <c r="R452" s="4">
        <v>0.74399999999999999</v>
      </c>
      <c r="AF452" s="60"/>
      <c r="AG452" s="61"/>
      <c r="AJ452" s="60"/>
      <c r="AK452" s="62"/>
      <c r="AL452" s="63"/>
      <c r="AM452" s="63"/>
      <c r="AN452" s="64"/>
      <c r="AO452" s="63"/>
      <c r="AP452" s="60"/>
      <c r="AR452" s="60"/>
      <c r="AS452" s="62"/>
      <c r="AW452" s="60"/>
      <c r="AZ452" s="60"/>
      <c r="BC452" s="60"/>
      <c r="BK452" s="60"/>
      <c r="BL452" s="60"/>
      <c r="BM452" s="60"/>
      <c r="BN452" s="60"/>
      <c r="BO452" s="60"/>
      <c r="BR452" s="60"/>
      <c r="BS452" s="65"/>
      <c r="BU452" s="60"/>
      <c r="CF452" s="66"/>
      <c r="CP452" s="30"/>
    </row>
    <row r="453" spans="1:94" x14ac:dyDescent="0.3">
      <c r="A453" s="4">
        <v>456</v>
      </c>
      <c r="B453" s="4" t="s">
        <v>2</v>
      </c>
      <c r="C453" s="4" t="s">
        <v>1</v>
      </c>
      <c r="D453" s="4" t="s">
        <v>5</v>
      </c>
      <c r="E453" s="4">
        <v>1</v>
      </c>
      <c r="F453" s="4" t="s">
        <v>7</v>
      </c>
      <c r="G453" s="4">
        <v>6.94</v>
      </c>
      <c r="H453" s="4">
        <v>6</v>
      </c>
      <c r="I453" s="4">
        <v>17.437999999999999</v>
      </c>
      <c r="J453" s="4">
        <v>5.1159999999999997</v>
      </c>
      <c r="K453" s="4">
        <v>70.661773139121465</v>
      </c>
      <c r="L453" s="4">
        <v>26.282420749279549</v>
      </c>
      <c r="M453" s="7">
        <f t="shared" si="42"/>
        <v>2.0966883600301718</v>
      </c>
      <c r="N453" s="4">
        <v>44.78</v>
      </c>
      <c r="O453" s="4">
        <v>1.083</v>
      </c>
      <c r="P453" s="4">
        <v>6.7690000000000001</v>
      </c>
      <c r="Q453" s="4">
        <v>0.40899999999999997</v>
      </c>
      <c r="R453" s="4">
        <v>0.45700000000000002</v>
      </c>
      <c r="AF453" s="60"/>
      <c r="AG453" s="61"/>
      <c r="AJ453" s="60"/>
      <c r="AK453" s="62"/>
      <c r="AL453" s="63"/>
      <c r="AM453" s="63"/>
      <c r="AN453" s="64"/>
      <c r="AO453" s="63"/>
      <c r="AP453" s="60"/>
      <c r="AR453" s="60"/>
      <c r="AS453" s="62"/>
      <c r="AW453" s="60"/>
      <c r="AZ453" s="60"/>
      <c r="BC453" s="60"/>
      <c r="BK453" s="60"/>
      <c r="BL453" s="60"/>
      <c r="BM453" s="60"/>
      <c r="BN453" s="60"/>
      <c r="BO453" s="60"/>
      <c r="BR453" s="60"/>
      <c r="BS453" s="65"/>
      <c r="BU453" s="60"/>
      <c r="CF453" s="66"/>
      <c r="CP453" s="30"/>
    </row>
    <row r="454" spans="1:94" x14ac:dyDescent="0.3">
      <c r="A454" s="4">
        <v>457</v>
      </c>
      <c r="B454" s="4" t="s">
        <v>2</v>
      </c>
      <c r="C454" s="4" t="s">
        <v>14</v>
      </c>
      <c r="D454" s="4" t="s">
        <v>5</v>
      </c>
      <c r="E454" s="4">
        <v>4</v>
      </c>
      <c r="F454" s="4" t="s">
        <v>7</v>
      </c>
      <c r="G454" s="4">
        <v>6.98</v>
      </c>
      <c r="H454" s="4">
        <v>6</v>
      </c>
      <c r="I454" s="4">
        <v>6.5979999999999999</v>
      </c>
      <c r="J454" s="4">
        <v>5.1040000000000001</v>
      </c>
      <c r="K454" s="4">
        <v>22.643225219763565</v>
      </c>
      <c r="L454" s="4">
        <v>26.876790830945563</v>
      </c>
      <c r="M454" s="7">
        <f t="shared" si="42"/>
        <v>2.1047838399598473</v>
      </c>
      <c r="N454" s="4">
        <v>46.3</v>
      </c>
      <c r="O454" s="4">
        <v>1.2</v>
      </c>
      <c r="P454" s="4">
        <v>7.5</v>
      </c>
      <c r="Q454" s="4">
        <v>0.46800000000000003</v>
      </c>
      <c r="R454" s="4">
        <v>0.49199999999999999</v>
      </c>
      <c r="AF454" s="60"/>
      <c r="AG454" s="61"/>
      <c r="AJ454" s="60"/>
      <c r="AK454" s="62"/>
      <c r="AL454" s="63"/>
      <c r="AM454" s="63"/>
      <c r="AN454" s="64"/>
      <c r="AO454" s="63"/>
      <c r="AP454" s="60"/>
      <c r="AR454" s="60"/>
      <c r="AS454" s="62"/>
      <c r="AW454" s="60"/>
      <c r="AZ454" s="60"/>
      <c r="BC454" s="60"/>
      <c r="BK454" s="60"/>
      <c r="BL454" s="60"/>
      <c r="BM454" s="60"/>
      <c r="BN454" s="60"/>
      <c r="BO454" s="60"/>
      <c r="BR454" s="60"/>
      <c r="BS454" s="65"/>
      <c r="BU454" s="60"/>
      <c r="CF454" s="66"/>
      <c r="CP454" s="30"/>
    </row>
    <row r="455" spans="1:94" x14ac:dyDescent="0.3">
      <c r="A455" s="4">
        <v>462</v>
      </c>
      <c r="B455" s="4" t="s">
        <v>2</v>
      </c>
      <c r="C455" s="4" t="s">
        <v>14</v>
      </c>
      <c r="D455" s="4" t="s">
        <v>5</v>
      </c>
      <c r="E455" s="4">
        <v>2</v>
      </c>
      <c r="F455" s="4" t="s">
        <v>7</v>
      </c>
      <c r="G455" s="4">
        <v>6.98</v>
      </c>
      <c r="H455" s="4">
        <v>6</v>
      </c>
      <c r="I455" s="4">
        <v>6.3220000000000001</v>
      </c>
      <c r="J455" s="4">
        <v>5.42</v>
      </c>
      <c r="K455" s="4">
        <v>14.267636823789942</v>
      </c>
      <c r="L455" s="4">
        <v>22.349570200573073</v>
      </c>
      <c r="M455" s="7">
        <f t="shared" si="42"/>
        <v>2.0447125705507814</v>
      </c>
      <c r="N455" s="4">
        <v>46.39</v>
      </c>
      <c r="O455" s="4">
        <v>0.96099999999999997</v>
      </c>
      <c r="P455" s="4">
        <v>6.0060000000000002</v>
      </c>
      <c r="Q455" s="4">
        <v>0.626</v>
      </c>
      <c r="R455" s="4">
        <v>1.1579999999999999</v>
      </c>
      <c r="AF455" s="60"/>
      <c r="AG455" s="61"/>
      <c r="AJ455" s="60"/>
      <c r="AK455" s="62"/>
      <c r="AL455" s="63"/>
      <c r="AM455" s="63"/>
      <c r="AN455" s="64"/>
      <c r="AO455" s="63"/>
      <c r="AP455" s="60"/>
      <c r="AR455" s="60"/>
      <c r="AS455" s="62"/>
      <c r="AW455" s="60"/>
      <c r="AZ455" s="60"/>
      <c r="BC455" s="60"/>
      <c r="BK455" s="60"/>
      <c r="BL455" s="60"/>
      <c r="BM455" s="60"/>
      <c r="BN455" s="60"/>
      <c r="BO455" s="60"/>
      <c r="BR455" s="60"/>
      <c r="BS455" s="65"/>
      <c r="BU455" s="60"/>
      <c r="CF455" s="66"/>
      <c r="CP455" s="30"/>
    </row>
    <row r="456" spans="1:94" x14ac:dyDescent="0.3">
      <c r="A456" s="4">
        <v>466</v>
      </c>
      <c r="B456" s="4" t="s">
        <v>2</v>
      </c>
      <c r="C456" s="4" t="s">
        <v>1</v>
      </c>
      <c r="D456" s="4" t="s">
        <v>5</v>
      </c>
      <c r="E456" s="4">
        <v>2</v>
      </c>
      <c r="F456" s="4" t="s">
        <v>7</v>
      </c>
      <c r="G456" s="4">
        <v>6.99</v>
      </c>
      <c r="H456" s="4">
        <v>6</v>
      </c>
      <c r="I456" s="4">
        <v>7.4349999999999996</v>
      </c>
      <c r="J456" s="4">
        <v>5.3330000000000002</v>
      </c>
      <c r="K456" s="4">
        <v>28.271687962340273</v>
      </c>
      <c r="L456" s="4">
        <v>23.705293276108726</v>
      </c>
      <c r="M456" s="7">
        <f t="shared" si="42"/>
        <v>2.0623260938553085</v>
      </c>
      <c r="N456" s="4">
        <v>47.21</v>
      </c>
      <c r="O456" s="4">
        <v>0.95899999999999996</v>
      </c>
      <c r="P456" s="4">
        <v>5.9909999999999997</v>
      </c>
      <c r="Q456" s="4">
        <v>0.60499999999999998</v>
      </c>
      <c r="R456" s="4">
        <v>0.84299999999999997</v>
      </c>
      <c r="AF456" s="60"/>
      <c r="AG456" s="61"/>
      <c r="AJ456" s="60"/>
      <c r="AK456" s="62"/>
      <c r="AL456" s="63"/>
      <c r="AM456" s="63"/>
      <c r="AN456" s="64"/>
      <c r="AO456" s="63"/>
      <c r="AP456" s="60"/>
      <c r="AR456" s="60"/>
      <c r="AS456" s="62"/>
      <c r="AW456" s="60"/>
      <c r="AZ456" s="60"/>
      <c r="BC456" s="60"/>
      <c r="BK456" s="60"/>
      <c r="BL456" s="60"/>
      <c r="BM456" s="60"/>
      <c r="BN456" s="60"/>
      <c r="BO456" s="60"/>
      <c r="BR456" s="60"/>
      <c r="BS456" s="65"/>
      <c r="BU456" s="60"/>
      <c r="CF456" s="66"/>
      <c r="CP456" s="30"/>
    </row>
    <row r="457" spans="1:94" x14ac:dyDescent="0.3">
      <c r="A457" s="4">
        <v>476</v>
      </c>
      <c r="B457" s="4" t="s">
        <v>2</v>
      </c>
      <c r="C457" s="4" t="s">
        <v>14</v>
      </c>
      <c r="D457" s="4" t="s">
        <v>5</v>
      </c>
      <c r="E457" s="4">
        <v>3</v>
      </c>
      <c r="F457" s="4" t="s">
        <v>7</v>
      </c>
      <c r="G457" s="4">
        <v>7.02</v>
      </c>
      <c r="H457" s="4">
        <v>6</v>
      </c>
      <c r="I457" s="4">
        <v>6.827</v>
      </c>
      <c r="J457" s="4">
        <v>5.4189999999999996</v>
      </c>
      <c r="K457" s="4">
        <v>20.623992969093312</v>
      </c>
      <c r="L457" s="4">
        <v>22.806267806267808</v>
      </c>
      <c r="M457" s="7">
        <f t="shared" si="42"/>
        <v>2.0506113906817975</v>
      </c>
      <c r="N457" s="4">
        <v>47.05</v>
      </c>
      <c r="O457" s="4">
        <v>0.9</v>
      </c>
      <c r="P457" s="4">
        <v>5.6239999999999997</v>
      </c>
      <c r="Q457" s="4">
        <v>0.47299999999999998</v>
      </c>
      <c r="R457" s="4">
        <v>0.83399999999999996</v>
      </c>
      <c r="AF457" s="60"/>
      <c r="AG457" s="61"/>
      <c r="AJ457" s="60"/>
      <c r="AK457" s="62"/>
      <c r="AL457" s="63"/>
      <c r="AM457" s="63"/>
      <c r="AN457" s="64"/>
      <c r="AO457" s="63"/>
      <c r="AP457" s="60"/>
      <c r="AR457" s="60"/>
      <c r="AS457" s="62"/>
      <c r="AW457" s="60"/>
      <c r="AZ457" s="60"/>
      <c r="BC457" s="60"/>
      <c r="BK457" s="60"/>
      <c r="BL457" s="60"/>
      <c r="BM457" s="60"/>
      <c r="BN457" s="60"/>
      <c r="BO457" s="60"/>
      <c r="BR457" s="60"/>
      <c r="BS457" s="65"/>
      <c r="BU457" s="60"/>
      <c r="CF457" s="66"/>
      <c r="CP457" s="30"/>
    </row>
    <row r="458" spans="1:94" x14ac:dyDescent="0.3">
      <c r="A458" s="4">
        <v>478</v>
      </c>
      <c r="B458" s="4" t="s">
        <v>2</v>
      </c>
      <c r="C458" s="4" t="s">
        <v>1</v>
      </c>
      <c r="D458" s="4" t="s">
        <v>5</v>
      </c>
      <c r="E458" s="4">
        <v>4</v>
      </c>
      <c r="F458" s="4" t="s">
        <v>7</v>
      </c>
      <c r="G458" s="4">
        <v>7.09</v>
      </c>
      <c r="H458" s="4">
        <v>6</v>
      </c>
      <c r="I458" s="4">
        <v>6.556</v>
      </c>
      <c r="J458" s="4">
        <v>5.7460000000000004</v>
      </c>
      <c r="K458" s="4">
        <v>12.355094569859665</v>
      </c>
      <c r="L458" s="4">
        <v>18.956276445698158</v>
      </c>
      <c r="M458" s="7">
        <f t="shared" si="42"/>
        <v>2.0019408492149933</v>
      </c>
      <c r="N458" s="4">
        <v>47.99</v>
      </c>
      <c r="O458" s="4">
        <v>1.26</v>
      </c>
      <c r="P458" s="4">
        <v>7.8739999999999997</v>
      </c>
      <c r="Q458" s="4">
        <v>0.70899999999999996</v>
      </c>
      <c r="R458" s="4">
        <v>1.355</v>
      </c>
      <c r="AF458" s="60"/>
      <c r="AG458" s="61"/>
      <c r="AJ458" s="60"/>
      <c r="AK458" s="62"/>
      <c r="AL458" s="63"/>
      <c r="AM458" s="63"/>
      <c r="AN458" s="64"/>
      <c r="AO458" s="63"/>
      <c r="AP458" s="60"/>
      <c r="AR458" s="60"/>
      <c r="AS458" s="62"/>
      <c r="AW458" s="60"/>
      <c r="AZ458" s="60"/>
      <c r="BC458" s="60"/>
      <c r="BK458" s="60"/>
      <c r="BL458" s="60"/>
      <c r="BM458" s="60"/>
      <c r="BN458" s="60"/>
      <c r="BO458" s="60"/>
      <c r="BR458" s="60"/>
      <c r="BS458" s="65"/>
      <c r="BU458" s="60"/>
      <c r="CF458" s="66"/>
      <c r="CP458" s="30"/>
    </row>
    <row r="459" spans="1:94" x14ac:dyDescent="0.3">
      <c r="A459" s="4">
        <v>541</v>
      </c>
      <c r="B459" s="4" t="s">
        <v>3</v>
      </c>
      <c r="C459" s="4" t="s">
        <v>14</v>
      </c>
      <c r="D459" s="4" t="s">
        <v>4</v>
      </c>
      <c r="E459" s="4">
        <v>4</v>
      </c>
      <c r="F459" s="4" t="s">
        <v>7</v>
      </c>
      <c r="G459" s="4">
        <v>6.9</v>
      </c>
      <c r="H459" s="4">
        <v>6</v>
      </c>
      <c r="I459" s="4">
        <v>6.7469999999999999</v>
      </c>
      <c r="J459" s="4">
        <v>5.2610000000000001</v>
      </c>
      <c r="K459" s="4">
        <v>77.975396472506304</v>
      </c>
      <c r="L459" s="4">
        <v>23.753623188405797</v>
      </c>
      <c r="M459" s="7">
        <f t="shared" si="42"/>
        <v>2.0629597580825987</v>
      </c>
      <c r="N459" s="4">
        <v>47.74</v>
      </c>
      <c r="O459" s="4">
        <v>1.0580000000000001</v>
      </c>
      <c r="P459" s="4">
        <v>6.6109999999999998</v>
      </c>
      <c r="Q459" s="4">
        <v>1.837</v>
      </c>
      <c r="R459" s="4">
        <v>1.3019999999999998</v>
      </c>
      <c r="AF459" s="60"/>
      <c r="AG459" s="61"/>
      <c r="AJ459" s="60"/>
      <c r="AK459" s="62"/>
      <c r="AL459" s="63"/>
      <c r="AM459" s="63"/>
      <c r="AN459" s="64"/>
      <c r="AO459" s="63"/>
      <c r="AP459" s="60"/>
      <c r="AR459" s="60"/>
      <c r="AS459" s="62"/>
      <c r="AW459" s="60"/>
      <c r="AZ459" s="60"/>
      <c r="BC459" s="60"/>
      <c r="BK459" s="60"/>
      <c r="BL459" s="60"/>
      <c r="BM459" s="60"/>
      <c r="BN459" s="60"/>
      <c r="BO459" s="60"/>
      <c r="BR459" s="60"/>
      <c r="BS459" s="65"/>
      <c r="BU459" s="60"/>
      <c r="CF459" s="66"/>
      <c r="CP459" s="30"/>
    </row>
    <row r="460" spans="1:94" x14ac:dyDescent="0.3">
      <c r="A460" s="4">
        <v>546</v>
      </c>
      <c r="B460" s="4" t="s">
        <v>3</v>
      </c>
      <c r="C460" s="4" t="s">
        <v>1</v>
      </c>
      <c r="D460" s="4" t="s">
        <v>4</v>
      </c>
      <c r="E460" s="4">
        <v>3</v>
      </c>
      <c r="F460" s="4" t="s">
        <v>7</v>
      </c>
      <c r="G460" s="4">
        <v>7.07</v>
      </c>
      <c r="H460" s="4">
        <v>6</v>
      </c>
      <c r="I460" s="4">
        <v>6.9240000000000004</v>
      </c>
      <c r="J460" s="4">
        <v>5.681</v>
      </c>
      <c r="K460" s="4">
        <v>82.047949162333907</v>
      </c>
      <c r="L460" s="4">
        <v>19.64639321074965</v>
      </c>
      <c r="M460" s="7">
        <f t="shared" si="42"/>
        <v>2.0104926755615464</v>
      </c>
      <c r="N460" s="4">
        <v>47.5</v>
      </c>
      <c r="O460" s="4">
        <v>1.0149999999999999</v>
      </c>
      <c r="P460" s="4">
        <v>6.3449999999999998</v>
      </c>
      <c r="Q460" s="4">
        <v>1.9850000000000001</v>
      </c>
      <c r="R460" s="4">
        <v>1.6559999999999999</v>
      </c>
      <c r="AF460" s="60"/>
      <c r="AG460" s="61"/>
      <c r="AJ460" s="60"/>
      <c r="AK460" s="62"/>
      <c r="AL460" s="63"/>
      <c r="AM460" s="63"/>
      <c r="AN460" s="64"/>
      <c r="AO460" s="63"/>
      <c r="AP460" s="60"/>
      <c r="AR460" s="60"/>
      <c r="AS460" s="62"/>
      <c r="AW460" s="60"/>
      <c r="AZ460" s="60"/>
      <c r="BC460" s="60"/>
      <c r="BK460" s="60"/>
      <c r="BL460" s="60"/>
      <c r="BM460" s="60"/>
      <c r="BN460" s="60"/>
      <c r="BO460" s="60"/>
      <c r="BR460" s="60"/>
      <c r="BS460" s="65"/>
      <c r="BU460" s="60"/>
      <c r="CF460" s="66"/>
      <c r="CP460" s="30"/>
    </row>
    <row r="461" spans="1:94" x14ac:dyDescent="0.3">
      <c r="A461" s="4">
        <v>554</v>
      </c>
      <c r="B461" s="4" t="s">
        <v>3</v>
      </c>
      <c r="C461" s="4" t="s">
        <v>14</v>
      </c>
      <c r="D461" s="4" t="s">
        <v>4</v>
      </c>
      <c r="E461" s="4">
        <v>5</v>
      </c>
      <c r="F461" s="4" t="s">
        <v>7</v>
      </c>
      <c r="G461" s="4">
        <v>7.04</v>
      </c>
      <c r="H461" s="4">
        <v>6</v>
      </c>
      <c r="I461" s="4">
        <v>6.3739999999999997</v>
      </c>
      <c r="J461" s="4">
        <v>5.3479999999999999</v>
      </c>
      <c r="K461" s="4">
        <v>83.903357389394415</v>
      </c>
      <c r="L461" s="4">
        <v>24.03409090909091</v>
      </c>
      <c r="M461" s="7">
        <f t="shared" si="42"/>
        <v>2.0666449801583093</v>
      </c>
      <c r="N461" s="4">
        <v>48.41</v>
      </c>
      <c r="O461" s="4">
        <v>1.161</v>
      </c>
      <c r="P461" s="4">
        <v>7.2590000000000003</v>
      </c>
      <c r="Q461" s="4">
        <v>2.105</v>
      </c>
      <c r="R461" s="4">
        <v>2.1019999999999999</v>
      </c>
      <c r="AF461" s="60"/>
      <c r="AG461" s="61"/>
      <c r="AJ461" s="60"/>
      <c r="AK461" s="62"/>
      <c r="AL461" s="63"/>
      <c r="AM461" s="63"/>
      <c r="AN461" s="64"/>
      <c r="AO461" s="63"/>
      <c r="AP461" s="60"/>
      <c r="AR461" s="60"/>
      <c r="AS461" s="62"/>
      <c r="AW461" s="60"/>
      <c r="AZ461" s="60"/>
      <c r="BC461" s="60"/>
      <c r="BK461" s="60"/>
      <c r="BL461" s="60"/>
      <c r="BM461" s="60"/>
      <c r="BN461" s="60"/>
      <c r="BO461" s="60"/>
      <c r="BR461" s="60"/>
      <c r="BS461" s="65"/>
      <c r="BU461" s="60"/>
      <c r="CF461" s="66"/>
      <c r="CP461" s="30"/>
    </row>
    <row r="462" spans="1:94" x14ac:dyDescent="0.3">
      <c r="A462" s="4">
        <v>562</v>
      </c>
      <c r="B462" s="4" t="s">
        <v>3</v>
      </c>
      <c r="C462" s="4" t="s">
        <v>1</v>
      </c>
      <c r="D462" s="4" t="s">
        <v>4</v>
      </c>
      <c r="E462" s="4">
        <v>2</v>
      </c>
      <c r="F462" s="4" t="s">
        <v>7</v>
      </c>
      <c r="G462" s="4">
        <v>6.92</v>
      </c>
      <c r="H462" s="4">
        <v>6</v>
      </c>
      <c r="I462" s="4">
        <v>6.9279999999999999</v>
      </c>
      <c r="J462" s="4">
        <v>5.2149999999999999</v>
      </c>
      <c r="K462" s="4">
        <v>75.274249422632792</v>
      </c>
      <c r="L462" s="4">
        <v>24.638728323699425</v>
      </c>
      <c r="M462" s="7">
        <f t="shared" si="42"/>
        <v>2.0746361504048974</v>
      </c>
      <c r="N462" s="4">
        <v>46.99</v>
      </c>
      <c r="O462" s="4">
        <v>1.0589999999999999</v>
      </c>
      <c r="P462" s="4">
        <v>6.6210000000000004</v>
      </c>
      <c r="Q462" s="4">
        <v>1.1080000000000001</v>
      </c>
      <c r="R462" s="4">
        <v>0.85499999999999998</v>
      </c>
      <c r="AF462" s="60"/>
      <c r="AG462" s="61"/>
      <c r="AJ462" s="60"/>
      <c r="AK462" s="62"/>
      <c r="AL462" s="63"/>
      <c r="AM462" s="63"/>
      <c r="AN462" s="64"/>
      <c r="AO462" s="63"/>
      <c r="AP462" s="60"/>
      <c r="AR462" s="60"/>
      <c r="AS462" s="62"/>
      <c r="AW462" s="60"/>
      <c r="AZ462" s="60"/>
      <c r="BC462" s="60"/>
      <c r="BK462" s="60"/>
      <c r="BL462" s="60"/>
      <c r="BM462" s="60"/>
      <c r="BN462" s="60"/>
      <c r="BO462" s="60"/>
      <c r="BR462" s="60"/>
      <c r="BS462" s="65"/>
      <c r="BU462" s="60"/>
      <c r="CF462" s="66"/>
      <c r="CP462" s="30"/>
    </row>
    <row r="463" spans="1:94" x14ac:dyDescent="0.3">
      <c r="A463" s="4">
        <v>572</v>
      </c>
      <c r="B463" s="4" t="s">
        <v>3</v>
      </c>
      <c r="C463" s="4" t="s">
        <v>1</v>
      </c>
      <c r="D463" s="4" t="s">
        <v>4</v>
      </c>
      <c r="E463" s="4">
        <v>4</v>
      </c>
      <c r="F463" s="4" t="s">
        <v>7</v>
      </c>
      <c r="G463" s="4">
        <v>6.99</v>
      </c>
      <c r="H463" s="4">
        <v>6</v>
      </c>
      <c r="I463" s="4">
        <v>6.8959999999999999</v>
      </c>
      <c r="J463" s="4">
        <v>5.6210000000000004</v>
      </c>
      <c r="K463" s="4">
        <v>81.511020881670532</v>
      </c>
      <c r="L463" s="4">
        <v>19.585121602288979</v>
      </c>
      <c r="M463" s="7">
        <f t="shared" si="42"/>
        <v>2.0097304414538359</v>
      </c>
      <c r="N463" s="4">
        <v>46.38</v>
      </c>
      <c r="O463" s="4">
        <v>0.98399999999999999</v>
      </c>
      <c r="P463" s="4">
        <v>6.1520000000000001</v>
      </c>
      <c r="Q463" s="4">
        <v>1.7170000000000001</v>
      </c>
      <c r="R463" s="4">
        <v>1.36</v>
      </c>
      <c r="AF463" s="60"/>
      <c r="AG463" s="61"/>
      <c r="AJ463" s="60"/>
      <c r="AK463" s="62"/>
      <c r="AL463" s="63"/>
      <c r="AM463" s="63"/>
      <c r="AN463" s="64"/>
      <c r="AO463" s="63"/>
      <c r="AP463" s="60"/>
      <c r="AR463" s="60"/>
      <c r="AS463" s="62"/>
      <c r="AW463" s="60"/>
      <c r="AZ463" s="60"/>
      <c r="BC463" s="60"/>
      <c r="BK463" s="60"/>
      <c r="BL463" s="60"/>
      <c r="BM463" s="60"/>
      <c r="BN463" s="60"/>
      <c r="BO463" s="60"/>
      <c r="BR463" s="60"/>
      <c r="BS463" s="65"/>
      <c r="BU463" s="60"/>
      <c r="CF463" s="66"/>
      <c r="CP463" s="30"/>
    </row>
    <row r="464" spans="1:94" x14ac:dyDescent="0.3">
      <c r="A464" s="4">
        <v>574</v>
      </c>
      <c r="B464" s="4" t="s">
        <v>3</v>
      </c>
      <c r="C464" s="4" t="s">
        <v>14</v>
      </c>
      <c r="D464" s="4" t="s">
        <v>4</v>
      </c>
      <c r="E464" s="4">
        <v>2</v>
      </c>
      <c r="F464" s="4" t="s">
        <v>7</v>
      </c>
      <c r="G464" s="4">
        <v>6.9</v>
      </c>
      <c r="H464" s="4">
        <v>6</v>
      </c>
      <c r="I464" s="4">
        <v>6.6760000000000002</v>
      </c>
      <c r="J464" s="4">
        <v>5.5579999999999998</v>
      </c>
      <c r="K464" s="4">
        <v>83.253445176752535</v>
      </c>
      <c r="L464" s="4">
        <v>19.449275362318847</v>
      </c>
      <c r="M464" s="7">
        <f t="shared" si="42"/>
        <v>2.0080425495109568</v>
      </c>
      <c r="N464" s="4">
        <v>46.79</v>
      </c>
      <c r="O464" s="4">
        <v>1.0509999999999999</v>
      </c>
      <c r="P464" s="4">
        <v>6.5679999999999996</v>
      </c>
      <c r="Q464" s="4">
        <v>2.3069999999999999</v>
      </c>
      <c r="R464" s="4">
        <v>1.8240000000000001</v>
      </c>
      <c r="AF464" s="60"/>
      <c r="AG464" s="61"/>
      <c r="AJ464" s="60"/>
      <c r="AK464" s="62"/>
      <c r="AL464" s="63"/>
      <c r="AM464" s="63"/>
      <c r="AN464" s="64"/>
      <c r="AO464" s="63"/>
      <c r="AP464" s="60"/>
      <c r="AR464" s="60"/>
      <c r="AS464" s="62"/>
      <c r="AW464" s="60"/>
      <c r="AZ464" s="60"/>
      <c r="BC464" s="60"/>
      <c r="BK464" s="60"/>
      <c r="BL464" s="60"/>
      <c r="BM464" s="60"/>
      <c r="BN464" s="60"/>
      <c r="BO464" s="60"/>
      <c r="BR464" s="60"/>
      <c r="BS464" s="65"/>
      <c r="BU464" s="60"/>
      <c r="CF464" s="66"/>
      <c r="CP464" s="30"/>
    </row>
    <row r="465" spans="1:94" x14ac:dyDescent="0.3">
      <c r="A465" s="4">
        <v>576</v>
      </c>
      <c r="B465" s="4" t="s">
        <v>3</v>
      </c>
      <c r="C465" s="4" t="s">
        <v>1</v>
      </c>
      <c r="D465" s="4" t="s">
        <v>4</v>
      </c>
      <c r="E465" s="4">
        <v>5</v>
      </c>
      <c r="F465" s="4" t="s">
        <v>7</v>
      </c>
      <c r="G465" s="4">
        <v>6.97</v>
      </c>
      <c r="H465" s="4">
        <v>6</v>
      </c>
      <c r="I465" s="4">
        <v>6.5750000000000002</v>
      </c>
      <c r="J465" s="4">
        <v>5.3929999999999998</v>
      </c>
      <c r="K465" s="4">
        <v>82.022813688212921</v>
      </c>
      <c r="L465" s="4">
        <v>22.625538020086083</v>
      </c>
      <c r="M465" s="7">
        <f t="shared" si="42"/>
        <v>2.0482728776453976</v>
      </c>
      <c r="N465" s="4">
        <v>47.76</v>
      </c>
      <c r="O465" s="4">
        <v>1.02</v>
      </c>
      <c r="P465" s="4">
        <v>6.3769999999999998</v>
      </c>
      <c r="Q465" s="4">
        <v>1.8240000000000001</v>
      </c>
      <c r="R465" s="4">
        <v>1.4810000000000001</v>
      </c>
      <c r="AF465" s="60"/>
      <c r="AG465" s="61"/>
      <c r="AJ465" s="60"/>
      <c r="AK465" s="62"/>
      <c r="AL465" s="63"/>
      <c r="AM465" s="63"/>
      <c r="AN465" s="64"/>
      <c r="AO465" s="63"/>
      <c r="AP465" s="60"/>
      <c r="AR465" s="60"/>
      <c r="AS465" s="62"/>
      <c r="AW465" s="60"/>
      <c r="AZ465" s="60"/>
      <c r="BC465" s="60"/>
      <c r="BK465" s="60"/>
      <c r="BL465" s="60"/>
      <c r="BM465" s="60"/>
      <c r="BN465" s="60"/>
      <c r="BO465" s="60"/>
      <c r="BR465" s="60"/>
      <c r="BS465" s="65"/>
      <c r="BU465" s="60"/>
      <c r="CF465" s="66"/>
      <c r="CP465" s="30"/>
    </row>
    <row r="466" spans="1:94" x14ac:dyDescent="0.3">
      <c r="A466" s="4">
        <v>580</v>
      </c>
      <c r="B466" s="4" t="s">
        <v>3</v>
      </c>
      <c r="C466" s="4" t="s">
        <v>1</v>
      </c>
      <c r="D466" s="4" t="s">
        <v>4</v>
      </c>
      <c r="E466" s="4">
        <v>1</v>
      </c>
      <c r="F466" s="4" t="s">
        <v>7</v>
      </c>
      <c r="G466" s="4">
        <v>6.99</v>
      </c>
      <c r="H466" s="4">
        <v>6</v>
      </c>
      <c r="I466" s="4">
        <v>7.5049999999999999</v>
      </c>
      <c r="J466" s="4">
        <v>5.694</v>
      </c>
      <c r="K466" s="4">
        <v>75.869420386409061</v>
      </c>
      <c r="L466" s="4">
        <v>18.540772532188846</v>
      </c>
      <c r="M466" s="7">
        <f t="shared" si="42"/>
        <v>1.9968270366179282</v>
      </c>
      <c r="N466" s="4">
        <v>47.51</v>
      </c>
      <c r="O466" s="4">
        <v>1.3360000000000001</v>
      </c>
      <c r="P466" s="4">
        <v>8.3480000000000008</v>
      </c>
      <c r="Q466" s="4">
        <v>2.3370000000000002</v>
      </c>
      <c r="R466" s="4">
        <v>1.9059999999999999</v>
      </c>
      <c r="AF466" s="60"/>
      <c r="AG466" s="61"/>
      <c r="AJ466" s="60"/>
      <c r="AK466" s="62"/>
      <c r="AL466" s="63"/>
      <c r="AM466" s="63"/>
      <c r="AN466" s="64"/>
      <c r="AO466" s="63"/>
      <c r="AP466" s="60"/>
      <c r="AR466" s="60"/>
      <c r="AS466" s="62"/>
      <c r="AW466" s="60"/>
      <c r="AZ466" s="60"/>
      <c r="BC466" s="60"/>
      <c r="BK466" s="60"/>
      <c r="BL466" s="60"/>
      <c r="BM466" s="60"/>
      <c r="BN466" s="60"/>
      <c r="BO466" s="60"/>
      <c r="BR466" s="60"/>
      <c r="BS466" s="65"/>
      <c r="BU466" s="60"/>
      <c r="CF466" s="66"/>
      <c r="CP466" s="30"/>
    </row>
    <row r="467" spans="1:94" x14ac:dyDescent="0.3">
      <c r="A467" s="4">
        <v>584</v>
      </c>
      <c r="B467" s="4" t="s">
        <v>3</v>
      </c>
      <c r="C467" s="4" t="s">
        <v>14</v>
      </c>
      <c r="D467" s="4" t="s">
        <v>4</v>
      </c>
      <c r="E467" s="4">
        <v>1</v>
      </c>
      <c r="F467" s="4" t="s">
        <v>7</v>
      </c>
      <c r="G467" s="4">
        <v>6.97</v>
      </c>
      <c r="H467" s="4">
        <v>6</v>
      </c>
      <c r="I467" s="4">
        <v>6.782</v>
      </c>
      <c r="J467" s="4">
        <v>5.556</v>
      </c>
      <c r="K467" s="4">
        <v>81.92273665585374</v>
      </c>
      <c r="L467" s="4">
        <v>20.286944045911042</v>
      </c>
      <c r="M467" s="7">
        <f t="shared" si="42"/>
        <v>2.0184962691083901</v>
      </c>
      <c r="N467" s="4">
        <v>47.32</v>
      </c>
      <c r="O467" s="4">
        <v>1.0720000000000001</v>
      </c>
      <c r="P467" s="4">
        <v>6.7009999999999996</v>
      </c>
      <c r="Q467" s="4">
        <v>2.1150000000000002</v>
      </c>
      <c r="R467" s="4">
        <v>1.4249999999999998</v>
      </c>
      <c r="AF467" s="60"/>
      <c r="AG467" s="61"/>
      <c r="AJ467" s="60"/>
      <c r="AK467" s="62"/>
      <c r="AL467" s="63"/>
      <c r="AM467" s="63"/>
      <c r="AN467" s="64"/>
      <c r="AO467" s="63"/>
      <c r="AP467" s="60"/>
      <c r="AR467" s="60"/>
      <c r="AS467" s="62"/>
      <c r="AW467" s="60"/>
      <c r="AZ467" s="60"/>
      <c r="BC467" s="60"/>
      <c r="BK467" s="60"/>
      <c r="BL467" s="60"/>
      <c r="BM467" s="60"/>
      <c r="BN467" s="60"/>
      <c r="BO467" s="60"/>
      <c r="BR467" s="60"/>
      <c r="BS467" s="65"/>
      <c r="BU467" s="60"/>
      <c r="CF467" s="66"/>
      <c r="CP467" s="30"/>
    </row>
    <row r="468" spans="1:94" x14ac:dyDescent="0.3">
      <c r="A468" s="4">
        <v>593</v>
      </c>
      <c r="B468" s="4" t="s">
        <v>3</v>
      </c>
      <c r="C468" s="4" t="s">
        <v>14</v>
      </c>
      <c r="D468" s="4" t="s">
        <v>4</v>
      </c>
      <c r="E468" s="4">
        <v>3</v>
      </c>
      <c r="F468" s="4" t="s">
        <v>7</v>
      </c>
      <c r="G468" s="4">
        <v>7.04</v>
      </c>
      <c r="H468" s="4">
        <v>6</v>
      </c>
      <c r="I468" s="4">
        <v>6.7539999999999996</v>
      </c>
      <c r="J468" s="4">
        <v>5.64</v>
      </c>
      <c r="K468" s="4">
        <v>83.506070476754516</v>
      </c>
      <c r="L468" s="4">
        <v>19.88636363636364</v>
      </c>
      <c r="M468" s="7">
        <f t="shared" si="42"/>
        <v>2.0134835738880388</v>
      </c>
      <c r="N468" s="4">
        <v>47.83</v>
      </c>
      <c r="O468" s="4">
        <v>1.095</v>
      </c>
      <c r="P468" s="4">
        <v>6.8419999999999996</v>
      </c>
      <c r="Q468" s="4">
        <v>2.077</v>
      </c>
      <c r="R468" s="4">
        <v>1.8029999999999999</v>
      </c>
      <c r="AF468" s="60"/>
      <c r="AG468" s="61"/>
      <c r="AJ468" s="60"/>
      <c r="AK468" s="62"/>
      <c r="AL468" s="63"/>
      <c r="AM468" s="63"/>
      <c r="AN468" s="64"/>
      <c r="AO468" s="63"/>
      <c r="AP468" s="60"/>
      <c r="AR468" s="60"/>
      <c r="AS468" s="62"/>
      <c r="AW468" s="60"/>
      <c r="AZ468" s="60"/>
      <c r="BC468" s="60"/>
      <c r="BK468" s="60"/>
      <c r="BL468" s="60"/>
      <c r="BM468" s="60"/>
      <c r="BN468" s="60"/>
      <c r="BO468" s="60"/>
      <c r="BR468" s="60"/>
      <c r="BS468" s="65"/>
      <c r="BU468" s="60"/>
      <c r="CF468" s="66"/>
      <c r="CP468" s="30"/>
    </row>
    <row r="469" spans="1:94" x14ac:dyDescent="0.3">
      <c r="A469" s="4">
        <v>666</v>
      </c>
      <c r="B469" s="4" t="s">
        <v>3</v>
      </c>
      <c r="C469" s="4" t="s">
        <v>1</v>
      </c>
      <c r="D469" s="4" t="s">
        <v>5</v>
      </c>
      <c r="E469" s="4">
        <v>1</v>
      </c>
      <c r="F469" s="4" t="s">
        <v>7</v>
      </c>
      <c r="G469" s="4">
        <v>6.97</v>
      </c>
      <c r="H469" s="4">
        <v>6</v>
      </c>
      <c r="I469" s="4">
        <v>6.6189999999999998</v>
      </c>
      <c r="J469" s="4">
        <v>5.415</v>
      </c>
      <c r="K469" s="4">
        <v>81.809941078712797</v>
      </c>
      <c r="L469" s="4">
        <v>22.309899569583926</v>
      </c>
      <c r="M469" s="7">
        <f t="shared" si="42"/>
        <v>2.0442018135475335</v>
      </c>
      <c r="N469" s="4">
        <v>47.9</v>
      </c>
      <c r="O469" s="4">
        <v>0.81499999999999995</v>
      </c>
      <c r="P469" s="4">
        <v>5.0919999999999996</v>
      </c>
      <c r="Q469" s="4">
        <v>0.65</v>
      </c>
      <c r="R469" s="4">
        <v>0.80300000000000005</v>
      </c>
      <c r="AF469" s="60"/>
      <c r="AG469" s="61"/>
      <c r="AJ469" s="60"/>
      <c r="AK469" s="62"/>
      <c r="AL469" s="63"/>
      <c r="AM469" s="63"/>
      <c r="AN469" s="64"/>
      <c r="AO469" s="63"/>
      <c r="AP469" s="60"/>
      <c r="AR469" s="60"/>
      <c r="AS469" s="62"/>
      <c r="AW469" s="60"/>
      <c r="AZ469" s="60"/>
      <c r="BC469" s="60"/>
      <c r="BK469" s="60"/>
      <c r="BL469" s="60"/>
      <c r="BM469" s="60"/>
      <c r="BN469" s="60"/>
      <c r="BO469" s="60"/>
      <c r="BR469" s="60"/>
      <c r="BS469" s="65"/>
      <c r="BU469" s="60"/>
      <c r="CF469" s="66"/>
      <c r="CP469" s="30"/>
    </row>
    <row r="470" spans="1:94" x14ac:dyDescent="0.3">
      <c r="A470" s="4">
        <v>685</v>
      </c>
      <c r="B470" s="4" t="s">
        <v>3</v>
      </c>
      <c r="C470" s="4" t="s">
        <v>14</v>
      </c>
      <c r="D470" s="4" t="s">
        <v>5</v>
      </c>
      <c r="E470" s="4">
        <v>4</v>
      </c>
      <c r="F470" s="4" t="s">
        <v>7</v>
      </c>
      <c r="G470" s="4">
        <v>7</v>
      </c>
      <c r="H470" s="4">
        <v>6</v>
      </c>
      <c r="I470" s="4">
        <v>6.54</v>
      </c>
      <c r="J470" s="4">
        <v>5.415</v>
      </c>
      <c r="K470" s="4">
        <v>82.798165137614674</v>
      </c>
      <c r="L470" s="4">
        <v>22.642857142857142</v>
      </c>
      <c r="M470" s="7">
        <f t="shared" si="42"/>
        <v>2.0484967378304146</v>
      </c>
      <c r="N470" s="4">
        <v>47.43</v>
      </c>
      <c r="O470" s="4">
        <v>0.93300000000000005</v>
      </c>
      <c r="P470" s="4">
        <v>5.8330000000000002</v>
      </c>
      <c r="Q470" s="4">
        <v>0.68400000000000005</v>
      </c>
      <c r="R470" s="4">
        <v>1.0369999999999999</v>
      </c>
      <c r="AF470" s="60"/>
      <c r="AG470" s="61"/>
      <c r="AJ470" s="60"/>
      <c r="AK470" s="62"/>
      <c r="AL470" s="63"/>
      <c r="AM470" s="63"/>
      <c r="AN470" s="64"/>
      <c r="AO470" s="63"/>
      <c r="AP470" s="60"/>
      <c r="AR470" s="60"/>
      <c r="AS470" s="62"/>
      <c r="AW470" s="60"/>
      <c r="AZ470" s="60"/>
      <c r="BC470" s="60"/>
      <c r="BK470" s="60"/>
      <c r="BL470" s="60"/>
      <c r="BM470" s="60"/>
      <c r="BN470" s="60"/>
      <c r="BO470" s="60"/>
      <c r="BR470" s="60"/>
      <c r="BS470" s="65"/>
      <c r="BU470" s="60"/>
      <c r="CF470" s="66"/>
      <c r="CP470" s="30"/>
    </row>
    <row r="471" spans="1:94" x14ac:dyDescent="0.3">
      <c r="A471" s="4">
        <v>688</v>
      </c>
      <c r="B471" s="4" t="s">
        <v>3</v>
      </c>
      <c r="C471" s="4" t="s">
        <v>1</v>
      </c>
      <c r="D471" s="4" t="s">
        <v>5</v>
      </c>
      <c r="E471" s="4">
        <v>2</v>
      </c>
      <c r="F471" s="4" t="s">
        <v>7</v>
      </c>
      <c r="G471" s="4">
        <v>7.05</v>
      </c>
      <c r="H471" s="4">
        <v>6</v>
      </c>
      <c r="I471" s="4">
        <v>7.0019999999999998</v>
      </c>
      <c r="J471" s="4">
        <v>5.444</v>
      </c>
      <c r="K471" s="4">
        <v>77.749214510139964</v>
      </c>
      <c r="L471" s="4">
        <v>22.780141843971631</v>
      </c>
      <c r="M471" s="7">
        <f t="shared" si="42"/>
        <v>2.0502730012630126</v>
      </c>
      <c r="N471" s="4">
        <v>47.9</v>
      </c>
      <c r="O471" s="4">
        <v>0.875</v>
      </c>
      <c r="P471" s="4">
        <v>5.4710000000000001</v>
      </c>
      <c r="Q471" s="4">
        <v>0.72899999999999998</v>
      </c>
      <c r="R471" s="4">
        <v>1.048</v>
      </c>
      <c r="AF471" s="60"/>
      <c r="AG471" s="61"/>
      <c r="AJ471" s="60"/>
      <c r="AK471" s="62"/>
      <c r="AL471" s="63"/>
      <c r="AM471" s="63"/>
      <c r="AN471" s="64"/>
      <c r="AO471" s="63"/>
      <c r="AP471" s="60"/>
      <c r="AR471" s="60"/>
      <c r="AS471" s="62"/>
      <c r="AW471" s="60"/>
      <c r="AZ471" s="60"/>
      <c r="BC471" s="60"/>
      <c r="BK471" s="60"/>
      <c r="BL471" s="60"/>
      <c r="BM471" s="60"/>
      <c r="BN471" s="60"/>
      <c r="BO471" s="60"/>
      <c r="BR471" s="60"/>
      <c r="BS471" s="65"/>
      <c r="BU471" s="60"/>
      <c r="CF471" s="66"/>
      <c r="CP471" s="30"/>
    </row>
    <row r="472" spans="1:94" x14ac:dyDescent="0.3">
      <c r="A472" s="4">
        <v>703</v>
      </c>
      <c r="B472" s="4" t="s">
        <v>3</v>
      </c>
      <c r="C472" s="4" t="s">
        <v>14</v>
      </c>
      <c r="D472" s="4" t="s">
        <v>5</v>
      </c>
      <c r="E472" s="4">
        <v>5</v>
      </c>
      <c r="F472" s="4" t="s">
        <v>7</v>
      </c>
      <c r="G472" s="4">
        <v>6.9</v>
      </c>
      <c r="H472" s="4">
        <v>6</v>
      </c>
      <c r="I472" s="4">
        <v>6.1260000000000003</v>
      </c>
      <c r="J472" s="4">
        <v>5.1159999999999997</v>
      </c>
      <c r="K472" s="4">
        <v>83.512895853738158</v>
      </c>
      <c r="L472" s="4">
        <v>25.855072463768124</v>
      </c>
      <c r="M472" s="7">
        <f t="shared" si="42"/>
        <v>2.0909079971146727</v>
      </c>
      <c r="N472" s="4">
        <v>47.2</v>
      </c>
      <c r="O472" s="4">
        <v>0.98299999999999998</v>
      </c>
      <c r="P472" s="4">
        <v>6.1459999999999999</v>
      </c>
      <c r="Q472" s="4">
        <v>0.68100000000000005</v>
      </c>
      <c r="R472" s="4">
        <v>0.63300000000000001</v>
      </c>
      <c r="AF472" s="60"/>
      <c r="AG472" s="61"/>
      <c r="AJ472" s="60"/>
      <c r="AK472" s="62"/>
      <c r="AL472" s="63"/>
      <c r="AM472" s="63"/>
      <c r="AN472" s="64"/>
      <c r="AO472" s="63"/>
      <c r="AP472" s="60"/>
      <c r="AR472" s="60"/>
      <c r="AS472" s="62"/>
      <c r="AW472" s="60"/>
      <c r="AZ472" s="60"/>
      <c r="BC472" s="60"/>
      <c r="BK472" s="60"/>
      <c r="BL472" s="60"/>
      <c r="BM472" s="60"/>
      <c r="BN472" s="60"/>
      <c r="BO472" s="60"/>
      <c r="BR472" s="60"/>
      <c r="BS472" s="65"/>
      <c r="BU472" s="60"/>
      <c r="CF472" s="66"/>
      <c r="CP472" s="30"/>
    </row>
    <row r="473" spans="1:94" x14ac:dyDescent="0.3">
      <c r="A473" s="4">
        <v>706</v>
      </c>
      <c r="B473" s="4" t="s">
        <v>3</v>
      </c>
      <c r="C473" s="4" t="s">
        <v>14</v>
      </c>
      <c r="D473" s="4" t="s">
        <v>5</v>
      </c>
      <c r="E473" s="4">
        <v>2</v>
      </c>
      <c r="F473" s="4" t="s">
        <v>7</v>
      </c>
      <c r="G473" s="4">
        <v>6.91</v>
      </c>
      <c r="H473" s="4">
        <v>6</v>
      </c>
      <c r="I473" s="4">
        <v>6.4740000000000002</v>
      </c>
      <c r="J473" s="4">
        <v>5.15</v>
      </c>
      <c r="K473" s="4">
        <v>79.548965091133766</v>
      </c>
      <c r="L473" s="4">
        <v>25.470332850940665</v>
      </c>
      <c r="M473" s="7">
        <f t="shared" si="42"/>
        <v>2.0857323923319888</v>
      </c>
      <c r="N473" s="4">
        <v>47.71</v>
      </c>
      <c r="O473" s="4">
        <v>0.82799999999999996</v>
      </c>
      <c r="P473" s="4">
        <v>5.1760000000000002</v>
      </c>
      <c r="Q473" s="4">
        <v>0.97099999999999997</v>
      </c>
      <c r="R473" s="4">
        <v>1.1080000000000001</v>
      </c>
      <c r="AF473" s="60"/>
      <c r="AG473" s="61"/>
      <c r="AJ473" s="60"/>
      <c r="AK473" s="62"/>
      <c r="AL473" s="63"/>
      <c r="AM473" s="63"/>
      <c r="AN473" s="64"/>
      <c r="AO473" s="63"/>
      <c r="AP473" s="60"/>
      <c r="AR473" s="60"/>
      <c r="AS473" s="62"/>
      <c r="AW473" s="60"/>
      <c r="AZ473" s="60"/>
      <c r="BC473" s="60"/>
      <c r="BK473" s="60"/>
      <c r="BL473" s="60"/>
      <c r="BM473" s="60"/>
      <c r="BN473" s="60"/>
      <c r="BO473" s="60"/>
      <c r="BR473" s="60"/>
      <c r="BS473" s="65"/>
      <c r="BU473" s="60"/>
      <c r="CF473" s="66"/>
      <c r="CP473" s="30"/>
    </row>
    <row r="474" spans="1:94" x14ac:dyDescent="0.3">
      <c r="A474" s="4">
        <v>708</v>
      </c>
      <c r="B474" s="4" t="s">
        <v>3</v>
      </c>
      <c r="C474" s="4" t="s">
        <v>1</v>
      </c>
      <c r="D474" s="4" t="s">
        <v>5</v>
      </c>
      <c r="E474" s="4">
        <v>3</v>
      </c>
      <c r="F474" s="4" t="s">
        <v>7</v>
      </c>
      <c r="G474" s="4">
        <v>6.93</v>
      </c>
      <c r="H474" s="4">
        <v>6</v>
      </c>
      <c r="I474" s="4">
        <v>6.88</v>
      </c>
      <c r="J474" s="4">
        <v>5.3040000000000003</v>
      </c>
      <c r="K474" s="4">
        <v>77.093023255813961</v>
      </c>
      <c r="L474" s="4">
        <v>23.463203463203456</v>
      </c>
      <c r="M474" s="7">
        <f t="shared" si="42"/>
        <v>2.0591580295463054</v>
      </c>
      <c r="N474" s="4">
        <v>45.98</v>
      </c>
      <c r="O474" s="4">
        <v>1.329</v>
      </c>
      <c r="P474" s="4">
        <v>8.3059999999999992</v>
      </c>
      <c r="Q474" s="4">
        <v>0.91500000000000004</v>
      </c>
      <c r="R474" s="4">
        <v>1.18</v>
      </c>
      <c r="AF474" s="60"/>
      <c r="AG474" s="61"/>
      <c r="AJ474" s="60"/>
      <c r="AK474" s="62"/>
      <c r="AL474" s="63"/>
      <c r="AM474" s="63"/>
      <c r="AN474" s="64"/>
      <c r="AO474" s="63"/>
      <c r="AP474" s="60"/>
      <c r="AR474" s="60"/>
      <c r="AS474" s="62"/>
      <c r="AW474" s="60"/>
      <c r="AZ474" s="60"/>
      <c r="BC474" s="60"/>
      <c r="BK474" s="60"/>
      <c r="BL474" s="60"/>
      <c r="BM474" s="60"/>
      <c r="BN474" s="60"/>
      <c r="BO474" s="60"/>
      <c r="BR474" s="60"/>
      <c r="BS474" s="65"/>
      <c r="BU474" s="60"/>
      <c r="CF474" s="66"/>
      <c r="CP474" s="30"/>
    </row>
    <row r="475" spans="1:94" x14ac:dyDescent="0.3">
      <c r="A475" s="4">
        <v>709</v>
      </c>
      <c r="B475" s="4" t="s">
        <v>3</v>
      </c>
      <c r="C475" s="4" t="s">
        <v>1</v>
      </c>
      <c r="D475" s="4" t="s">
        <v>5</v>
      </c>
      <c r="E475" s="4">
        <v>4</v>
      </c>
      <c r="F475" s="4" t="s">
        <v>7</v>
      </c>
      <c r="G475" s="4">
        <v>6.94</v>
      </c>
      <c r="H475" s="4">
        <v>6</v>
      </c>
      <c r="I475" s="4">
        <v>6.2910000000000004</v>
      </c>
      <c r="J475" s="4">
        <v>5.1980000000000004</v>
      </c>
      <c r="K475" s="4">
        <v>82.625973613098083</v>
      </c>
      <c r="L475" s="4">
        <v>25.100864553314118</v>
      </c>
      <c r="M475" s="7">
        <f t="shared" si="42"/>
        <v>2.0807873075274697</v>
      </c>
      <c r="N475" s="4">
        <v>45.98</v>
      </c>
      <c r="O475" s="4">
        <v>1.236</v>
      </c>
      <c r="P475" s="4">
        <v>7.7279999999999998</v>
      </c>
      <c r="Q475" s="4">
        <v>0.747</v>
      </c>
      <c r="R475" s="4">
        <v>0.623</v>
      </c>
      <c r="AF475" s="60"/>
      <c r="AG475" s="61"/>
      <c r="AJ475" s="60"/>
      <c r="AK475" s="62"/>
      <c r="AL475" s="63"/>
      <c r="AM475" s="63"/>
      <c r="AN475" s="64"/>
      <c r="AO475" s="63"/>
      <c r="AP475" s="60"/>
      <c r="AR475" s="60"/>
      <c r="AS475" s="62"/>
      <c r="AW475" s="60"/>
      <c r="AZ475" s="60"/>
      <c r="BC475" s="60"/>
      <c r="BK475" s="60"/>
      <c r="BL475" s="60"/>
      <c r="BM475" s="60"/>
      <c r="BN475" s="60"/>
      <c r="BO475" s="60"/>
      <c r="BR475" s="60"/>
      <c r="BS475" s="65"/>
      <c r="BU475" s="60"/>
      <c r="CF475" s="66"/>
      <c r="CP475" s="30"/>
    </row>
    <row r="476" spans="1:94" x14ac:dyDescent="0.3">
      <c r="A476" s="4">
        <v>716</v>
      </c>
      <c r="B476" s="4" t="s">
        <v>3</v>
      </c>
      <c r="C476" s="4" t="s">
        <v>1</v>
      </c>
      <c r="D476" s="4" t="s">
        <v>5</v>
      </c>
      <c r="E476" s="4">
        <v>5</v>
      </c>
      <c r="F476" s="4" t="s">
        <v>7</v>
      </c>
      <c r="G476" s="4">
        <v>6.96</v>
      </c>
      <c r="H476" s="4">
        <v>6</v>
      </c>
      <c r="I476" s="4">
        <v>7.2210000000000001</v>
      </c>
      <c r="J476" s="4">
        <v>5.0250000000000004</v>
      </c>
      <c r="K476" s="4">
        <v>69.588699626090573</v>
      </c>
      <c r="L476" s="4">
        <v>27.801724137931028</v>
      </c>
      <c r="M476" s="7">
        <f t="shared" si="42"/>
        <v>2.1175134896292436</v>
      </c>
      <c r="N476" s="4">
        <v>44.89</v>
      </c>
      <c r="O476" s="4">
        <v>1.01</v>
      </c>
      <c r="P476" s="4">
        <v>6.31</v>
      </c>
      <c r="Q476" s="4">
        <v>0.83</v>
      </c>
      <c r="R476" s="4">
        <v>0.66500000000000004</v>
      </c>
      <c r="AF476" s="60"/>
      <c r="AG476" s="61"/>
      <c r="AJ476" s="60"/>
      <c r="AK476" s="62"/>
      <c r="AL476" s="63"/>
      <c r="AM476" s="63"/>
      <c r="AN476" s="64"/>
      <c r="AO476" s="63"/>
      <c r="AP476" s="60"/>
      <c r="AR476" s="60"/>
      <c r="AS476" s="62"/>
      <c r="AW476" s="60"/>
      <c r="AZ476" s="60"/>
      <c r="BC476" s="60"/>
      <c r="BK476" s="60"/>
      <c r="BL476" s="60"/>
      <c r="BM476" s="60"/>
      <c r="BN476" s="60"/>
      <c r="BO476" s="60"/>
      <c r="BR476" s="60"/>
      <c r="BS476" s="65"/>
      <c r="BU476" s="60"/>
      <c r="CF476" s="66"/>
      <c r="CP476" s="30"/>
    </row>
    <row r="477" spans="1:94" x14ac:dyDescent="0.3">
      <c r="A477" s="4">
        <v>718</v>
      </c>
      <c r="B477" s="4" t="s">
        <v>3</v>
      </c>
      <c r="C477" s="4" t="s">
        <v>14</v>
      </c>
      <c r="D477" s="4" t="s">
        <v>5</v>
      </c>
      <c r="E477" s="4">
        <v>1</v>
      </c>
      <c r="F477" s="4" t="s">
        <v>7</v>
      </c>
      <c r="G477" s="4">
        <v>6.9</v>
      </c>
      <c r="H477" s="4">
        <v>6</v>
      </c>
      <c r="I477" s="4">
        <v>6.1909999999999998</v>
      </c>
      <c r="J477" s="4">
        <v>5.1349999999999998</v>
      </c>
      <c r="K477" s="4">
        <v>82.942981747698269</v>
      </c>
      <c r="L477" s="4">
        <v>25.579710144927542</v>
      </c>
      <c r="M477" s="7">
        <f t="shared" si="42"/>
        <v>2.0872010374507473</v>
      </c>
      <c r="N477" s="4">
        <v>47.9</v>
      </c>
      <c r="O477" s="4">
        <v>1.0489999999999999</v>
      </c>
      <c r="P477" s="4">
        <v>6.5540000000000003</v>
      </c>
      <c r="Q477" s="4">
        <v>0.9</v>
      </c>
      <c r="R477" s="4">
        <v>1.1080000000000001</v>
      </c>
      <c r="AF477" s="60"/>
      <c r="AG477" s="61"/>
      <c r="AJ477" s="60"/>
      <c r="AK477" s="62"/>
      <c r="AL477" s="63"/>
      <c r="AM477" s="63"/>
      <c r="AN477" s="64"/>
      <c r="AO477" s="63"/>
      <c r="AP477" s="60"/>
      <c r="AR477" s="60"/>
      <c r="AS477" s="62"/>
      <c r="AW477" s="60"/>
      <c r="AZ477" s="60"/>
      <c r="BC477" s="60"/>
      <c r="BK477" s="60"/>
      <c r="BL477" s="60"/>
      <c r="BM477" s="60"/>
      <c r="BN477" s="60"/>
      <c r="BO477" s="60"/>
      <c r="BR477" s="60"/>
      <c r="BS477" s="65"/>
      <c r="BU477" s="60"/>
      <c r="CF477" s="66"/>
      <c r="CP477" s="30"/>
    </row>
    <row r="478" spans="1:94" x14ac:dyDescent="0.3">
      <c r="A478" s="4">
        <v>719</v>
      </c>
      <c r="B478" s="4" t="s">
        <v>3</v>
      </c>
      <c r="C478" s="4" t="s">
        <v>14</v>
      </c>
      <c r="D478" s="4" t="s">
        <v>5</v>
      </c>
      <c r="E478" s="4">
        <v>3</v>
      </c>
      <c r="F478" s="4" t="s">
        <v>7</v>
      </c>
      <c r="G478" s="4">
        <v>7.03</v>
      </c>
      <c r="H478" s="4">
        <v>6</v>
      </c>
      <c r="I478" s="4">
        <v>6.6550000000000002</v>
      </c>
      <c r="J478" s="4">
        <v>5.6360000000000001</v>
      </c>
      <c r="K478" s="4">
        <v>84.688204357625835</v>
      </c>
      <c r="L478" s="4">
        <v>19.829302987197725</v>
      </c>
      <c r="M478" s="7">
        <f t="shared" si="42"/>
        <v>2.0127715810141948</v>
      </c>
      <c r="N478" s="4">
        <v>47.13</v>
      </c>
      <c r="O478" s="4">
        <v>1.071</v>
      </c>
      <c r="P478" s="4">
        <v>6.6950000000000003</v>
      </c>
      <c r="Q478" s="4">
        <v>1.097</v>
      </c>
      <c r="R478" s="4">
        <v>1.282</v>
      </c>
      <c r="AF478" s="60"/>
      <c r="AG478" s="61"/>
      <c r="AJ478" s="60"/>
      <c r="AK478" s="62"/>
      <c r="AL478" s="63"/>
      <c r="AM478" s="63"/>
      <c r="AN478" s="64"/>
      <c r="AO478" s="63"/>
      <c r="AP478" s="60"/>
      <c r="AR478" s="60"/>
      <c r="AS478" s="62"/>
      <c r="AW478" s="60"/>
      <c r="AZ478" s="60"/>
      <c r="BC478" s="60"/>
      <c r="BK478" s="60"/>
      <c r="BL478" s="60"/>
      <c r="BM478" s="60"/>
      <c r="BN478" s="60"/>
      <c r="BO478" s="60"/>
      <c r="BR478" s="60"/>
      <c r="BS478" s="65"/>
      <c r="BU478" s="60"/>
      <c r="CF478" s="66"/>
      <c r="CP478" s="30"/>
    </row>
    <row r="479" spans="1:94" x14ac:dyDescent="0.3">
      <c r="A479" s="2">
        <v>66</v>
      </c>
      <c r="B479" s="2" t="s">
        <v>0</v>
      </c>
      <c r="C479" s="2" t="s">
        <v>14</v>
      </c>
      <c r="D479" s="2" t="s">
        <v>4</v>
      </c>
      <c r="E479" s="2">
        <v>1</v>
      </c>
      <c r="F479" s="2" t="s">
        <v>7</v>
      </c>
      <c r="G479" s="2">
        <v>6.99</v>
      </c>
      <c r="H479" s="2">
        <v>12</v>
      </c>
      <c r="I479" s="2">
        <v>17.684999999999999</v>
      </c>
      <c r="J479" s="2">
        <v>4.1779999999999999</v>
      </c>
      <c r="K479" s="2">
        <v>76.37545942889453</v>
      </c>
      <c r="L479" s="2">
        <v>40.228898426323326</v>
      </c>
      <c r="M479" s="7">
        <f t="shared" si="42"/>
        <v>2.9995545428993453</v>
      </c>
      <c r="N479" s="2">
        <v>44.96</v>
      </c>
      <c r="O479" s="2">
        <v>1.3109999999999999</v>
      </c>
      <c r="P479" s="2">
        <v>8.1940000000000008</v>
      </c>
      <c r="Q479" s="2">
        <v>1.054</v>
      </c>
      <c r="R479" s="2">
        <v>0.47086999999999996</v>
      </c>
      <c r="AF479" s="60"/>
      <c r="AG479" s="61"/>
      <c r="AJ479" s="60"/>
      <c r="AK479" s="62"/>
      <c r="AL479" s="63"/>
      <c r="AM479" s="63"/>
      <c r="AN479" s="64"/>
      <c r="AO479" s="63"/>
      <c r="AP479" s="60"/>
      <c r="AR479" s="60"/>
      <c r="AS479" s="62"/>
      <c r="AW479" s="60"/>
      <c r="AZ479" s="60"/>
      <c r="BC479" s="60"/>
      <c r="BK479" s="60"/>
      <c r="BL479" s="60"/>
      <c r="BM479" s="60"/>
      <c r="BN479" s="60"/>
      <c r="BO479" s="60"/>
      <c r="BR479" s="60"/>
      <c r="BS479" s="65"/>
      <c r="BU479" s="60"/>
      <c r="CF479" s="66"/>
      <c r="CP479" s="30"/>
    </row>
    <row r="480" spans="1:94" x14ac:dyDescent="0.3">
      <c r="A480" s="2">
        <v>74</v>
      </c>
      <c r="B480" s="2" t="s">
        <v>0</v>
      </c>
      <c r="C480" s="2" t="s">
        <v>1</v>
      </c>
      <c r="D480" s="2" t="s">
        <v>4</v>
      </c>
      <c r="E480" s="2">
        <v>4</v>
      </c>
      <c r="F480" s="2" t="s">
        <v>7</v>
      </c>
      <c r="G480" s="2">
        <v>6.98</v>
      </c>
      <c r="H480" s="2">
        <v>12</v>
      </c>
      <c r="I480" s="2">
        <v>18.338000000000001</v>
      </c>
      <c r="J480" s="2">
        <v>3.97</v>
      </c>
      <c r="K480" s="2">
        <v>78.350965208855925</v>
      </c>
      <c r="L480" s="2">
        <v>43.123209169054441</v>
      </c>
      <c r="M480" s="7">
        <f t="shared" si="42"/>
        <v>3.0491894718631825</v>
      </c>
      <c r="N480" s="2">
        <v>46.29</v>
      </c>
      <c r="O480" s="2">
        <v>1.7669999999999999</v>
      </c>
      <c r="P480" s="2">
        <v>11.047000000000001</v>
      </c>
      <c r="Q480" s="2">
        <v>0.68</v>
      </c>
      <c r="R480" s="2">
        <v>0.56500000000000006</v>
      </c>
      <c r="AF480" s="60"/>
      <c r="AG480" s="61"/>
      <c r="AJ480" s="60"/>
      <c r="AK480" s="62"/>
      <c r="AL480" s="63"/>
      <c r="AM480" s="63"/>
      <c r="AN480" s="64"/>
      <c r="AO480" s="63"/>
      <c r="AP480" s="60"/>
      <c r="AR480" s="60"/>
      <c r="AS480" s="62"/>
      <c r="AW480" s="60"/>
      <c r="AZ480" s="60"/>
      <c r="BC480" s="60"/>
      <c r="BK480" s="60"/>
      <c r="BL480" s="60"/>
      <c r="BM480" s="60"/>
      <c r="BN480" s="60"/>
      <c r="BO480" s="60"/>
      <c r="BR480" s="60"/>
      <c r="BS480" s="65"/>
      <c r="BU480" s="60"/>
      <c r="CF480" s="66"/>
      <c r="CP480" s="30"/>
    </row>
    <row r="481" spans="1:94" x14ac:dyDescent="0.3">
      <c r="A481" s="2">
        <v>77</v>
      </c>
      <c r="B481" s="2" t="s">
        <v>0</v>
      </c>
      <c r="C481" s="2" t="s">
        <v>14</v>
      </c>
      <c r="D481" s="2" t="s">
        <v>4</v>
      </c>
      <c r="E481" s="2">
        <v>3</v>
      </c>
      <c r="F481" s="2" t="s">
        <v>7</v>
      </c>
      <c r="G481" s="2">
        <v>6.94</v>
      </c>
      <c r="H481" s="2">
        <v>12</v>
      </c>
      <c r="I481" s="2">
        <v>16.143000000000001</v>
      </c>
      <c r="J481" s="2">
        <v>3.879</v>
      </c>
      <c r="K481" s="2">
        <v>75.97100910611411</v>
      </c>
      <c r="L481" s="2">
        <v>44.106628242074933</v>
      </c>
      <c r="M481" s="7">
        <f t="shared" si="42"/>
        <v>3.0666310358488835</v>
      </c>
      <c r="N481" s="2">
        <v>46.35</v>
      </c>
      <c r="O481" s="2">
        <v>1.752</v>
      </c>
      <c r="P481" s="2">
        <v>10.952999999999999</v>
      </c>
      <c r="Q481" s="2">
        <v>1.03</v>
      </c>
      <c r="R481" s="2">
        <v>0.55687000000000009</v>
      </c>
      <c r="AF481" s="60"/>
      <c r="AG481" s="61"/>
      <c r="AJ481" s="60"/>
      <c r="AK481" s="62"/>
      <c r="AL481" s="63"/>
      <c r="AM481" s="63"/>
      <c r="AN481" s="64"/>
      <c r="AO481" s="63"/>
      <c r="AP481" s="60"/>
      <c r="AR481" s="60"/>
      <c r="AS481" s="62"/>
      <c r="AW481" s="60"/>
      <c r="AZ481" s="60"/>
      <c r="BC481" s="60"/>
      <c r="BK481" s="60"/>
      <c r="BL481" s="60"/>
      <c r="BM481" s="60"/>
      <c r="BN481" s="60"/>
      <c r="BO481" s="60"/>
      <c r="BR481" s="60"/>
      <c r="BS481" s="65"/>
      <c r="BU481" s="60"/>
      <c r="CF481" s="66"/>
      <c r="CP481" s="30"/>
    </row>
    <row r="482" spans="1:94" x14ac:dyDescent="0.3">
      <c r="A482" s="2">
        <v>86</v>
      </c>
      <c r="B482" s="2" t="s">
        <v>0</v>
      </c>
      <c r="C482" s="2" t="s">
        <v>1</v>
      </c>
      <c r="D482" s="2" t="s">
        <v>4</v>
      </c>
      <c r="E482" s="2">
        <v>1</v>
      </c>
      <c r="F482" s="2" t="s">
        <v>7</v>
      </c>
      <c r="G482" s="2">
        <v>7.04</v>
      </c>
      <c r="H482" s="2">
        <v>12</v>
      </c>
      <c r="I482" s="2">
        <v>22.119</v>
      </c>
      <c r="J482" s="2">
        <v>5.1369999999999996</v>
      </c>
      <c r="K482" s="2">
        <v>76.775622767756218</v>
      </c>
      <c r="L482" s="2">
        <v>27.031250000000007</v>
      </c>
      <c r="M482" s="7">
        <f t="shared" si="42"/>
        <v>2.8000455684728207</v>
      </c>
      <c r="N482" s="2">
        <v>45.45</v>
      </c>
      <c r="O482" s="2">
        <v>1.0349999999999999</v>
      </c>
      <c r="P482" s="2">
        <v>6.4660000000000002</v>
      </c>
      <c r="Q482" s="2">
        <v>0.44400000000000001</v>
      </c>
      <c r="R482" s="2">
        <v>0.38686999999999999</v>
      </c>
      <c r="AF482" s="60"/>
      <c r="AG482" s="61"/>
      <c r="AJ482" s="60"/>
      <c r="AK482" s="62"/>
      <c r="AL482" s="63"/>
      <c r="AM482" s="63"/>
      <c r="AN482" s="64"/>
      <c r="AO482" s="63"/>
      <c r="AP482" s="60"/>
      <c r="AR482" s="60"/>
      <c r="AS482" s="62"/>
      <c r="AW482" s="60"/>
      <c r="AZ482" s="60"/>
      <c r="BC482" s="60"/>
      <c r="BK482" s="60"/>
      <c r="BL482" s="60"/>
      <c r="BM482" s="60"/>
      <c r="BN482" s="60"/>
      <c r="BO482" s="60"/>
      <c r="BR482" s="60"/>
      <c r="BS482" s="65"/>
      <c r="BU482" s="60"/>
      <c r="CF482" s="66"/>
      <c r="CP482" s="30"/>
    </row>
    <row r="483" spans="1:94" x14ac:dyDescent="0.3">
      <c r="A483" s="2">
        <v>95</v>
      </c>
      <c r="B483" s="2" t="s">
        <v>0</v>
      </c>
      <c r="C483" s="2" t="s">
        <v>1</v>
      </c>
      <c r="D483" s="2" t="s">
        <v>4</v>
      </c>
      <c r="E483" s="2">
        <v>5</v>
      </c>
      <c r="F483" s="2" t="s">
        <v>7</v>
      </c>
      <c r="G483" s="2">
        <v>6.99</v>
      </c>
      <c r="H483" s="2">
        <v>12</v>
      </c>
      <c r="I483" s="2">
        <v>20.507999999999999</v>
      </c>
      <c r="J483" s="2">
        <v>4.625</v>
      </c>
      <c r="K483" s="2">
        <v>77.447825238931145</v>
      </c>
      <c r="L483" s="2">
        <v>33.834048640915597</v>
      </c>
      <c r="M483" s="7">
        <f t="shared" si="42"/>
        <v>2.8979108350693306</v>
      </c>
      <c r="N483" s="2">
        <v>41.73</v>
      </c>
      <c r="O483" s="2">
        <v>1.698</v>
      </c>
      <c r="P483" s="2">
        <v>10.613</v>
      </c>
      <c r="Q483" s="2">
        <v>0.38500000000000001</v>
      </c>
      <c r="R483" s="2">
        <v>0.16387000000000002</v>
      </c>
      <c r="AF483" s="60"/>
      <c r="AG483" s="61"/>
      <c r="AJ483" s="60"/>
      <c r="AK483" s="62"/>
      <c r="AL483" s="63"/>
      <c r="AM483" s="63"/>
      <c r="AN483" s="64"/>
      <c r="AO483" s="63"/>
      <c r="AP483" s="60"/>
      <c r="AR483" s="60"/>
      <c r="AS483" s="62"/>
      <c r="AW483" s="60"/>
      <c r="AZ483" s="60"/>
      <c r="BC483" s="60"/>
      <c r="BK483" s="60"/>
      <c r="BL483" s="60"/>
      <c r="BM483" s="60"/>
      <c r="BN483" s="60"/>
      <c r="BO483" s="60"/>
      <c r="BR483" s="60"/>
      <c r="BS483" s="65"/>
      <c r="BU483" s="60"/>
      <c r="CF483" s="66"/>
      <c r="CP483" s="30"/>
    </row>
    <row r="484" spans="1:94" x14ac:dyDescent="0.3">
      <c r="A484" s="2">
        <v>96</v>
      </c>
      <c r="B484" s="2" t="s">
        <v>0</v>
      </c>
      <c r="C484" s="2" t="s">
        <v>14</v>
      </c>
      <c r="D484" s="2" t="s">
        <v>4</v>
      </c>
      <c r="E484" s="2">
        <v>5</v>
      </c>
      <c r="F484" s="2" t="s">
        <v>7</v>
      </c>
      <c r="G484" s="2">
        <v>7.03</v>
      </c>
      <c r="H484" s="2">
        <v>12</v>
      </c>
      <c r="I484" s="2">
        <v>18.664999999999999</v>
      </c>
      <c r="J484" s="2">
        <v>3.4</v>
      </c>
      <c r="K484" s="2">
        <v>81.784087864987939</v>
      </c>
      <c r="L484" s="2">
        <v>51.635846372688476</v>
      </c>
      <c r="M484" s="7">
        <f t="shared" si="42"/>
        <v>3.2113179239884584</v>
      </c>
      <c r="N484" s="2">
        <v>44.75</v>
      </c>
      <c r="O484" s="2">
        <v>1.798</v>
      </c>
      <c r="P484" s="2">
        <v>11.24</v>
      </c>
      <c r="Q484" s="2">
        <v>0.52800000000000002</v>
      </c>
      <c r="R484" s="2">
        <v>0.22087000000000001</v>
      </c>
      <c r="AF484" s="60"/>
      <c r="AG484" s="61"/>
      <c r="AJ484" s="60"/>
      <c r="AK484" s="62"/>
      <c r="AL484" s="63"/>
      <c r="AM484" s="63"/>
      <c r="AN484" s="64"/>
      <c r="AO484" s="63"/>
      <c r="AP484" s="60"/>
      <c r="AR484" s="60"/>
      <c r="AS484" s="62"/>
      <c r="AW484" s="60"/>
      <c r="AZ484" s="60"/>
      <c r="BC484" s="60"/>
      <c r="BK484" s="60"/>
      <c r="BL484" s="60"/>
      <c r="BM484" s="60"/>
      <c r="BN484" s="60"/>
      <c r="BO484" s="60"/>
      <c r="BR484" s="60"/>
      <c r="BS484" s="65"/>
      <c r="BU484" s="60"/>
      <c r="CF484" s="66"/>
      <c r="CP484" s="30"/>
    </row>
    <row r="485" spans="1:94" x14ac:dyDescent="0.3">
      <c r="A485" s="2">
        <v>97</v>
      </c>
      <c r="B485" s="2" t="s">
        <v>0</v>
      </c>
      <c r="C485" s="2" t="s">
        <v>1</v>
      </c>
      <c r="D485" s="2" t="s">
        <v>4</v>
      </c>
      <c r="E485" s="2">
        <v>2</v>
      </c>
      <c r="F485" s="2" t="s">
        <v>7</v>
      </c>
      <c r="G485" s="2">
        <v>6.99</v>
      </c>
      <c r="H485" s="2">
        <v>12</v>
      </c>
      <c r="I485" s="2">
        <v>17.861999999999998</v>
      </c>
      <c r="J485" s="2">
        <v>3.4390000000000001</v>
      </c>
      <c r="K485" s="2">
        <v>80.746836860373975</v>
      </c>
      <c r="L485" s="2">
        <v>50.80114449213162</v>
      </c>
      <c r="M485" s="7">
        <f t="shared" si="42"/>
        <v>3.1942064745835901</v>
      </c>
      <c r="N485" s="2">
        <v>44.96</v>
      </c>
      <c r="O485" s="2">
        <v>1.7789999999999999</v>
      </c>
      <c r="P485" s="2">
        <v>11.119</v>
      </c>
      <c r="Q485" s="2">
        <v>0.72899999999999998</v>
      </c>
      <c r="R485" s="2">
        <v>0.40487000000000001</v>
      </c>
      <c r="AF485" s="60"/>
      <c r="AG485" s="61"/>
      <c r="AJ485" s="60"/>
      <c r="AK485" s="62"/>
      <c r="AL485" s="63"/>
      <c r="AM485" s="63"/>
      <c r="AN485" s="64"/>
      <c r="AO485" s="63"/>
      <c r="AP485" s="60"/>
      <c r="AR485" s="60"/>
      <c r="AS485" s="62"/>
      <c r="AW485" s="60"/>
      <c r="AZ485" s="60"/>
      <c r="BC485" s="60"/>
      <c r="BK485" s="60"/>
      <c r="BL485" s="60"/>
      <c r="BM485" s="60"/>
      <c r="BN485" s="60"/>
      <c r="BO485" s="60"/>
      <c r="BR485" s="60"/>
      <c r="BS485" s="65"/>
      <c r="BU485" s="60"/>
      <c r="CF485" s="66"/>
      <c r="CP485" s="30"/>
    </row>
    <row r="486" spans="1:94" x14ac:dyDescent="0.3">
      <c r="A486" s="2">
        <v>99</v>
      </c>
      <c r="B486" s="2" t="s">
        <v>0</v>
      </c>
      <c r="C486" s="2" t="s">
        <v>1</v>
      </c>
      <c r="D486" s="2" t="s">
        <v>4</v>
      </c>
      <c r="E486" s="2">
        <v>3</v>
      </c>
      <c r="F486" s="2" t="s">
        <v>7</v>
      </c>
      <c r="G486" s="2">
        <v>7</v>
      </c>
      <c r="H486" s="2">
        <v>12</v>
      </c>
      <c r="I486" s="2">
        <v>19.440000000000001</v>
      </c>
      <c r="J486" s="2">
        <v>3.7589999999999999</v>
      </c>
      <c r="K486" s="2">
        <v>80.663580246913583</v>
      </c>
      <c r="L486" s="2">
        <v>46.300000000000004</v>
      </c>
      <c r="M486" s="7">
        <f t="shared" si="42"/>
        <v>3.1066638342612727</v>
      </c>
      <c r="N486" s="2">
        <v>42.59</v>
      </c>
      <c r="O486" s="2">
        <v>1.665</v>
      </c>
      <c r="P486" s="2">
        <v>10.407</v>
      </c>
      <c r="Q486" s="2">
        <v>0.78300000000000003</v>
      </c>
      <c r="R486" s="2">
        <v>0.51587000000000005</v>
      </c>
      <c r="AF486" s="60"/>
      <c r="AG486" s="61"/>
      <c r="AJ486" s="60"/>
      <c r="AK486" s="62"/>
      <c r="AL486" s="63"/>
      <c r="AM486" s="63"/>
      <c r="AN486" s="64"/>
      <c r="AO486" s="63"/>
      <c r="AP486" s="60"/>
      <c r="AR486" s="60"/>
      <c r="AS486" s="62"/>
      <c r="AW486" s="60"/>
      <c r="AZ486" s="60"/>
      <c r="BC486" s="60"/>
      <c r="BK486" s="60"/>
      <c r="BL486" s="60"/>
      <c r="BM486" s="60"/>
      <c r="BN486" s="60"/>
      <c r="BO486" s="60"/>
      <c r="BR486" s="60"/>
      <c r="BS486" s="65"/>
      <c r="BU486" s="60"/>
      <c r="CF486" s="66"/>
      <c r="CP486" s="30"/>
    </row>
    <row r="487" spans="1:94" x14ac:dyDescent="0.3">
      <c r="A487" s="2">
        <v>109</v>
      </c>
      <c r="B487" s="2" t="s">
        <v>0</v>
      </c>
      <c r="C487" s="2" t="s">
        <v>14</v>
      </c>
      <c r="D487" s="2" t="s">
        <v>4</v>
      </c>
      <c r="E487" s="2">
        <v>2</v>
      </c>
      <c r="F487" s="2" t="s">
        <v>7</v>
      </c>
      <c r="G487" s="2">
        <v>7.03</v>
      </c>
      <c r="H487" s="2">
        <v>12</v>
      </c>
      <c r="I487" s="2">
        <v>20.728999999999999</v>
      </c>
      <c r="J487" s="2">
        <v>3.7170000000000001</v>
      </c>
      <c r="K487" s="2">
        <v>82.068599546529015</v>
      </c>
      <c r="L487" s="2">
        <v>47.126600284495026</v>
      </c>
      <c r="M487" s="7">
        <f t="shared" si="42"/>
        <v>3.1221764642954586</v>
      </c>
      <c r="N487" s="2">
        <v>46.41</v>
      </c>
      <c r="O487" s="2">
        <v>1.847</v>
      </c>
      <c r="P487" s="2">
        <v>11.547000000000001</v>
      </c>
      <c r="Q487" s="2">
        <v>0.754</v>
      </c>
      <c r="R487" s="2">
        <v>0.48</v>
      </c>
      <c r="AF487" s="60"/>
      <c r="AG487" s="61"/>
      <c r="AJ487" s="60"/>
      <c r="AK487" s="62"/>
      <c r="AL487" s="63"/>
      <c r="AM487" s="63"/>
      <c r="AN487" s="64"/>
      <c r="AO487" s="63"/>
      <c r="AP487" s="60"/>
      <c r="AR487" s="60"/>
      <c r="AS487" s="62"/>
      <c r="AW487" s="60"/>
      <c r="AZ487" s="60"/>
      <c r="BC487" s="60"/>
      <c r="BK487" s="60"/>
      <c r="BL487" s="60"/>
      <c r="BM487" s="60"/>
      <c r="BN487" s="60"/>
      <c r="BO487" s="60"/>
      <c r="BR487" s="60"/>
      <c r="BS487" s="65"/>
      <c r="BU487" s="60"/>
      <c r="CF487" s="66"/>
      <c r="CP487" s="30"/>
    </row>
    <row r="488" spans="1:94" x14ac:dyDescent="0.3">
      <c r="A488" s="2">
        <v>113</v>
      </c>
      <c r="B488" s="2" t="s">
        <v>0</v>
      </c>
      <c r="C488" s="2" t="s">
        <v>14</v>
      </c>
      <c r="D488" s="2" t="s">
        <v>4</v>
      </c>
      <c r="E488" s="2">
        <v>2</v>
      </c>
      <c r="F488" s="2" t="s">
        <v>7</v>
      </c>
      <c r="G488" s="2">
        <v>7.01</v>
      </c>
      <c r="H488" s="2">
        <v>12</v>
      </c>
      <c r="I488" s="2">
        <v>21.091000000000001</v>
      </c>
      <c r="J488" s="2">
        <v>3.5339999999999998</v>
      </c>
      <c r="K488" s="2">
        <v>83.24403774121663</v>
      </c>
      <c r="L488" s="2">
        <v>49.586305278174038</v>
      </c>
      <c r="M488" s="7">
        <f t="shared" si="42"/>
        <v>3.1698139769369944</v>
      </c>
      <c r="N488" s="2">
        <v>47.11</v>
      </c>
      <c r="O488" s="2">
        <v>1.8819999999999999</v>
      </c>
      <c r="P488" s="2">
        <v>11.762</v>
      </c>
      <c r="Q488" s="2">
        <v>0.69799999999999995</v>
      </c>
      <c r="R488" s="2">
        <v>0.52900000000000003</v>
      </c>
      <c r="AF488" s="60"/>
      <c r="AG488" s="61"/>
      <c r="AJ488" s="60"/>
      <c r="AK488" s="62"/>
      <c r="AL488" s="63"/>
      <c r="AM488" s="63"/>
      <c r="AN488" s="64"/>
      <c r="AO488" s="63"/>
      <c r="AP488" s="60"/>
      <c r="AR488" s="60"/>
      <c r="AS488" s="62"/>
      <c r="AW488" s="60"/>
      <c r="AZ488" s="60"/>
      <c r="BC488" s="60"/>
      <c r="BK488" s="60"/>
      <c r="BL488" s="60"/>
      <c r="BM488" s="60"/>
      <c r="BN488" s="60"/>
      <c r="BO488" s="60"/>
      <c r="BR488" s="60"/>
      <c r="BS488" s="65"/>
      <c r="BU488" s="60"/>
      <c r="CF488" s="66"/>
      <c r="CP488" s="30"/>
    </row>
    <row r="489" spans="1:94" x14ac:dyDescent="0.3">
      <c r="A489" s="2">
        <v>119</v>
      </c>
      <c r="B489" s="2" t="s">
        <v>0</v>
      </c>
      <c r="C489" s="2" t="s">
        <v>14</v>
      </c>
      <c r="D489" s="2" t="s">
        <v>4</v>
      </c>
      <c r="E489" s="2">
        <v>4</v>
      </c>
      <c r="F489" s="2" t="s">
        <v>7</v>
      </c>
      <c r="G489" s="2">
        <v>7.01</v>
      </c>
      <c r="H489" s="2">
        <v>12</v>
      </c>
      <c r="I489" s="2">
        <v>16.163</v>
      </c>
      <c r="J489" s="2">
        <v>3.839</v>
      </c>
      <c r="K489" s="2">
        <v>76.248221246055806</v>
      </c>
      <c r="L489" s="2">
        <v>45.235378031383739</v>
      </c>
      <c r="M489" s="7">
        <f t="shared" si="42"/>
        <v>3.0870324348158382</v>
      </c>
      <c r="N489" s="2">
        <v>48.21</v>
      </c>
      <c r="O489" s="2">
        <v>1.6379999999999999</v>
      </c>
      <c r="P489" s="2">
        <v>10.239000000000001</v>
      </c>
      <c r="Q489" s="2">
        <v>0.8</v>
      </c>
      <c r="R489" s="2">
        <v>0.45086999999999999</v>
      </c>
      <c r="AF489" s="60"/>
      <c r="AG489" s="61"/>
      <c r="AJ489" s="60"/>
      <c r="AK489" s="62"/>
      <c r="AL489" s="63"/>
      <c r="AM489" s="63"/>
      <c r="AN489" s="64"/>
      <c r="AO489" s="63"/>
      <c r="AP489" s="60"/>
      <c r="AR489" s="60"/>
      <c r="AS489" s="62"/>
      <c r="AW489" s="60"/>
      <c r="AZ489" s="60"/>
      <c r="BC489" s="60"/>
      <c r="BK489" s="60"/>
      <c r="BL489" s="60"/>
      <c r="BM489" s="60"/>
      <c r="BN489" s="60"/>
      <c r="BO489" s="60"/>
      <c r="BR489" s="60"/>
      <c r="BS489" s="65"/>
      <c r="BU489" s="60"/>
      <c r="CF489" s="66"/>
      <c r="CP489" s="30"/>
    </row>
    <row r="490" spans="1:94" x14ac:dyDescent="0.3">
      <c r="A490" s="2">
        <v>183</v>
      </c>
      <c r="B490" s="2" t="s">
        <v>0</v>
      </c>
      <c r="C490" s="2" t="s">
        <v>14</v>
      </c>
      <c r="D490" s="2" t="s">
        <v>5</v>
      </c>
      <c r="E490" s="2">
        <v>4</v>
      </c>
      <c r="F490" s="2" t="s">
        <v>7</v>
      </c>
      <c r="G490" s="2">
        <v>7.01</v>
      </c>
      <c r="H490" s="2">
        <v>12</v>
      </c>
      <c r="I490" s="2">
        <v>16.273</v>
      </c>
      <c r="J490" s="2">
        <v>3.9390000000000001</v>
      </c>
      <c r="K490" s="2">
        <v>75.794260431389418</v>
      </c>
      <c r="L490" s="2">
        <v>43.808844507845933</v>
      </c>
      <c r="M490" s="7">
        <f t="shared" si="42"/>
        <v>3.0613174668457304</v>
      </c>
      <c r="N490" s="2">
        <v>47.52</v>
      </c>
      <c r="O490" s="2">
        <v>1.466</v>
      </c>
      <c r="P490" s="2">
        <v>9.1609999999999996</v>
      </c>
      <c r="Q490" s="2">
        <v>0.505</v>
      </c>
      <c r="R490" s="2">
        <v>0.28286999999999995</v>
      </c>
      <c r="AF490" s="60"/>
      <c r="AG490" s="61"/>
      <c r="AJ490" s="60"/>
      <c r="AK490" s="62"/>
      <c r="AL490" s="63"/>
      <c r="AM490" s="63"/>
      <c r="AN490" s="64"/>
      <c r="AO490" s="63"/>
      <c r="AP490" s="60"/>
      <c r="AR490" s="60"/>
      <c r="AS490" s="62"/>
      <c r="AW490" s="60"/>
      <c r="AZ490" s="60"/>
      <c r="BC490" s="60"/>
      <c r="BK490" s="60"/>
      <c r="BL490" s="60"/>
      <c r="BM490" s="60"/>
      <c r="BN490" s="60"/>
      <c r="BO490" s="60"/>
      <c r="BR490" s="60"/>
      <c r="BS490" s="65"/>
      <c r="BU490" s="60"/>
      <c r="CF490" s="66"/>
      <c r="CP490" s="30"/>
    </row>
    <row r="491" spans="1:94" x14ac:dyDescent="0.3">
      <c r="A491" s="2">
        <v>194</v>
      </c>
      <c r="B491" s="2" t="s">
        <v>0</v>
      </c>
      <c r="C491" s="2" t="s">
        <v>14</v>
      </c>
      <c r="D491" s="2" t="s">
        <v>5</v>
      </c>
      <c r="E491" s="2">
        <v>5</v>
      </c>
      <c r="F491" s="2" t="s">
        <v>7</v>
      </c>
      <c r="G491" s="2">
        <v>6.96</v>
      </c>
      <c r="H491" s="2">
        <v>12</v>
      </c>
      <c r="I491" s="2">
        <v>18.783999999999999</v>
      </c>
      <c r="J491" s="2">
        <v>3.907</v>
      </c>
      <c r="K491" s="2">
        <v>79.200383304940374</v>
      </c>
      <c r="L491" s="2">
        <v>43.864942528735625</v>
      </c>
      <c r="M491" s="7">
        <f t="shared" si="42"/>
        <v>3.0623163080613951</v>
      </c>
      <c r="N491" s="2">
        <v>45.54</v>
      </c>
      <c r="O491" s="2">
        <v>1.419</v>
      </c>
      <c r="P491" s="2">
        <v>8.8689999999999998</v>
      </c>
      <c r="Q491" s="2">
        <v>0.57799999999999996</v>
      </c>
      <c r="R491" s="2">
        <v>0.49399999999999999</v>
      </c>
      <c r="AF491" s="60"/>
      <c r="AG491" s="61"/>
      <c r="AJ491" s="60"/>
      <c r="AK491" s="62"/>
      <c r="AL491" s="63"/>
      <c r="AM491" s="63"/>
      <c r="AN491" s="64"/>
      <c r="AO491" s="63"/>
      <c r="AP491" s="60"/>
      <c r="AR491" s="60"/>
      <c r="AS491" s="62"/>
      <c r="AW491" s="60"/>
      <c r="AZ491" s="60"/>
      <c r="BC491" s="60"/>
      <c r="BK491" s="60"/>
      <c r="BL491" s="60"/>
      <c r="BM491" s="60"/>
      <c r="BN491" s="60"/>
      <c r="BO491" s="60"/>
      <c r="BR491" s="60"/>
      <c r="BS491" s="65"/>
      <c r="BU491" s="60"/>
      <c r="CF491" s="66"/>
      <c r="CP491" s="30"/>
    </row>
    <row r="492" spans="1:94" x14ac:dyDescent="0.3">
      <c r="A492" s="2">
        <v>203</v>
      </c>
      <c r="B492" s="2" t="s">
        <v>0</v>
      </c>
      <c r="C492" s="2" t="s">
        <v>1</v>
      </c>
      <c r="D492" s="2" t="s">
        <v>5</v>
      </c>
      <c r="E492" s="2">
        <v>3</v>
      </c>
      <c r="F492" s="2" t="s">
        <v>7</v>
      </c>
      <c r="G492" s="2">
        <v>7.06</v>
      </c>
      <c r="H492" s="2">
        <v>12</v>
      </c>
      <c r="I492" s="2">
        <v>17.530999999999999</v>
      </c>
      <c r="J492" s="2">
        <v>4.6520000000000001</v>
      </c>
      <c r="K492" s="2">
        <v>73.464149221379259</v>
      </c>
      <c r="L492" s="2">
        <v>34.107648725212456</v>
      </c>
      <c r="M492" s="7">
        <f t="shared" si="42"/>
        <v>2.9020544666367329</v>
      </c>
      <c r="N492" s="2">
        <v>38.24</v>
      </c>
      <c r="O492" s="2">
        <v>1.629</v>
      </c>
      <c r="P492" s="2">
        <v>10.183999999999999</v>
      </c>
      <c r="Q492" s="2">
        <v>0.35799999999999998</v>
      </c>
      <c r="R492" s="2">
        <v>0.13387000000000002</v>
      </c>
      <c r="AF492" s="60"/>
      <c r="AG492" s="61"/>
      <c r="AJ492" s="60"/>
      <c r="AK492" s="62"/>
      <c r="AL492" s="63"/>
      <c r="AM492" s="63"/>
      <c r="AN492" s="64"/>
      <c r="AO492" s="63"/>
      <c r="AP492" s="60"/>
      <c r="AR492" s="60"/>
      <c r="AS492" s="62"/>
      <c r="AW492" s="60"/>
      <c r="AZ492" s="60"/>
      <c r="BC492" s="60"/>
      <c r="BK492" s="60"/>
      <c r="BL492" s="60"/>
      <c r="BM492" s="60"/>
      <c r="BN492" s="60"/>
      <c r="BO492" s="60"/>
      <c r="BR492" s="60"/>
      <c r="BS492" s="65"/>
      <c r="BU492" s="60"/>
      <c r="CF492" s="66"/>
      <c r="CP492" s="30"/>
    </row>
    <row r="493" spans="1:94" x14ac:dyDescent="0.3">
      <c r="A493" s="2">
        <v>205</v>
      </c>
      <c r="B493" s="2" t="s">
        <v>0</v>
      </c>
      <c r="C493" s="2" t="s">
        <v>14</v>
      </c>
      <c r="D493" s="2" t="s">
        <v>5</v>
      </c>
      <c r="E493" s="2">
        <v>3</v>
      </c>
      <c r="F493" s="2" t="s">
        <v>7</v>
      </c>
      <c r="G493" s="2">
        <v>7.06</v>
      </c>
      <c r="H493" s="2">
        <v>12</v>
      </c>
      <c r="I493" s="2">
        <v>14.94</v>
      </c>
      <c r="J493" s="2">
        <v>4.5780000000000003</v>
      </c>
      <c r="K493" s="2">
        <v>69.357429718875494</v>
      </c>
      <c r="L493" s="2">
        <v>35.155807365439088</v>
      </c>
      <c r="M493" s="7">
        <f t="shared" si="42"/>
        <v>2.9180894797627759</v>
      </c>
      <c r="N493" s="2">
        <v>45.3</v>
      </c>
      <c r="O493" s="2">
        <v>1.357</v>
      </c>
      <c r="P493" s="2">
        <v>8.4789999999999992</v>
      </c>
      <c r="Q493" s="2">
        <v>0.38100000000000001</v>
      </c>
      <c r="R493" s="2">
        <v>0.25386999999999998</v>
      </c>
      <c r="AF493" s="60"/>
      <c r="AG493" s="61"/>
      <c r="AJ493" s="60"/>
      <c r="AK493" s="62"/>
      <c r="AL493" s="63"/>
      <c r="AM493" s="63"/>
      <c r="AN493" s="64"/>
      <c r="AO493" s="63"/>
      <c r="AP493" s="60"/>
      <c r="AR493" s="60"/>
      <c r="AS493" s="62"/>
      <c r="AW493" s="60"/>
      <c r="AZ493" s="60"/>
      <c r="BC493" s="60"/>
      <c r="BK493" s="60"/>
      <c r="BL493" s="60"/>
      <c r="BM493" s="60"/>
      <c r="BN493" s="60"/>
      <c r="BO493" s="60"/>
      <c r="BR493" s="60"/>
      <c r="BS493" s="65"/>
      <c r="BU493" s="60"/>
      <c r="CF493" s="66"/>
      <c r="CP493" s="30"/>
    </row>
    <row r="494" spans="1:94" x14ac:dyDescent="0.3">
      <c r="A494" s="2">
        <v>210</v>
      </c>
      <c r="B494" s="2" t="s">
        <v>0</v>
      </c>
      <c r="C494" s="2" t="s">
        <v>14</v>
      </c>
      <c r="D494" s="2" t="s">
        <v>5</v>
      </c>
      <c r="E494" s="2">
        <v>1</v>
      </c>
      <c r="F494" s="2" t="s">
        <v>7</v>
      </c>
      <c r="G494" s="2">
        <v>7.09</v>
      </c>
      <c r="H494" s="2">
        <v>12</v>
      </c>
      <c r="I494" s="2">
        <v>18.763000000000002</v>
      </c>
      <c r="J494" s="2">
        <v>5.0209999999999999</v>
      </c>
      <c r="K494" s="2">
        <v>73.239887011671897</v>
      </c>
      <c r="L494" s="2">
        <v>29.181946403385052</v>
      </c>
      <c r="M494" s="7">
        <f t="shared" si="42"/>
        <v>2.8299628732794679</v>
      </c>
      <c r="N494" s="2">
        <v>44.19</v>
      </c>
      <c r="O494" s="2">
        <v>1.3959999999999999</v>
      </c>
      <c r="P494" s="2">
        <v>8.7249999999999996</v>
      </c>
      <c r="Q494" s="2">
        <v>0.45300000000000001</v>
      </c>
      <c r="R494" s="2">
        <v>6.3869999999999996E-2</v>
      </c>
      <c r="AF494" s="60"/>
      <c r="AG494" s="61"/>
      <c r="AJ494" s="60"/>
      <c r="AK494" s="62"/>
      <c r="AL494" s="63"/>
      <c r="AM494" s="63"/>
      <c r="AN494" s="64"/>
      <c r="AO494" s="63"/>
      <c r="AP494" s="60"/>
      <c r="AR494" s="60"/>
      <c r="AS494" s="62"/>
      <c r="AW494" s="60"/>
      <c r="AZ494" s="60"/>
      <c r="BC494" s="60"/>
      <c r="BK494" s="60"/>
      <c r="BL494" s="60"/>
      <c r="BM494" s="60"/>
      <c r="BN494" s="60"/>
      <c r="BO494" s="60"/>
      <c r="BR494" s="60"/>
      <c r="BS494" s="65"/>
      <c r="BU494" s="60"/>
      <c r="CF494" s="66"/>
      <c r="CP494" s="30"/>
    </row>
    <row r="495" spans="1:94" x14ac:dyDescent="0.3">
      <c r="A495" s="2">
        <v>227</v>
      </c>
      <c r="B495" s="2" t="s">
        <v>0</v>
      </c>
      <c r="C495" s="2" t="s">
        <v>1</v>
      </c>
      <c r="D495" s="2" t="s">
        <v>5</v>
      </c>
      <c r="E495" s="2">
        <v>2</v>
      </c>
      <c r="F495" s="2" t="s">
        <v>7</v>
      </c>
      <c r="G495" s="2">
        <v>6.99</v>
      </c>
      <c r="H495" s="2">
        <v>12</v>
      </c>
      <c r="I495" s="2">
        <v>16.321000000000002</v>
      </c>
      <c r="J495" s="2">
        <v>3.8210000000000002</v>
      </c>
      <c r="K495" s="2">
        <v>76.588444335518659</v>
      </c>
      <c r="L495" s="2">
        <v>45.336194563662374</v>
      </c>
      <c r="M495" s="7">
        <f t="shared" si="42"/>
        <v>3.0888750375689562</v>
      </c>
      <c r="N495" s="2">
        <v>44.18</v>
      </c>
      <c r="O495" s="2">
        <v>1.234</v>
      </c>
      <c r="P495" s="2">
        <v>7.7119999999999997</v>
      </c>
      <c r="Q495" s="2">
        <v>0.311</v>
      </c>
      <c r="R495" s="2">
        <v>5.6870000000000004E-2</v>
      </c>
      <c r="AF495" s="60"/>
      <c r="AG495" s="61"/>
      <c r="AJ495" s="60"/>
      <c r="AK495" s="62"/>
      <c r="AL495" s="63"/>
      <c r="AM495" s="63"/>
      <c r="AN495" s="64"/>
      <c r="AO495" s="63"/>
      <c r="AP495" s="60"/>
      <c r="AR495" s="60"/>
      <c r="AS495" s="62"/>
      <c r="AW495" s="60"/>
      <c r="AZ495" s="60"/>
      <c r="BC495" s="60"/>
      <c r="BK495" s="60"/>
      <c r="BL495" s="60"/>
      <c r="BM495" s="60"/>
      <c r="BN495" s="60"/>
      <c r="BO495" s="60"/>
      <c r="BR495" s="60"/>
      <c r="BS495" s="65"/>
      <c r="BU495" s="60"/>
      <c r="CF495" s="66"/>
      <c r="CP495" s="30"/>
    </row>
    <row r="496" spans="1:94" x14ac:dyDescent="0.3">
      <c r="A496" s="2">
        <v>237</v>
      </c>
      <c r="B496" s="2" t="s">
        <v>0</v>
      </c>
      <c r="C496" s="2" t="s">
        <v>1</v>
      </c>
      <c r="D496" s="2" t="s">
        <v>5</v>
      </c>
      <c r="E496" s="2">
        <v>1</v>
      </c>
      <c r="F496" s="2" t="s">
        <v>7</v>
      </c>
      <c r="G496" s="2">
        <v>6.97</v>
      </c>
      <c r="H496" s="2">
        <v>12</v>
      </c>
      <c r="I496" s="2">
        <v>18.968</v>
      </c>
      <c r="J496" s="2">
        <v>3.9990000000000001</v>
      </c>
      <c r="K496" s="2">
        <v>78.917123576549969</v>
      </c>
      <c r="L496" s="2">
        <v>42.625538020086076</v>
      </c>
      <c r="M496" s="7">
        <f t="shared" si="42"/>
        <v>3.0404775446957517</v>
      </c>
      <c r="N496" s="2">
        <v>44.08</v>
      </c>
      <c r="O496" s="2">
        <v>1.587</v>
      </c>
      <c r="P496" s="2">
        <v>9.9190000000000005</v>
      </c>
      <c r="Q496" s="2">
        <v>0.38</v>
      </c>
      <c r="R496" s="2">
        <v>0.77300000000000002</v>
      </c>
      <c r="AF496" s="60"/>
      <c r="AG496" s="61"/>
      <c r="AJ496" s="60"/>
      <c r="AK496" s="62"/>
      <c r="AL496" s="63"/>
      <c r="AM496" s="63"/>
      <c r="AN496" s="64"/>
      <c r="AO496" s="63"/>
      <c r="AP496" s="60"/>
      <c r="AR496" s="60"/>
      <c r="AS496" s="62"/>
      <c r="AW496" s="60"/>
      <c r="AZ496" s="60"/>
      <c r="BC496" s="60"/>
      <c r="BK496" s="60"/>
      <c r="BL496" s="60"/>
      <c r="BM496" s="60"/>
      <c r="BN496" s="60"/>
      <c r="BO496" s="60"/>
      <c r="BR496" s="60"/>
      <c r="BS496" s="65"/>
      <c r="BU496" s="60"/>
      <c r="CF496" s="66"/>
      <c r="CP496" s="30"/>
    </row>
    <row r="497" spans="1:94" x14ac:dyDescent="0.3">
      <c r="A497" s="2">
        <v>312</v>
      </c>
      <c r="B497" s="2" t="s">
        <v>2</v>
      </c>
      <c r="C497" s="2" t="s">
        <v>14</v>
      </c>
      <c r="D497" s="2" t="s">
        <v>4</v>
      </c>
      <c r="E497" s="2">
        <v>2</v>
      </c>
      <c r="F497" s="2" t="s">
        <v>7</v>
      </c>
      <c r="G497" s="2">
        <v>6.98</v>
      </c>
      <c r="H497" s="2">
        <v>12</v>
      </c>
      <c r="I497" s="2">
        <v>21.507000000000001</v>
      </c>
      <c r="J497" s="2">
        <v>4.0019999999999998</v>
      </c>
      <c r="K497" s="2">
        <v>81.392104896080355</v>
      </c>
      <c r="L497" s="2">
        <v>42.664756446991412</v>
      </c>
      <c r="M497" s="7">
        <f t="shared" si="42"/>
        <v>3.0411613304007399</v>
      </c>
      <c r="N497" s="2">
        <v>47.5</v>
      </c>
      <c r="O497" s="2">
        <v>1.651</v>
      </c>
      <c r="P497" s="2">
        <v>10.316000000000001</v>
      </c>
      <c r="Q497" s="2">
        <v>0.58199999999999996</v>
      </c>
      <c r="R497" s="2">
        <v>0.37</v>
      </c>
      <c r="AF497" s="60"/>
      <c r="AG497" s="61"/>
      <c r="AJ497" s="60"/>
      <c r="AK497" s="62"/>
      <c r="AL497" s="63"/>
      <c r="AM497" s="63"/>
      <c r="AN497" s="64"/>
      <c r="AO497" s="63"/>
      <c r="AP497" s="60"/>
      <c r="AR497" s="60"/>
      <c r="AS497" s="62"/>
      <c r="AW497" s="60"/>
      <c r="AZ497" s="60"/>
      <c r="BC497" s="60"/>
      <c r="BK497" s="60"/>
      <c r="BL497" s="60"/>
      <c r="BM497" s="60"/>
      <c r="BN497" s="60"/>
      <c r="BO497" s="60"/>
      <c r="BR497" s="60"/>
      <c r="BS497" s="65"/>
      <c r="BU497" s="60"/>
      <c r="CF497" s="66"/>
      <c r="CP497" s="30"/>
    </row>
    <row r="498" spans="1:94" x14ac:dyDescent="0.3">
      <c r="A498" s="2">
        <v>314</v>
      </c>
      <c r="B498" s="2" t="s">
        <v>2</v>
      </c>
      <c r="C498" s="2" t="s">
        <v>1</v>
      </c>
      <c r="D498" s="2" t="s">
        <v>4</v>
      </c>
      <c r="E498" s="2">
        <v>4</v>
      </c>
      <c r="F498" s="2" t="s">
        <v>7</v>
      </c>
      <c r="G498" s="2">
        <v>6.99</v>
      </c>
      <c r="H498" s="2">
        <v>12</v>
      </c>
      <c r="I498" s="2">
        <v>18.765999999999998</v>
      </c>
      <c r="J498" s="2">
        <v>3.8809999999999998</v>
      </c>
      <c r="K498" s="2">
        <v>79.318981136097193</v>
      </c>
      <c r="L498" s="2">
        <v>44.47782546494993</v>
      </c>
      <c r="M498" s="7">
        <f t="shared" si="42"/>
        <v>3.0732943536469501</v>
      </c>
      <c r="N498" s="2">
        <v>47.13</v>
      </c>
      <c r="O498" s="2">
        <v>1.9159999999999999</v>
      </c>
      <c r="P498" s="2">
        <v>11.972</v>
      </c>
      <c r="Q498" s="2">
        <v>0.77100000000000002</v>
      </c>
      <c r="R498" s="2">
        <v>0.10186999999999999</v>
      </c>
      <c r="AF498" s="60"/>
      <c r="AG498" s="61"/>
      <c r="AJ498" s="60"/>
      <c r="AK498" s="62"/>
      <c r="AL498" s="63"/>
      <c r="AM498" s="63"/>
      <c r="AN498" s="64"/>
      <c r="AO498" s="63"/>
      <c r="AP498" s="60"/>
      <c r="AR498" s="60"/>
      <c r="AS498" s="62"/>
      <c r="AW498" s="60"/>
      <c r="AZ498" s="60"/>
      <c r="BC498" s="60"/>
      <c r="BK498" s="60"/>
      <c r="BL498" s="60"/>
      <c r="BM498" s="60"/>
      <c r="BN498" s="60"/>
      <c r="BO498" s="60"/>
      <c r="BR498" s="60"/>
      <c r="BS498" s="65"/>
      <c r="BU498" s="60"/>
      <c r="CF498" s="66"/>
      <c r="CP498" s="30"/>
    </row>
    <row r="499" spans="1:94" x14ac:dyDescent="0.3">
      <c r="A499" s="2">
        <v>316</v>
      </c>
      <c r="B499" s="2" t="s">
        <v>2</v>
      </c>
      <c r="C499" s="2" t="s">
        <v>1</v>
      </c>
      <c r="D499" s="2" t="s">
        <v>4</v>
      </c>
      <c r="E499" s="2">
        <v>1</v>
      </c>
      <c r="F499" s="2" t="s">
        <v>7</v>
      </c>
      <c r="G499" s="2">
        <v>6.99</v>
      </c>
      <c r="H499" s="2">
        <v>12</v>
      </c>
      <c r="I499" s="2">
        <v>20.731000000000002</v>
      </c>
      <c r="J499" s="2">
        <v>4.0679999999999996</v>
      </c>
      <c r="K499" s="2">
        <v>80.377212869615562</v>
      </c>
      <c r="L499" s="2">
        <v>41.80257510729615</v>
      </c>
      <c r="M499" s="7">
        <f t="shared" si="42"/>
        <v>3.0262357278474057</v>
      </c>
      <c r="N499" s="2">
        <v>45.85</v>
      </c>
      <c r="O499" s="2">
        <v>1.5629999999999999</v>
      </c>
      <c r="P499" s="2">
        <v>9.7710000000000008</v>
      </c>
      <c r="Q499" s="2">
        <v>0.56699999999999995</v>
      </c>
      <c r="R499" s="2">
        <v>0.23587</v>
      </c>
      <c r="AF499" s="60"/>
      <c r="AG499" s="61"/>
      <c r="AJ499" s="60"/>
      <c r="AK499" s="62"/>
      <c r="AL499" s="63"/>
      <c r="AM499" s="63"/>
      <c r="AN499" s="64"/>
      <c r="AO499" s="63"/>
      <c r="AP499" s="60"/>
      <c r="AR499" s="60"/>
      <c r="AS499" s="62"/>
      <c r="AW499" s="60"/>
      <c r="AZ499" s="60"/>
      <c r="BC499" s="60"/>
      <c r="BK499" s="60"/>
      <c r="BL499" s="60"/>
      <c r="BM499" s="60"/>
      <c r="BN499" s="60"/>
      <c r="BO499" s="60"/>
      <c r="BR499" s="60"/>
      <c r="BS499" s="65"/>
      <c r="BU499" s="60"/>
      <c r="CF499" s="66"/>
      <c r="CP499" s="30"/>
    </row>
    <row r="500" spans="1:94" x14ac:dyDescent="0.3">
      <c r="A500" s="2">
        <v>326</v>
      </c>
      <c r="B500" s="2" t="s">
        <v>2</v>
      </c>
      <c r="C500" s="2" t="s">
        <v>14</v>
      </c>
      <c r="D500" s="2" t="s">
        <v>4</v>
      </c>
      <c r="E500" s="2">
        <v>1</v>
      </c>
      <c r="F500" s="2" t="s">
        <v>7</v>
      </c>
      <c r="G500" s="2">
        <v>6.99</v>
      </c>
      <c r="H500" s="2">
        <v>12</v>
      </c>
      <c r="I500" s="2">
        <v>15.778</v>
      </c>
      <c r="J500" s="2">
        <v>3.8490000000000002</v>
      </c>
      <c r="K500" s="2">
        <v>75.605273165166693</v>
      </c>
      <c r="L500" s="2">
        <v>44.935622317596561</v>
      </c>
      <c r="M500" s="7">
        <f t="shared" si="42"/>
        <v>3.08157383173211</v>
      </c>
      <c r="N500" s="2">
        <v>46.11</v>
      </c>
      <c r="O500" s="2">
        <v>1.627</v>
      </c>
      <c r="P500" s="2">
        <v>10.166</v>
      </c>
      <c r="Q500" s="2">
        <v>0.76200000000000001</v>
      </c>
      <c r="R500" s="2">
        <v>0.75887000000000004</v>
      </c>
      <c r="AF500" s="60"/>
      <c r="AG500" s="61"/>
      <c r="AJ500" s="60"/>
      <c r="AK500" s="62"/>
      <c r="AL500" s="63"/>
      <c r="AM500" s="63"/>
      <c r="AN500" s="64"/>
      <c r="AO500" s="63"/>
      <c r="AP500" s="60"/>
      <c r="AR500" s="60"/>
      <c r="AS500" s="62"/>
      <c r="AW500" s="60"/>
      <c r="AZ500" s="60"/>
      <c r="BC500" s="60"/>
      <c r="BK500" s="60"/>
      <c r="BL500" s="60"/>
      <c r="BM500" s="60"/>
      <c r="BN500" s="60"/>
      <c r="BO500" s="60"/>
      <c r="BR500" s="60"/>
      <c r="BS500" s="65"/>
      <c r="BU500" s="60"/>
      <c r="CF500" s="66"/>
      <c r="CP500" s="30"/>
    </row>
    <row r="501" spans="1:94" x14ac:dyDescent="0.3">
      <c r="A501" s="2">
        <v>345</v>
      </c>
      <c r="B501" s="2" t="s">
        <v>2</v>
      </c>
      <c r="C501" s="2" t="s">
        <v>1</v>
      </c>
      <c r="D501" s="2" t="s">
        <v>4</v>
      </c>
      <c r="E501" s="2">
        <v>5</v>
      </c>
      <c r="F501" s="2" t="s">
        <v>7</v>
      </c>
      <c r="G501" s="2">
        <v>6.97</v>
      </c>
      <c r="H501" s="2">
        <v>12</v>
      </c>
      <c r="I501" s="2">
        <v>20.335000000000001</v>
      </c>
      <c r="J501" s="2">
        <v>3.7770000000000001</v>
      </c>
      <c r="K501" s="2">
        <v>81.426112613720179</v>
      </c>
      <c r="L501" s="2">
        <v>45.810616929698703</v>
      </c>
      <c r="M501" s="7">
        <f t="shared" si="42"/>
        <v>3.0975918308301127</v>
      </c>
      <c r="N501" s="2">
        <v>40.119999999999997</v>
      </c>
      <c r="O501" s="2">
        <v>1.696</v>
      </c>
      <c r="P501" s="2">
        <v>10.6</v>
      </c>
      <c r="Q501" s="2">
        <v>0.51100000000000001</v>
      </c>
      <c r="R501" s="2">
        <v>0.59799999999999998</v>
      </c>
      <c r="AF501" s="60"/>
      <c r="AG501" s="61"/>
      <c r="AJ501" s="60"/>
      <c r="AK501" s="62"/>
      <c r="AL501" s="63"/>
      <c r="AM501" s="63"/>
      <c r="AN501" s="64"/>
      <c r="AO501" s="63"/>
      <c r="AP501" s="60"/>
      <c r="AR501" s="60"/>
      <c r="AS501" s="62"/>
      <c r="AW501" s="60"/>
      <c r="AZ501" s="60"/>
      <c r="BC501" s="60"/>
      <c r="BK501" s="60"/>
      <c r="BL501" s="60"/>
      <c r="BM501" s="60"/>
      <c r="BN501" s="60"/>
      <c r="BO501" s="60"/>
      <c r="BR501" s="60"/>
      <c r="BS501" s="65"/>
      <c r="BU501" s="60"/>
      <c r="CF501" s="66"/>
      <c r="CP501" s="30"/>
    </row>
    <row r="502" spans="1:94" x14ac:dyDescent="0.3">
      <c r="A502" s="2">
        <v>346</v>
      </c>
      <c r="B502" s="2" t="s">
        <v>2</v>
      </c>
      <c r="C502" s="2" t="s">
        <v>14</v>
      </c>
      <c r="D502" s="2" t="s">
        <v>4</v>
      </c>
      <c r="E502" s="2">
        <v>5</v>
      </c>
      <c r="F502" s="2" t="s">
        <v>7</v>
      </c>
      <c r="G502" s="2">
        <v>7.04</v>
      </c>
      <c r="H502" s="2">
        <v>12</v>
      </c>
      <c r="I502" s="2">
        <v>16.013999999999999</v>
      </c>
      <c r="J502" s="2">
        <v>3.3359999999999999</v>
      </c>
      <c r="K502" s="2">
        <v>79.168227800674401</v>
      </c>
      <c r="L502" s="2">
        <v>52.61363636363636</v>
      </c>
      <c r="M502" s="7">
        <f t="shared" si="42"/>
        <v>3.2317423354614512</v>
      </c>
      <c r="N502" s="2">
        <v>46.63</v>
      </c>
      <c r="O502" s="2">
        <v>1.903</v>
      </c>
      <c r="P502" s="2">
        <v>11.893000000000001</v>
      </c>
      <c r="Q502" s="2">
        <v>0.46200000000000002</v>
      </c>
      <c r="R502" s="2">
        <v>0.23587</v>
      </c>
      <c r="AF502" s="60"/>
      <c r="AG502" s="61"/>
      <c r="AJ502" s="60"/>
      <c r="AK502" s="62"/>
      <c r="AL502" s="63"/>
      <c r="AM502" s="63"/>
      <c r="AN502" s="64"/>
      <c r="AO502" s="63"/>
      <c r="AP502" s="60"/>
      <c r="AR502" s="60"/>
      <c r="AS502" s="62"/>
      <c r="AW502" s="60"/>
      <c r="AZ502" s="60"/>
      <c r="BC502" s="60"/>
      <c r="BK502" s="60"/>
      <c r="BL502" s="60"/>
      <c r="BM502" s="60"/>
      <c r="BN502" s="60"/>
      <c r="BO502" s="60"/>
      <c r="BR502" s="60"/>
      <c r="BS502" s="65"/>
      <c r="BU502" s="60"/>
      <c r="CF502" s="66"/>
      <c r="CP502" s="30"/>
    </row>
    <row r="503" spans="1:94" x14ac:dyDescent="0.3">
      <c r="A503" s="2">
        <v>348</v>
      </c>
      <c r="B503" s="2" t="s">
        <v>2</v>
      </c>
      <c r="C503" s="2" t="s">
        <v>14</v>
      </c>
      <c r="D503" s="2" t="s">
        <v>4</v>
      </c>
      <c r="E503" s="2">
        <v>4</v>
      </c>
      <c r="F503" s="2" t="s">
        <v>7</v>
      </c>
      <c r="G503" s="2">
        <v>7</v>
      </c>
      <c r="H503" s="2">
        <v>12</v>
      </c>
      <c r="I503" s="2">
        <v>23.914000000000001</v>
      </c>
      <c r="J503" s="2">
        <v>3.605</v>
      </c>
      <c r="K503" s="2">
        <v>84.925148448607516</v>
      </c>
      <c r="L503" s="2">
        <v>48.5</v>
      </c>
      <c r="M503" s="7">
        <f t="shared" si="42"/>
        <v>3.1484950281064013</v>
      </c>
      <c r="N503" s="2">
        <v>46.99</v>
      </c>
      <c r="O503" s="2">
        <v>2.0459999999999998</v>
      </c>
      <c r="P503" s="2">
        <v>12.786</v>
      </c>
      <c r="Q503" s="2">
        <v>0.39500000000000002</v>
      </c>
      <c r="R503" s="2">
        <v>0.18600000000000003</v>
      </c>
      <c r="AF503" s="60"/>
      <c r="AG503" s="61"/>
      <c r="AJ503" s="60"/>
      <c r="AK503" s="62"/>
      <c r="AL503" s="63"/>
      <c r="AM503" s="63"/>
      <c r="AN503" s="64"/>
      <c r="AO503" s="63"/>
      <c r="AP503" s="60"/>
      <c r="AR503" s="60"/>
      <c r="AS503" s="62"/>
      <c r="AW503" s="60"/>
      <c r="AZ503" s="60"/>
      <c r="BC503" s="60"/>
      <c r="BK503" s="60"/>
      <c r="BL503" s="60"/>
      <c r="BM503" s="60"/>
      <c r="BN503" s="60"/>
      <c r="BO503" s="60"/>
      <c r="BR503" s="60"/>
      <c r="BS503" s="65"/>
      <c r="BU503" s="60"/>
      <c r="CF503" s="66"/>
      <c r="CP503" s="30"/>
    </row>
    <row r="504" spans="1:94" x14ac:dyDescent="0.3">
      <c r="A504" s="2">
        <v>352</v>
      </c>
      <c r="B504" s="2" t="s">
        <v>2</v>
      </c>
      <c r="C504" s="2" t="s">
        <v>1</v>
      </c>
      <c r="D504" s="2" t="s">
        <v>4</v>
      </c>
      <c r="E504" s="2">
        <v>3</v>
      </c>
      <c r="F504" s="2" t="s">
        <v>7</v>
      </c>
      <c r="G504" s="2">
        <v>7.03</v>
      </c>
      <c r="H504" s="2">
        <v>12</v>
      </c>
      <c r="I504" s="2">
        <v>19.576000000000001</v>
      </c>
      <c r="J504" s="2">
        <v>4.1239999999999997</v>
      </c>
      <c r="K504" s="2">
        <v>78.933387821822649</v>
      </c>
      <c r="L504" s="2">
        <v>41.337126600284499</v>
      </c>
      <c r="M504" s="7">
        <f t="shared" si="42"/>
        <v>3.0182697894558603</v>
      </c>
      <c r="N504" s="2">
        <v>46.94</v>
      </c>
      <c r="O504" s="2">
        <v>1.738</v>
      </c>
      <c r="P504" s="2">
        <v>10.864000000000001</v>
      </c>
      <c r="Q504" s="2">
        <v>0.92600000000000005</v>
      </c>
      <c r="R504" s="2">
        <v>0.58800000000000008</v>
      </c>
      <c r="AF504" s="60"/>
      <c r="AG504" s="61"/>
      <c r="AJ504" s="60"/>
      <c r="AK504" s="62"/>
      <c r="AL504" s="63"/>
      <c r="AM504" s="63"/>
      <c r="AN504" s="64"/>
      <c r="AO504" s="63"/>
      <c r="AP504" s="60"/>
      <c r="AR504" s="60"/>
      <c r="AS504" s="62"/>
      <c r="AW504" s="60"/>
      <c r="AZ504" s="60"/>
      <c r="BC504" s="60"/>
      <c r="BK504" s="60"/>
      <c r="BL504" s="60"/>
      <c r="BM504" s="60"/>
      <c r="BN504" s="60"/>
      <c r="BO504" s="60"/>
      <c r="BR504" s="60"/>
      <c r="BS504" s="65"/>
      <c r="BU504" s="60"/>
      <c r="CF504" s="66"/>
      <c r="CP504" s="30"/>
    </row>
    <row r="505" spans="1:94" x14ac:dyDescent="0.3">
      <c r="A505" s="2">
        <v>353</v>
      </c>
      <c r="B505" s="2" t="s">
        <v>2</v>
      </c>
      <c r="C505" s="2" t="s">
        <v>1</v>
      </c>
      <c r="D505" s="2" t="s">
        <v>4</v>
      </c>
      <c r="E505" s="2">
        <v>2</v>
      </c>
      <c r="F505" s="2" t="s">
        <v>7</v>
      </c>
      <c r="G505" s="2">
        <v>7.02</v>
      </c>
      <c r="H505" s="2">
        <v>12</v>
      </c>
      <c r="I505" s="2">
        <v>18.379000000000001</v>
      </c>
      <c r="J505" s="2">
        <v>3.4049999999999998</v>
      </c>
      <c r="K505" s="2">
        <v>81.473420751945156</v>
      </c>
      <c r="L505" s="2">
        <v>51.495726495726487</v>
      </c>
      <c r="M505" s="7">
        <f t="shared" si="42"/>
        <v>3.2084249282242445</v>
      </c>
      <c r="N505" s="2">
        <v>46.12</v>
      </c>
      <c r="O505" s="2">
        <v>1.778</v>
      </c>
      <c r="P505" s="2">
        <v>11.113</v>
      </c>
      <c r="Q505" s="2">
        <v>0.56699999999999995</v>
      </c>
      <c r="R505" s="2">
        <v>0.58500000000000008</v>
      </c>
      <c r="AF505" s="60"/>
      <c r="AG505" s="61"/>
      <c r="AJ505" s="60"/>
      <c r="AK505" s="62"/>
      <c r="AL505" s="63"/>
      <c r="AM505" s="63"/>
      <c r="AN505" s="64"/>
      <c r="AO505" s="63"/>
      <c r="AP505" s="60"/>
      <c r="AR505" s="60"/>
      <c r="AS505" s="62"/>
      <c r="AW505" s="60"/>
      <c r="AZ505" s="60"/>
      <c r="BC505" s="60"/>
      <c r="BK505" s="60"/>
      <c r="BL505" s="60"/>
      <c r="BM505" s="60"/>
      <c r="BN505" s="60"/>
      <c r="BO505" s="60"/>
      <c r="BR505" s="60"/>
      <c r="BS505" s="65"/>
      <c r="BU505" s="60"/>
      <c r="CF505" s="66"/>
      <c r="CP505" s="30"/>
    </row>
    <row r="506" spans="1:94" x14ac:dyDescent="0.3">
      <c r="A506" s="2">
        <v>358</v>
      </c>
      <c r="B506" s="2" t="s">
        <v>2</v>
      </c>
      <c r="C506" s="2" t="s">
        <v>14</v>
      </c>
      <c r="D506" s="2" t="s">
        <v>4</v>
      </c>
      <c r="E506" s="2">
        <v>3</v>
      </c>
      <c r="F506" s="2" t="s">
        <v>7</v>
      </c>
      <c r="G506" s="2">
        <v>6.96</v>
      </c>
      <c r="H506" s="2">
        <v>12</v>
      </c>
      <c r="I506" s="2">
        <v>19.530999999999999</v>
      </c>
      <c r="J506" s="2">
        <v>3.1930000000000001</v>
      </c>
      <c r="K506" s="2">
        <v>83.651630740873472</v>
      </c>
      <c r="L506" s="2">
        <v>54.1235632183908</v>
      </c>
      <c r="M506" s="7">
        <f t="shared" si="42"/>
        <v>3.2641252104016836</v>
      </c>
      <c r="N506" s="2">
        <v>44.58</v>
      </c>
      <c r="O506" s="2">
        <v>1.9379999999999999</v>
      </c>
      <c r="P506" s="2">
        <v>12.112</v>
      </c>
      <c r="Q506" s="2">
        <v>0.629</v>
      </c>
      <c r="R506" s="2">
        <v>0.20887</v>
      </c>
      <c r="AF506" s="60"/>
      <c r="AG506" s="61"/>
      <c r="AJ506" s="60"/>
      <c r="AK506" s="62"/>
      <c r="AL506" s="63"/>
      <c r="AM506" s="63"/>
      <c r="AN506" s="64"/>
      <c r="AO506" s="63"/>
      <c r="AP506" s="60"/>
      <c r="AR506" s="60"/>
      <c r="AS506" s="62"/>
      <c r="AW506" s="60"/>
      <c r="AZ506" s="60"/>
      <c r="BC506" s="60"/>
      <c r="BK506" s="60"/>
      <c r="BL506" s="60"/>
      <c r="BM506" s="60"/>
      <c r="BN506" s="60"/>
      <c r="BO506" s="60"/>
      <c r="BR506" s="60"/>
      <c r="BS506" s="65"/>
      <c r="BU506" s="60"/>
      <c r="CF506" s="66"/>
      <c r="CP506" s="30"/>
    </row>
    <row r="507" spans="1:94" x14ac:dyDescent="0.3">
      <c r="A507" s="2">
        <v>423</v>
      </c>
      <c r="B507" s="2" t="s">
        <v>2</v>
      </c>
      <c r="C507" s="2" t="s">
        <v>1</v>
      </c>
      <c r="D507" s="2" t="s">
        <v>5</v>
      </c>
      <c r="E507" s="2">
        <v>3</v>
      </c>
      <c r="F507" s="2" t="s">
        <v>7</v>
      </c>
      <c r="G507" s="2">
        <v>6.99</v>
      </c>
      <c r="H507" s="2">
        <v>12</v>
      </c>
      <c r="I507" s="2">
        <v>14.423999999999999</v>
      </c>
      <c r="J507" s="2">
        <v>4.3369999999999997</v>
      </c>
      <c r="K507" s="2">
        <v>69.932057681641709</v>
      </c>
      <c r="L507" s="2">
        <v>37.954220314735345</v>
      </c>
      <c r="M507" s="7">
        <f t="shared" si="42"/>
        <v>2.9622043411804904</v>
      </c>
      <c r="N507" s="2">
        <v>46.77</v>
      </c>
      <c r="O507" s="2">
        <v>1.4530000000000001</v>
      </c>
      <c r="P507" s="2">
        <v>9.0809999999999995</v>
      </c>
      <c r="Q507" s="2">
        <v>0.61499999999999999</v>
      </c>
      <c r="R507" s="2">
        <v>0.47199999999999998</v>
      </c>
      <c r="AF507" s="60"/>
      <c r="AG507" s="61"/>
      <c r="AJ507" s="60"/>
      <c r="AK507" s="62"/>
      <c r="AL507" s="63"/>
      <c r="AM507" s="63"/>
      <c r="AN507" s="64"/>
      <c r="AO507" s="63"/>
      <c r="AP507" s="60"/>
      <c r="AR507" s="60"/>
      <c r="AS507" s="62"/>
      <c r="AW507" s="60"/>
      <c r="AZ507" s="60"/>
      <c r="BC507" s="60"/>
      <c r="BK507" s="60"/>
      <c r="BL507" s="60"/>
      <c r="BM507" s="60"/>
      <c r="BN507" s="60"/>
      <c r="BO507" s="60"/>
      <c r="BR507" s="60"/>
      <c r="BS507" s="65"/>
      <c r="BU507" s="60"/>
      <c r="CF507" s="66"/>
      <c r="CP507" s="30"/>
    </row>
    <row r="508" spans="1:94" x14ac:dyDescent="0.3">
      <c r="A508" s="2">
        <v>436</v>
      </c>
      <c r="B508" s="2" t="s">
        <v>2</v>
      </c>
      <c r="C508" s="2" t="s">
        <v>1</v>
      </c>
      <c r="D508" s="2" t="s">
        <v>5</v>
      </c>
      <c r="E508" s="2">
        <v>5</v>
      </c>
      <c r="F508" s="2" t="s">
        <v>7</v>
      </c>
      <c r="G508" s="2">
        <v>6.96</v>
      </c>
      <c r="H508" s="2">
        <v>12</v>
      </c>
      <c r="I508" s="2">
        <v>24.687999999999999</v>
      </c>
      <c r="J508" s="2">
        <v>4.4539999999999997</v>
      </c>
      <c r="K508" s="2">
        <v>81.958846403110812</v>
      </c>
      <c r="L508" s="2">
        <v>36.005747126436781</v>
      </c>
      <c r="M508" s="7">
        <f t="shared" si="42"/>
        <v>2.9312835552991525</v>
      </c>
      <c r="N508" s="2">
        <v>39.380000000000003</v>
      </c>
      <c r="O508" s="2">
        <v>1.47</v>
      </c>
      <c r="P508" s="2">
        <v>9.1869999999999994</v>
      </c>
      <c r="Q508" s="2">
        <v>0.30399999999999999</v>
      </c>
      <c r="R508" s="2">
        <v>0.38</v>
      </c>
      <c r="AF508" s="60"/>
      <c r="AG508" s="61"/>
      <c r="AJ508" s="60"/>
      <c r="AK508" s="62"/>
      <c r="AL508" s="63"/>
      <c r="AM508" s="63"/>
      <c r="AN508" s="64"/>
      <c r="AO508" s="63"/>
      <c r="AP508" s="60"/>
      <c r="AR508" s="60"/>
      <c r="AS508" s="62"/>
      <c r="AW508" s="60"/>
      <c r="AZ508" s="60"/>
      <c r="BC508" s="60"/>
      <c r="BK508" s="60"/>
      <c r="BL508" s="60"/>
      <c r="BM508" s="60"/>
      <c r="BN508" s="60"/>
      <c r="BO508" s="60"/>
      <c r="BR508" s="60"/>
      <c r="BS508" s="65"/>
      <c r="BU508" s="60"/>
      <c r="CF508" s="66"/>
      <c r="CP508" s="30"/>
    </row>
    <row r="509" spans="1:94" x14ac:dyDescent="0.3">
      <c r="A509" s="2">
        <v>458</v>
      </c>
      <c r="B509" s="2" t="s">
        <v>2</v>
      </c>
      <c r="C509" s="2" t="s">
        <v>14</v>
      </c>
      <c r="D509" s="2" t="s">
        <v>5</v>
      </c>
      <c r="E509" s="2">
        <v>1</v>
      </c>
      <c r="F509" s="2" t="s">
        <v>7</v>
      </c>
      <c r="G509" s="2">
        <v>7.03</v>
      </c>
      <c r="H509" s="2">
        <v>12</v>
      </c>
      <c r="I509" s="2">
        <v>15.638</v>
      </c>
      <c r="J509" s="2">
        <v>4.7</v>
      </c>
      <c r="K509" s="2">
        <v>69.945005755211653</v>
      </c>
      <c r="L509" s="2">
        <v>33.143669985775247</v>
      </c>
      <c r="M509" s="7">
        <f t="shared" si="42"/>
        <v>2.8875308468945611</v>
      </c>
      <c r="N509" s="2">
        <v>46.23</v>
      </c>
      <c r="O509" s="2">
        <v>1.373</v>
      </c>
      <c r="P509" s="2">
        <v>8.5809999999999995</v>
      </c>
      <c r="Q509" s="2">
        <v>0.35799999999999998</v>
      </c>
      <c r="R509" s="2">
        <v>0.30099999999999999</v>
      </c>
      <c r="AF509" s="60"/>
      <c r="AG509" s="61"/>
      <c r="AJ509" s="60"/>
      <c r="AK509" s="62"/>
      <c r="AL509" s="63"/>
      <c r="AM509" s="63"/>
      <c r="AN509" s="64"/>
      <c r="AO509" s="63"/>
      <c r="AP509" s="60"/>
      <c r="AR509" s="60"/>
      <c r="AS509" s="62"/>
      <c r="AW509" s="60"/>
      <c r="AZ509" s="60"/>
      <c r="BC509" s="60"/>
      <c r="BK509" s="60"/>
      <c r="BL509" s="60"/>
      <c r="BM509" s="60"/>
      <c r="BN509" s="60"/>
      <c r="BO509" s="60"/>
      <c r="BR509" s="60"/>
      <c r="BS509" s="65"/>
      <c r="BU509" s="60"/>
      <c r="CF509" s="66"/>
      <c r="CP509" s="30"/>
    </row>
    <row r="510" spans="1:94" x14ac:dyDescent="0.3">
      <c r="A510" s="2">
        <v>459</v>
      </c>
      <c r="B510" s="2" t="s">
        <v>2</v>
      </c>
      <c r="C510" s="2" t="s">
        <v>1</v>
      </c>
      <c r="D510" s="2" t="s">
        <v>5</v>
      </c>
      <c r="E510" s="2">
        <v>2</v>
      </c>
      <c r="F510" s="2" t="s">
        <v>7</v>
      </c>
      <c r="G510" s="2">
        <v>7</v>
      </c>
      <c r="H510" s="2">
        <v>12</v>
      </c>
      <c r="I510" s="2">
        <v>18.916</v>
      </c>
      <c r="J510" s="2">
        <v>4.3479999999999999</v>
      </c>
      <c r="K510" s="2">
        <v>77.014167900190316</v>
      </c>
      <c r="L510" s="2">
        <v>37.885714285714286</v>
      </c>
      <c r="M510" s="7">
        <f t="shared" si="42"/>
        <v>2.9611008295843506</v>
      </c>
      <c r="N510" s="2">
        <v>46.78</v>
      </c>
      <c r="O510" s="2">
        <v>1.5309999999999999</v>
      </c>
      <c r="P510" s="2">
        <v>9.5690000000000008</v>
      </c>
      <c r="Q510" s="2">
        <v>0.497</v>
      </c>
      <c r="R510" s="2">
        <v>0.46886999999999995</v>
      </c>
      <c r="AF510" s="60"/>
      <c r="AG510" s="61"/>
      <c r="AJ510" s="60"/>
      <c r="AK510" s="62"/>
      <c r="AL510" s="63"/>
      <c r="AM510" s="63"/>
      <c r="AN510" s="64"/>
      <c r="AO510" s="63"/>
      <c r="AP510" s="60"/>
      <c r="AR510" s="60"/>
      <c r="AS510" s="62"/>
      <c r="AW510" s="60"/>
      <c r="AZ510" s="60"/>
      <c r="BC510" s="60"/>
      <c r="BK510" s="60"/>
      <c r="BL510" s="60"/>
      <c r="BM510" s="60"/>
      <c r="BN510" s="60"/>
      <c r="BO510" s="60"/>
      <c r="BR510" s="60"/>
      <c r="BS510" s="65"/>
      <c r="BU510" s="60"/>
      <c r="CF510" s="66"/>
      <c r="CP510" s="30"/>
    </row>
    <row r="511" spans="1:94" x14ac:dyDescent="0.3">
      <c r="A511" s="2">
        <v>464</v>
      </c>
      <c r="B511" s="2" t="s">
        <v>2</v>
      </c>
      <c r="C511" s="2" t="s">
        <v>14</v>
      </c>
      <c r="D511" s="2" t="s">
        <v>5</v>
      </c>
      <c r="E511" s="2">
        <v>2</v>
      </c>
      <c r="F511" s="2" t="s">
        <v>7</v>
      </c>
      <c r="G511" s="2">
        <v>6.96</v>
      </c>
      <c r="H511" s="2">
        <v>12</v>
      </c>
      <c r="I511" s="2">
        <v>20.212</v>
      </c>
      <c r="J511" s="2">
        <v>3.899</v>
      </c>
      <c r="K511" s="2">
        <v>80.709479517118538</v>
      </c>
      <c r="L511" s="2">
        <v>43.979885057471265</v>
      </c>
      <c r="M511" s="7">
        <f t="shared" si="42"/>
        <v>3.0643660141338684</v>
      </c>
      <c r="N511" s="2">
        <v>46.46</v>
      </c>
      <c r="O511" s="2">
        <v>1.274</v>
      </c>
      <c r="P511" s="2">
        <v>7.9630000000000001</v>
      </c>
      <c r="Q511" s="2">
        <v>0.48899999999999999</v>
      </c>
      <c r="R511" s="2">
        <v>0.44386999999999999</v>
      </c>
      <c r="AF511" s="60"/>
      <c r="AG511" s="61"/>
      <c r="AJ511" s="60"/>
      <c r="AK511" s="62"/>
      <c r="AL511" s="63"/>
      <c r="AM511" s="63"/>
      <c r="AN511" s="64"/>
      <c r="AO511" s="63"/>
      <c r="AP511" s="60"/>
      <c r="AR511" s="60"/>
      <c r="AS511" s="62"/>
      <c r="AW511" s="60"/>
      <c r="AZ511" s="60"/>
      <c r="BC511" s="60"/>
      <c r="BK511" s="60"/>
      <c r="BL511" s="60"/>
      <c r="BM511" s="60"/>
      <c r="BN511" s="60"/>
      <c r="BO511" s="60"/>
      <c r="BR511" s="60"/>
      <c r="BS511" s="65"/>
      <c r="BU511" s="60"/>
      <c r="CF511" s="66"/>
      <c r="CP511" s="30"/>
    </row>
    <row r="512" spans="1:94" x14ac:dyDescent="0.3">
      <c r="A512" s="2">
        <v>472</v>
      </c>
      <c r="B512" s="2" t="s">
        <v>2</v>
      </c>
      <c r="C512" s="2" t="s">
        <v>1</v>
      </c>
      <c r="D512" s="2" t="s">
        <v>5</v>
      </c>
      <c r="E512" s="2">
        <v>4</v>
      </c>
      <c r="F512" s="2" t="s">
        <v>7</v>
      </c>
      <c r="G512" s="2">
        <v>6.92</v>
      </c>
      <c r="H512" s="2">
        <v>12</v>
      </c>
      <c r="I512" s="2">
        <v>20.859000000000002</v>
      </c>
      <c r="J512" s="2">
        <v>4.2770000000000001</v>
      </c>
      <c r="K512" s="2">
        <v>79.495661345222686</v>
      </c>
      <c r="L512" s="2">
        <v>38.193641618497111</v>
      </c>
      <c r="M512" s="7">
        <f t="shared" si="42"/>
        <v>2.9660705901728068</v>
      </c>
      <c r="N512" s="2">
        <v>47.59</v>
      </c>
      <c r="O512" s="2">
        <v>1.637</v>
      </c>
      <c r="P512" s="2">
        <v>10.23</v>
      </c>
      <c r="Q512" s="2">
        <v>0.376</v>
      </c>
      <c r="R512" s="2">
        <v>0.26</v>
      </c>
      <c r="AF512" s="60"/>
      <c r="AG512" s="61"/>
      <c r="AJ512" s="60"/>
      <c r="AK512" s="62"/>
      <c r="AL512" s="63"/>
      <c r="AM512" s="63"/>
      <c r="AN512" s="64"/>
      <c r="AO512" s="63"/>
      <c r="AP512" s="60"/>
      <c r="AR512" s="60"/>
      <c r="AS512" s="62"/>
      <c r="AW512" s="60"/>
      <c r="AZ512" s="60"/>
      <c r="BC512" s="60"/>
      <c r="BK512" s="60"/>
      <c r="BL512" s="60"/>
      <c r="BM512" s="60"/>
      <c r="BN512" s="60"/>
      <c r="BO512" s="60"/>
      <c r="BR512" s="60"/>
      <c r="BS512" s="65"/>
      <c r="BU512" s="60"/>
      <c r="CF512" s="66"/>
      <c r="CP512" s="30"/>
    </row>
    <row r="513" spans="1:94" x14ac:dyDescent="0.3">
      <c r="A513" s="2">
        <v>474</v>
      </c>
      <c r="B513" s="2" t="s">
        <v>2</v>
      </c>
      <c r="C513" s="2" t="s">
        <v>14</v>
      </c>
      <c r="D513" s="2" t="s">
        <v>5</v>
      </c>
      <c r="E513" s="2">
        <v>3</v>
      </c>
      <c r="F513" s="2" t="s">
        <v>7</v>
      </c>
      <c r="G513" s="2">
        <v>7</v>
      </c>
      <c r="H513" s="2">
        <v>12</v>
      </c>
      <c r="I513" s="2">
        <v>22.498999999999999</v>
      </c>
      <c r="J513" s="2">
        <v>4.5140000000000002</v>
      </c>
      <c r="K513" s="2">
        <v>79.936886083825954</v>
      </c>
      <c r="L513" s="2">
        <v>35.514285714285712</v>
      </c>
      <c r="M513" s="7">
        <f t="shared" si="42"/>
        <v>2.9236331204479695</v>
      </c>
      <c r="N513" s="2">
        <v>47.12</v>
      </c>
      <c r="O513" s="2">
        <v>1.4470000000000001</v>
      </c>
      <c r="P513" s="2">
        <v>9.0429999999999993</v>
      </c>
      <c r="Q513" s="2">
        <v>0.317</v>
      </c>
      <c r="R513" s="2">
        <v>0.13687000000000002</v>
      </c>
      <c r="AF513" s="60"/>
      <c r="AG513" s="61"/>
      <c r="AJ513" s="60"/>
      <c r="AK513" s="62"/>
      <c r="AL513" s="63"/>
      <c r="AM513" s="63"/>
      <c r="AN513" s="64"/>
      <c r="AO513" s="63"/>
      <c r="AP513" s="60"/>
      <c r="AR513" s="60"/>
      <c r="AS513" s="62"/>
      <c r="AW513" s="60"/>
      <c r="AZ513" s="60"/>
      <c r="BC513" s="60"/>
      <c r="BK513" s="60"/>
      <c r="BL513" s="60"/>
      <c r="BM513" s="60"/>
      <c r="BN513" s="60"/>
      <c r="BO513" s="60"/>
      <c r="BR513" s="60"/>
      <c r="BS513" s="65"/>
      <c r="BU513" s="60"/>
      <c r="CF513" s="66"/>
      <c r="CP513" s="30"/>
    </row>
    <row r="514" spans="1:94" x14ac:dyDescent="0.3">
      <c r="A514" s="2">
        <v>475</v>
      </c>
      <c r="B514" s="2" t="s">
        <v>2</v>
      </c>
      <c r="C514" s="2" t="s">
        <v>14</v>
      </c>
      <c r="D514" s="2" t="s">
        <v>5</v>
      </c>
      <c r="E514" s="2">
        <v>5</v>
      </c>
      <c r="F514" s="2" t="s">
        <v>7</v>
      </c>
      <c r="G514" s="2">
        <v>7.01</v>
      </c>
      <c r="H514" s="2">
        <v>12</v>
      </c>
      <c r="I514" s="2">
        <v>17.388999999999999</v>
      </c>
      <c r="J514" s="2">
        <v>4.1020000000000003</v>
      </c>
      <c r="K514" s="2">
        <v>76.410374374604629</v>
      </c>
      <c r="L514" s="2">
        <v>41.483594864479315</v>
      </c>
      <c r="M514" s="7">
        <f t="shared" ref="M514:M577" si="43">-LN((J514/G514)/H514)</f>
        <v>3.0207696911843103</v>
      </c>
      <c r="N514" s="2">
        <v>46.98</v>
      </c>
      <c r="O514" s="2">
        <v>1.409</v>
      </c>
      <c r="P514" s="2">
        <v>8.8059999999999992</v>
      </c>
      <c r="Q514" s="2">
        <v>0.40699999999999997</v>
      </c>
      <c r="R514" s="2">
        <v>0.28899999999999998</v>
      </c>
      <c r="AF514" s="60"/>
      <c r="AG514" s="61"/>
      <c r="AJ514" s="60"/>
      <c r="AK514" s="62"/>
      <c r="AL514" s="63"/>
      <c r="AM514" s="63"/>
      <c r="AN514" s="64"/>
      <c r="AO514" s="63"/>
      <c r="AP514" s="60"/>
      <c r="AR514" s="60"/>
      <c r="AS514" s="62"/>
      <c r="AW514" s="60"/>
      <c r="AZ514" s="60"/>
      <c r="BC514" s="60"/>
      <c r="BK514" s="60"/>
      <c r="BL514" s="60"/>
      <c r="BM514" s="60"/>
      <c r="BN514" s="60"/>
      <c r="BO514" s="60"/>
      <c r="BR514" s="60"/>
      <c r="BS514" s="65"/>
      <c r="BU514" s="60"/>
      <c r="CF514" s="66"/>
      <c r="CP514" s="30"/>
    </row>
    <row r="515" spans="1:94" x14ac:dyDescent="0.3">
      <c r="A515" s="2">
        <v>477</v>
      </c>
      <c r="B515" s="2" t="s">
        <v>2</v>
      </c>
      <c r="C515" s="2" t="s">
        <v>1</v>
      </c>
      <c r="D515" s="2" t="s">
        <v>5</v>
      </c>
      <c r="E515" s="2">
        <v>1</v>
      </c>
      <c r="F515" s="2" t="s">
        <v>7</v>
      </c>
      <c r="G515" s="2">
        <v>6.91</v>
      </c>
      <c r="H515" s="2">
        <v>12</v>
      </c>
      <c r="I515" s="2">
        <v>22.274999999999999</v>
      </c>
      <c r="J515" s="2">
        <v>4.4340000000000002</v>
      </c>
      <c r="K515" s="2">
        <v>80.094276094276083</v>
      </c>
      <c r="L515" s="2">
        <v>35.832127351664255</v>
      </c>
      <c r="M515" s="7">
        <f t="shared" si="43"/>
        <v>2.9285741763734592</v>
      </c>
      <c r="N515" s="2">
        <v>46.78</v>
      </c>
      <c r="O515" s="2">
        <v>1.5660000000000001</v>
      </c>
      <c r="P515" s="2">
        <v>9.7850000000000001</v>
      </c>
      <c r="Q515" s="2">
        <v>0.34100000000000003</v>
      </c>
      <c r="R515" s="2">
        <v>0.19487000000000002</v>
      </c>
      <c r="AF515" s="60"/>
      <c r="AG515" s="61"/>
      <c r="AJ515" s="60"/>
      <c r="AK515" s="62"/>
      <c r="AL515" s="63"/>
      <c r="AM515" s="63"/>
      <c r="AN515" s="64"/>
      <c r="AO515" s="63"/>
      <c r="AP515" s="60"/>
      <c r="AR515" s="60"/>
      <c r="AS515" s="62"/>
      <c r="AW515" s="60"/>
      <c r="AZ515" s="60"/>
      <c r="BC515" s="60"/>
      <c r="BK515" s="60"/>
      <c r="BL515" s="60"/>
      <c r="BM515" s="60"/>
      <c r="BN515" s="60"/>
      <c r="BO515" s="60"/>
      <c r="BR515" s="60"/>
      <c r="BS515" s="65"/>
      <c r="BU515" s="60"/>
      <c r="CF515" s="66"/>
      <c r="CP515" s="30"/>
    </row>
    <row r="516" spans="1:94" x14ac:dyDescent="0.3">
      <c r="A516" s="2">
        <v>549</v>
      </c>
      <c r="B516" s="2" t="s">
        <v>3</v>
      </c>
      <c r="C516" s="2" t="s">
        <v>1</v>
      </c>
      <c r="D516" s="2" t="s">
        <v>4</v>
      </c>
      <c r="E516" s="2">
        <v>5</v>
      </c>
      <c r="F516" s="2" t="s">
        <v>7</v>
      </c>
      <c r="G516" s="2">
        <v>6.98</v>
      </c>
      <c r="H516" s="2">
        <v>12</v>
      </c>
      <c r="I516" s="2">
        <v>14.869</v>
      </c>
      <c r="J516" s="2">
        <v>3.2829999999999999</v>
      </c>
      <c r="K516" s="2">
        <v>22.079494249781426</v>
      </c>
      <c r="L516" s="2">
        <v>52.965616045845273</v>
      </c>
      <c r="M516" s="7">
        <f t="shared" si="43"/>
        <v>3.239197928042826</v>
      </c>
      <c r="N516" s="2">
        <v>46.95</v>
      </c>
      <c r="O516" s="2">
        <v>1.554</v>
      </c>
      <c r="P516" s="2">
        <v>9.7129999999999992</v>
      </c>
      <c r="Q516" s="2">
        <v>0.94399999999999995</v>
      </c>
      <c r="R516" s="2">
        <v>0.58487</v>
      </c>
      <c r="AF516" s="60"/>
      <c r="AG516" s="61"/>
      <c r="AJ516" s="60"/>
      <c r="AK516" s="62"/>
      <c r="AL516" s="63"/>
      <c r="AM516" s="63"/>
      <c r="AN516" s="64"/>
      <c r="AO516" s="63"/>
      <c r="AP516" s="60"/>
      <c r="AR516" s="60"/>
      <c r="AS516" s="62"/>
      <c r="AW516" s="60"/>
      <c r="AZ516" s="60"/>
      <c r="BC516" s="60"/>
      <c r="BK516" s="60"/>
      <c r="BL516" s="60"/>
      <c r="BM516" s="60"/>
      <c r="BN516" s="60"/>
      <c r="BO516" s="60"/>
      <c r="BR516" s="60"/>
      <c r="BS516" s="65"/>
      <c r="BU516" s="60"/>
      <c r="CF516" s="66"/>
      <c r="CP516" s="30"/>
    </row>
    <row r="517" spans="1:94" x14ac:dyDescent="0.3">
      <c r="A517" s="2">
        <v>560</v>
      </c>
      <c r="B517" s="2" t="s">
        <v>3</v>
      </c>
      <c r="C517" s="2" t="s">
        <v>14</v>
      </c>
      <c r="D517" s="2" t="s">
        <v>4</v>
      </c>
      <c r="E517" s="2">
        <v>2</v>
      </c>
      <c r="F517" s="2" t="s">
        <v>7</v>
      </c>
      <c r="G517" s="2">
        <v>7.04</v>
      </c>
      <c r="H517" s="2">
        <v>12</v>
      </c>
      <c r="I517" s="2">
        <v>18.042000000000002</v>
      </c>
      <c r="J517" s="2">
        <v>3.8969999999999998</v>
      </c>
      <c r="K517" s="2">
        <v>21.599600931160623</v>
      </c>
      <c r="L517" s="2">
        <v>44.644886363636367</v>
      </c>
      <c r="M517" s="7">
        <f t="shared" si="43"/>
        <v>3.0763077936013792</v>
      </c>
      <c r="N517" s="2">
        <v>47.21</v>
      </c>
      <c r="O517" s="2">
        <v>1.8220000000000001</v>
      </c>
      <c r="P517" s="2">
        <v>11.387</v>
      </c>
      <c r="Q517" s="2">
        <v>0.77200000000000002</v>
      </c>
      <c r="R517" s="2">
        <v>0.43686999999999998</v>
      </c>
      <c r="AF517" s="60"/>
      <c r="AG517" s="61"/>
      <c r="AJ517" s="60"/>
      <c r="AK517" s="62"/>
      <c r="AL517" s="63"/>
      <c r="AM517" s="63"/>
      <c r="AN517" s="64"/>
      <c r="AO517" s="63"/>
      <c r="AP517" s="60"/>
      <c r="AR517" s="60"/>
      <c r="AS517" s="62"/>
      <c r="AW517" s="60"/>
      <c r="AZ517" s="60"/>
      <c r="BC517" s="60"/>
      <c r="BK517" s="60"/>
      <c r="BL517" s="60"/>
      <c r="BM517" s="60"/>
      <c r="BN517" s="60"/>
      <c r="BO517" s="60"/>
      <c r="BR517" s="60"/>
      <c r="BS517" s="65"/>
      <c r="BU517" s="60"/>
      <c r="CF517" s="66"/>
      <c r="CP517" s="30"/>
    </row>
    <row r="518" spans="1:94" x14ac:dyDescent="0.3">
      <c r="A518" s="2">
        <v>569</v>
      </c>
      <c r="B518" s="2" t="s">
        <v>3</v>
      </c>
      <c r="C518" s="2" t="s">
        <v>1</v>
      </c>
      <c r="D518" s="2" t="s">
        <v>4</v>
      </c>
      <c r="E518" s="2">
        <v>3</v>
      </c>
      <c r="F518" s="2" t="s">
        <v>7</v>
      </c>
      <c r="G518" s="2">
        <v>7.04</v>
      </c>
      <c r="H518" s="2">
        <v>12</v>
      </c>
      <c r="I518" s="2">
        <v>19.204999999999998</v>
      </c>
      <c r="J518" s="2">
        <v>4.3979999999999997</v>
      </c>
      <c r="K518" s="2">
        <v>22.900286383754231</v>
      </c>
      <c r="L518" s="2">
        <v>37.528409090909101</v>
      </c>
      <c r="M518" s="7">
        <f t="shared" si="43"/>
        <v>2.9553649278253822</v>
      </c>
      <c r="N518" s="2">
        <v>44.4</v>
      </c>
      <c r="O518" s="2">
        <v>1.41</v>
      </c>
      <c r="P518" s="2">
        <v>8.8119999999999994</v>
      </c>
      <c r="Q518" s="2">
        <v>0.76400000000000001</v>
      </c>
      <c r="R518" s="2">
        <v>0.78087000000000006</v>
      </c>
      <c r="AF518" s="60"/>
      <c r="AG518" s="61"/>
      <c r="AJ518" s="60"/>
      <c r="AK518" s="62"/>
      <c r="AL518" s="63"/>
      <c r="AM518" s="63"/>
      <c r="AN518" s="64"/>
      <c r="AO518" s="63"/>
      <c r="AP518" s="60"/>
      <c r="AR518" s="60"/>
      <c r="AS518" s="62"/>
      <c r="AW518" s="60"/>
      <c r="AZ518" s="60"/>
      <c r="BC518" s="60"/>
      <c r="BK518" s="60"/>
      <c r="BL518" s="60"/>
      <c r="BM518" s="60"/>
      <c r="BN518" s="60"/>
      <c r="BO518" s="60"/>
      <c r="BR518" s="60"/>
      <c r="BS518" s="65"/>
      <c r="BU518" s="60"/>
      <c r="CF518" s="66"/>
      <c r="CP518" s="30"/>
    </row>
    <row r="519" spans="1:94" x14ac:dyDescent="0.3">
      <c r="A519" s="2">
        <v>570</v>
      </c>
      <c r="B519" s="2" t="s">
        <v>3</v>
      </c>
      <c r="C519" s="2" t="s">
        <v>14</v>
      </c>
      <c r="D519" s="2" t="s">
        <v>4</v>
      </c>
      <c r="E519" s="2">
        <v>4</v>
      </c>
      <c r="F519" s="2" t="s">
        <v>7</v>
      </c>
      <c r="G519" s="2">
        <v>6.91</v>
      </c>
      <c r="H519" s="2">
        <v>12</v>
      </c>
      <c r="I519" s="2">
        <v>20.382999999999999</v>
      </c>
      <c r="J519" s="2">
        <v>4.5590000000000002</v>
      </c>
      <c r="K519" s="2">
        <v>22.366678114114706</v>
      </c>
      <c r="L519" s="2">
        <v>34.02315484804631</v>
      </c>
      <c r="M519" s="7">
        <f t="shared" si="43"/>
        <v>2.9007729863362743</v>
      </c>
      <c r="N519" s="2">
        <v>46.92</v>
      </c>
      <c r="O519" s="2">
        <v>1.407</v>
      </c>
      <c r="P519" s="2">
        <v>8.7959999999999994</v>
      </c>
      <c r="Q519" s="2">
        <v>1.0880000000000001</v>
      </c>
      <c r="R519" s="2">
        <v>0.40087</v>
      </c>
      <c r="AF519" s="60"/>
      <c r="AG519" s="61"/>
      <c r="AJ519" s="60"/>
      <c r="AK519" s="62"/>
      <c r="AL519" s="63"/>
      <c r="AM519" s="63"/>
      <c r="AN519" s="64"/>
      <c r="AO519" s="63"/>
      <c r="AP519" s="60"/>
      <c r="AR519" s="60"/>
      <c r="AS519" s="62"/>
      <c r="AW519" s="60"/>
      <c r="AZ519" s="60"/>
      <c r="BC519" s="60"/>
      <c r="BK519" s="60"/>
      <c r="BL519" s="60"/>
      <c r="BM519" s="60"/>
      <c r="BN519" s="60"/>
      <c r="BO519" s="60"/>
      <c r="BR519" s="60"/>
      <c r="BS519" s="65"/>
      <c r="BU519" s="60"/>
      <c r="CF519" s="66"/>
      <c r="CP519" s="30"/>
    </row>
    <row r="520" spans="1:94" x14ac:dyDescent="0.3">
      <c r="A520" s="2">
        <v>571</v>
      </c>
      <c r="B520" s="2" t="s">
        <v>3</v>
      </c>
      <c r="C520" s="2" t="s">
        <v>14</v>
      </c>
      <c r="D520" s="2" t="s">
        <v>4</v>
      </c>
      <c r="E520" s="2">
        <v>1</v>
      </c>
      <c r="F520" s="2" t="s">
        <v>7</v>
      </c>
      <c r="G520" s="2">
        <v>7.08</v>
      </c>
      <c r="H520" s="2">
        <v>12</v>
      </c>
      <c r="I520" s="2">
        <v>20.768000000000001</v>
      </c>
      <c r="J520" s="2">
        <v>4.476</v>
      </c>
      <c r="K520" s="2">
        <v>21.552388289676426</v>
      </c>
      <c r="L520" s="2">
        <v>36.779661016949156</v>
      </c>
      <c r="M520" s="7">
        <f t="shared" si="43"/>
        <v>2.94345076704395</v>
      </c>
      <c r="N520" s="2">
        <v>47.78</v>
      </c>
      <c r="O520" s="2">
        <v>1.7210000000000001</v>
      </c>
      <c r="P520" s="2">
        <v>10.753</v>
      </c>
      <c r="Q520" s="2">
        <v>0.97199999999999998</v>
      </c>
      <c r="R520" s="2">
        <v>0.51387000000000005</v>
      </c>
      <c r="AF520" s="60"/>
      <c r="AG520" s="61"/>
      <c r="AJ520" s="60"/>
      <c r="AK520" s="62"/>
      <c r="AL520" s="63"/>
      <c r="AM520" s="63"/>
      <c r="AN520" s="64"/>
      <c r="AO520" s="63"/>
      <c r="AP520" s="60"/>
      <c r="AR520" s="60"/>
      <c r="AS520" s="62"/>
      <c r="AW520" s="60"/>
      <c r="AZ520" s="60"/>
      <c r="BC520" s="60"/>
      <c r="BK520" s="60"/>
      <c r="BL520" s="60"/>
      <c r="BM520" s="60"/>
      <c r="BN520" s="60"/>
      <c r="BO520" s="60"/>
      <c r="BR520" s="60"/>
      <c r="BS520" s="65"/>
      <c r="BU520" s="60"/>
      <c r="CF520" s="66"/>
      <c r="CP520" s="30"/>
    </row>
    <row r="521" spans="1:94" x14ac:dyDescent="0.3">
      <c r="A521" s="2">
        <v>583</v>
      </c>
      <c r="B521" s="2" t="s">
        <v>3</v>
      </c>
      <c r="C521" s="2" t="s">
        <v>14</v>
      </c>
      <c r="D521" s="2" t="s">
        <v>4</v>
      </c>
      <c r="E521" s="2">
        <v>5</v>
      </c>
      <c r="F521" s="2" t="s">
        <v>7</v>
      </c>
      <c r="G521" s="2">
        <v>7.05</v>
      </c>
      <c r="H521" s="2">
        <v>12</v>
      </c>
      <c r="I521" s="2">
        <v>18.670999999999999</v>
      </c>
      <c r="J521" s="2">
        <v>3.944</v>
      </c>
      <c r="K521" s="2">
        <v>21.123667719993573</v>
      </c>
      <c r="L521" s="2">
        <v>44.056737588652481</v>
      </c>
      <c r="M521" s="7">
        <f t="shared" si="43"/>
        <v>3.0657388298717887</v>
      </c>
      <c r="N521" s="2">
        <v>46.98</v>
      </c>
      <c r="O521" s="2">
        <v>1.823</v>
      </c>
      <c r="P521" s="2">
        <v>11.395</v>
      </c>
      <c r="Q521" s="2">
        <v>0.78100000000000003</v>
      </c>
      <c r="R521" s="2">
        <v>5.8869999999999999E-2</v>
      </c>
      <c r="AF521" s="60"/>
      <c r="AG521" s="61"/>
      <c r="AJ521" s="60"/>
      <c r="AK521" s="62"/>
      <c r="AL521" s="63"/>
      <c r="AM521" s="63"/>
      <c r="AN521" s="64"/>
      <c r="AO521" s="63"/>
      <c r="AP521" s="60"/>
      <c r="AR521" s="60"/>
      <c r="AS521" s="62"/>
      <c r="AW521" s="60"/>
      <c r="AZ521" s="60"/>
      <c r="BC521" s="60"/>
      <c r="BK521" s="60"/>
      <c r="BL521" s="60"/>
      <c r="BM521" s="60"/>
      <c r="BN521" s="60"/>
      <c r="BO521" s="60"/>
      <c r="BR521" s="60"/>
      <c r="BS521" s="65"/>
      <c r="BU521" s="60"/>
      <c r="CF521" s="66"/>
      <c r="CP521" s="30"/>
    </row>
    <row r="522" spans="1:94" x14ac:dyDescent="0.3">
      <c r="A522" s="2">
        <v>586</v>
      </c>
      <c r="B522" s="2" t="s">
        <v>3</v>
      </c>
      <c r="C522" s="2" t="s">
        <v>14</v>
      </c>
      <c r="D522" s="2" t="s">
        <v>4</v>
      </c>
      <c r="E522" s="2">
        <v>3</v>
      </c>
      <c r="F522" s="2" t="s">
        <v>7</v>
      </c>
      <c r="G522" s="2">
        <v>6.97</v>
      </c>
      <c r="H522" s="2">
        <v>12</v>
      </c>
      <c r="I522" s="2">
        <v>14.916</v>
      </c>
      <c r="J522" s="2">
        <v>4.3070000000000004</v>
      </c>
      <c r="K522" s="2">
        <v>28.875033521051225</v>
      </c>
      <c r="L522" s="2">
        <v>38.206599713055944</v>
      </c>
      <c r="M522" s="7">
        <f t="shared" si="43"/>
        <v>2.9662802684884593</v>
      </c>
      <c r="N522" s="2">
        <v>47.53</v>
      </c>
      <c r="O522" s="2">
        <v>1.5960000000000001</v>
      </c>
      <c r="P522" s="2">
        <v>9.9779999999999998</v>
      </c>
      <c r="Q522" s="2">
        <v>1.6</v>
      </c>
      <c r="R522" s="2">
        <v>0.84887000000000001</v>
      </c>
      <c r="AF522" s="60"/>
      <c r="AG522" s="61"/>
      <c r="AJ522" s="60"/>
      <c r="AK522" s="62"/>
      <c r="AL522" s="63"/>
      <c r="AM522" s="63"/>
      <c r="AN522" s="64"/>
      <c r="AO522" s="63"/>
      <c r="AP522" s="60"/>
      <c r="AR522" s="60"/>
      <c r="AS522" s="62"/>
      <c r="AW522" s="60"/>
      <c r="AZ522" s="60"/>
      <c r="BC522" s="60"/>
      <c r="BK522" s="60"/>
      <c r="BL522" s="60"/>
      <c r="BM522" s="60"/>
      <c r="BN522" s="60"/>
      <c r="BO522" s="60"/>
      <c r="BR522" s="60"/>
      <c r="BS522" s="65"/>
      <c r="BU522" s="60"/>
      <c r="CF522" s="66"/>
      <c r="CP522" s="30"/>
    </row>
    <row r="523" spans="1:94" x14ac:dyDescent="0.3">
      <c r="A523" s="2">
        <v>591</v>
      </c>
      <c r="B523" s="2" t="s">
        <v>3</v>
      </c>
      <c r="C523" s="2" t="s">
        <v>1</v>
      </c>
      <c r="D523" s="2" t="s">
        <v>4</v>
      </c>
      <c r="E523" s="2">
        <v>2</v>
      </c>
      <c r="F523" s="2" t="s">
        <v>7</v>
      </c>
      <c r="G523" s="2">
        <v>6.96</v>
      </c>
      <c r="H523" s="2">
        <v>12</v>
      </c>
      <c r="I523" s="2">
        <v>23.120999999999999</v>
      </c>
      <c r="J523" s="2">
        <v>5.149</v>
      </c>
      <c r="K523" s="2">
        <v>22.26979801911682</v>
      </c>
      <c r="L523" s="2">
        <v>26.020114942528732</v>
      </c>
      <c r="M523" s="7">
        <f t="shared" si="43"/>
        <v>2.7862836030703244</v>
      </c>
      <c r="N523" s="2">
        <v>38.01</v>
      </c>
      <c r="O523" s="2">
        <v>1.298</v>
      </c>
      <c r="P523" s="2">
        <v>8.1150000000000002</v>
      </c>
      <c r="Q523" s="2">
        <v>0.46500000000000002</v>
      </c>
      <c r="R523" s="2">
        <v>0.18087</v>
      </c>
      <c r="AF523" s="60"/>
      <c r="AG523" s="61"/>
      <c r="AJ523" s="60"/>
      <c r="AK523" s="62"/>
      <c r="AL523" s="63"/>
      <c r="AM523" s="63"/>
      <c r="AN523" s="64"/>
      <c r="AO523" s="63"/>
      <c r="AP523" s="60"/>
      <c r="AR523" s="60"/>
      <c r="AS523" s="62"/>
      <c r="AW523" s="60"/>
      <c r="AZ523" s="60"/>
      <c r="BC523" s="60"/>
      <c r="BK523" s="60"/>
      <c r="BL523" s="60"/>
      <c r="BM523" s="60"/>
      <c r="BN523" s="60"/>
      <c r="BO523" s="60"/>
      <c r="BR523" s="60"/>
      <c r="BS523" s="65"/>
      <c r="BU523" s="60"/>
      <c r="CF523" s="66"/>
      <c r="CP523" s="30"/>
    </row>
    <row r="524" spans="1:94" x14ac:dyDescent="0.3">
      <c r="A524" s="2">
        <v>598</v>
      </c>
      <c r="B524" s="2" t="s">
        <v>3</v>
      </c>
      <c r="C524" s="2" t="s">
        <v>14</v>
      </c>
      <c r="D524" s="2" t="s">
        <v>4</v>
      </c>
      <c r="E524" s="2">
        <v>1</v>
      </c>
      <c r="F524" s="2" t="s">
        <v>7</v>
      </c>
      <c r="G524" s="2">
        <v>7.05</v>
      </c>
      <c r="H524" s="2">
        <v>12</v>
      </c>
      <c r="I524" s="2">
        <v>20.768000000000001</v>
      </c>
      <c r="J524" s="2">
        <v>3.9769999999999999</v>
      </c>
      <c r="K524" s="2">
        <v>19.149653312788907</v>
      </c>
      <c r="L524" s="2">
        <v>43.588652482269502</v>
      </c>
      <c r="M524" s="7">
        <f t="shared" si="43"/>
        <v>3.057406500386624</v>
      </c>
      <c r="N524" s="2">
        <v>46.2</v>
      </c>
      <c r="O524" s="2">
        <v>1.5580000000000001</v>
      </c>
      <c r="P524" s="2">
        <v>9.7390000000000008</v>
      </c>
      <c r="Q524" s="2">
        <v>0.65500000000000003</v>
      </c>
      <c r="R524" s="2">
        <v>0.52787000000000006</v>
      </c>
      <c r="AF524" s="60"/>
      <c r="AG524" s="61"/>
      <c r="AJ524" s="60"/>
      <c r="AK524" s="62"/>
      <c r="AL524" s="63"/>
      <c r="AM524" s="63"/>
      <c r="AN524" s="64"/>
      <c r="AO524" s="63"/>
      <c r="AP524" s="60"/>
      <c r="AR524" s="60"/>
      <c r="AS524" s="62"/>
      <c r="AW524" s="60"/>
      <c r="AZ524" s="60"/>
      <c r="BC524" s="60"/>
      <c r="BK524" s="60"/>
      <c r="BL524" s="60"/>
      <c r="BM524" s="60"/>
      <c r="BN524" s="60"/>
      <c r="BO524" s="60"/>
      <c r="BR524" s="60"/>
      <c r="BS524" s="65"/>
      <c r="BU524" s="60"/>
      <c r="CF524" s="66"/>
      <c r="CP524" s="30"/>
    </row>
    <row r="525" spans="1:94" x14ac:dyDescent="0.3">
      <c r="A525" s="2">
        <v>600</v>
      </c>
      <c r="B525" s="2" t="s">
        <v>3</v>
      </c>
      <c r="C525" s="2" t="s">
        <v>1</v>
      </c>
      <c r="D525" s="2" t="s">
        <v>4</v>
      </c>
      <c r="E525" s="2">
        <v>1</v>
      </c>
      <c r="F525" s="2" t="s">
        <v>7</v>
      </c>
      <c r="G525" s="2">
        <v>7.07</v>
      </c>
      <c r="H525" s="2">
        <v>12</v>
      </c>
      <c r="I525" s="2">
        <v>16.491</v>
      </c>
      <c r="J525" s="2">
        <v>3.2120000000000002</v>
      </c>
      <c r="K525" s="2">
        <v>19.477290643381238</v>
      </c>
      <c r="L525" s="2">
        <v>54.568599717114566</v>
      </c>
      <c r="M525" s="7">
        <f t="shared" si="43"/>
        <v>3.2738733336119665</v>
      </c>
      <c r="N525" s="2">
        <v>46.53</v>
      </c>
      <c r="O525" s="2">
        <v>1.954</v>
      </c>
      <c r="P525" s="2">
        <v>12.211</v>
      </c>
      <c r="Q525" s="2">
        <v>0.97899999999999998</v>
      </c>
      <c r="R525" s="2">
        <v>1.032</v>
      </c>
      <c r="AF525" s="60"/>
      <c r="AG525" s="61"/>
      <c r="AJ525" s="60"/>
      <c r="AK525" s="62"/>
      <c r="AL525" s="63"/>
      <c r="AM525" s="63"/>
      <c r="AN525" s="64"/>
      <c r="AO525" s="63"/>
      <c r="AP525" s="60"/>
      <c r="AR525" s="60"/>
      <c r="AS525" s="62"/>
      <c r="AW525" s="60"/>
      <c r="AZ525" s="60"/>
      <c r="BC525" s="60"/>
      <c r="BK525" s="60"/>
      <c r="BL525" s="60"/>
      <c r="BM525" s="60"/>
      <c r="BN525" s="60"/>
      <c r="BO525" s="60"/>
      <c r="BR525" s="60"/>
      <c r="BS525" s="65"/>
      <c r="BU525" s="60"/>
      <c r="CF525" s="66"/>
      <c r="CP525" s="30"/>
    </row>
    <row r="526" spans="1:94" x14ac:dyDescent="0.3">
      <c r="A526" s="2">
        <v>664</v>
      </c>
      <c r="B526" s="2" t="s">
        <v>3</v>
      </c>
      <c r="C526" s="2" t="s">
        <v>1</v>
      </c>
      <c r="D526" s="2" t="s">
        <v>5</v>
      </c>
      <c r="E526" s="2">
        <v>5</v>
      </c>
      <c r="F526" s="2" t="s">
        <v>7</v>
      </c>
      <c r="G526" s="2">
        <v>6.92</v>
      </c>
      <c r="H526" s="2">
        <v>12</v>
      </c>
      <c r="I526" s="2">
        <v>18.231000000000002</v>
      </c>
      <c r="J526" s="2">
        <v>4.6210000000000004</v>
      </c>
      <c r="K526" s="2">
        <v>25.346936536668313</v>
      </c>
      <c r="L526" s="2">
        <v>33.22254335260115</v>
      </c>
      <c r="M526" s="7">
        <f t="shared" si="43"/>
        <v>2.8887112875294489</v>
      </c>
      <c r="N526" s="2">
        <v>47.38</v>
      </c>
      <c r="O526" s="2">
        <v>1.5589999999999999</v>
      </c>
      <c r="P526" s="2">
        <v>9.7409999999999997</v>
      </c>
      <c r="Q526" s="2">
        <v>0.41299999999999998</v>
      </c>
      <c r="R526" s="2">
        <v>0.19587000000000002</v>
      </c>
      <c r="AF526" s="60"/>
      <c r="AG526" s="61"/>
      <c r="AJ526" s="60"/>
      <c r="AK526" s="62"/>
      <c r="AL526" s="63"/>
      <c r="AM526" s="63"/>
      <c r="AN526" s="64"/>
      <c r="AO526" s="63"/>
      <c r="AP526" s="60"/>
      <c r="AR526" s="60"/>
      <c r="AS526" s="62"/>
      <c r="AW526" s="60"/>
      <c r="AZ526" s="60"/>
      <c r="BC526" s="60"/>
      <c r="BK526" s="60"/>
      <c r="BL526" s="60"/>
      <c r="BM526" s="60"/>
      <c r="BN526" s="60"/>
      <c r="BO526" s="60"/>
      <c r="BR526" s="60"/>
      <c r="BS526" s="65"/>
      <c r="BU526" s="60"/>
      <c r="CF526" s="66"/>
      <c r="CP526" s="30"/>
    </row>
    <row r="527" spans="1:94" x14ac:dyDescent="0.3">
      <c r="A527" s="2">
        <v>672</v>
      </c>
      <c r="B527" s="2" t="s">
        <v>3</v>
      </c>
      <c r="C527" s="2" t="s">
        <v>14</v>
      </c>
      <c r="D527" s="2" t="s">
        <v>5</v>
      </c>
      <c r="E527" s="2">
        <v>1</v>
      </c>
      <c r="F527" s="2" t="s">
        <v>7</v>
      </c>
      <c r="G527" s="2">
        <v>6.99</v>
      </c>
      <c r="H527" s="2">
        <v>12</v>
      </c>
      <c r="I527" s="2">
        <v>16.481000000000002</v>
      </c>
      <c r="J527" s="2">
        <v>3.62</v>
      </c>
      <c r="K527" s="2">
        <v>21.96468660882228</v>
      </c>
      <c r="L527" s="2">
        <v>48.211731044349072</v>
      </c>
      <c r="M527" s="7">
        <f t="shared" si="43"/>
        <v>3.1429131801960395</v>
      </c>
      <c r="N527" s="2">
        <v>46.9</v>
      </c>
      <c r="O527" s="2">
        <v>1.589</v>
      </c>
      <c r="P527" s="2">
        <v>9.9339999999999993</v>
      </c>
      <c r="Q527" s="2">
        <v>0.34499999999999997</v>
      </c>
      <c r="R527" s="2">
        <v>0.15687000000000001</v>
      </c>
      <c r="AF527" s="60"/>
      <c r="AG527" s="61"/>
      <c r="AJ527" s="60"/>
      <c r="AK527" s="62"/>
      <c r="AL527" s="63"/>
      <c r="AM527" s="63"/>
      <c r="AN527" s="64"/>
      <c r="AO527" s="63"/>
      <c r="AP527" s="60"/>
      <c r="AR527" s="60"/>
      <c r="AS527" s="62"/>
      <c r="AW527" s="60"/>
      <c r="AZ527" s="60"/>
      <c r="BC527" s="60"/>
      <c r="BK527" s="60"/>
      <c r="BL527" s="60"/>
      <c r="BM527" s="60"/>
      <c r="BN527" s="60"/>
      <c r="BO527" s="60"/>
      <c r="BR527" s="60"/>
      <c r="BS527" s="65"/>
      <c r="BU527" s="60"/>
      <c r="CF527" s="66"/>
      <c r="CP527" s="30"/>
    </row>
    <row r="528" spans="1:94" x14ac:dyDescent="0.3">
      <c r="A528" s="2">
        <v>677</v>
      </c>
      <c r="B528" s="2" t="s">
        <v>3</v>
      </c>
      <c r="C528" s="2" t="s">
        <v>14</v>
      </c>
      <c r="D528" s="2" t="s">
        <v>5</v>
      </c>
      <c r="E528" s="2">
        <v>3</v>
      </c>
      <c r="F528" s="2" t="s">
        <v>7</v>
      </c>
      <c r="G528" s="2">
        <v>7</v>
      </c>
      <c r="H528" s="2">
        <v>12</v>
      </c>
      <c r="I528" s="2">
        <v>17.381</v>
      </c>
      <c r="J528" s="2">
        <v>3.8780000000000001</v>
      </c>
      <c r="K528" s="2">
        <v>22.311719693918647</v>
      </c>
      <c r="L528" s="2">
        <v>44.6</v>
      </c>
      <c r="M528" s="7">
        <f t="shared" si="43"/>
        <v>3.0754972420228537</v>
      </c>
      <c r="N528" s="2">
        <v>47.06</v>
      </c>
      <c r="O528" s="2">
        <v>1.7989999999999999</v>
      </c>
      <c r="P528" s="2">
        <v>11.244999999999999</v>
      </c>
      <c r="Q528" s="2">
        <v>0.51400000000000001</v>
      </c>
      <c r="R528" s="2">
        <v>1.8700000000000001E-3</v>
      </c>
      <c r="AF528" s="60"/>
      <c r="AG528" s="61"/>
      <c r="AJ528" s="60"/>
      <c r="AK528" s="62"/>
      <c r="AL528" s="63"/>
      <c r="AM528" s="63"/>
      <c r="AN528" s="64"/>
      <c r="AO528" s="63"/>
      <c r="AP528" s="60"/>
      <c r="AR528" s="60"/>
      <c r="AS528" s="62"/>
      <c r="AW528" s="60"/>
      <c r="AZ528" s="60"/>
      <c r="BC528" s="60"/>
      <c r="BK528" s="60"/>
      <c r="BL528" s="60"/>
      <c r="BM528" s="60"/>
      <c r="BN528" s="60"/>
      <c r="BO528" s="60"/>
      <c r="BR528" s="60"/>
      <c r="BS528" s="65"/>
      <c r="BU528" s="60"/>
      <c r="CF528" s="66"/>
      <c r="CP528" s="30"/>
    </row>
    <row r="529" spans="1:94" x14ac:dyDescent="0.3">
      <c r="A529" s="2">
        <v>686</v>
      </c>
      <c r="B529" s="2" t="s">
        <v>3</v>
      </c>
      <c r="C529" s="2" t="s">
        <v>14</v>
      </c>
      <c r="D529" s="2" t="s">
        <v>5</v>
      </c>
      <c r="E529" s="2">
        <v>2</v>
      </c>
      <c r="F529" s="2" t="s">
        <v>7</v>
      </c>
      <c r="G529" s="2">
        <v>6.92</v>
      </c>
      <c r="H529" s="2">
        <v>12</v>
      </c>
      <c r="I529" s="2">
        <v>15.885999999999999</v>
      </c>
      <c r="J529" s="2">
        <v>3.871</v>
      </c>
      <c r="K529" s="2">
        <v>24.367367493390407</v>
      </c>
      <c r="L529" s="2">
        <v>44.060693641618499</v>
      </c>
      <c r="M529" s="7">
        <f t="shared" si="43"/>
        <v>3.0658095478220675</v>
      </c>
      <c r="N529" s="2">
        <v>45.57</v>
      </c>
      <c r="O529" s="2">
        <v>1.5309999999999999</v>
      </c>
      <c r="P529" s="2">
        <v>9.5670000000000002</v>
      </c>
      <c r="Q529" s="2">
        <v>0.373</v>
      </c>
      <c r="R529" s="2">
        <v>0.34899999999999998</v>
      </c>
      <c r="AF529" s="60"/>
      <c r="AG529" s="61"/>
      <c r="AJ529" s="60"/>
      <c r="AK529" s="62"/>
      <c r="AL529" s="63"/>
      <c r="AM529" s="63"/>
      <c r="AN529" s="64"/>
      <c r="AO529" s="63"/>
      <c r="AP529" s="60"/>
      <c r="AR529" s="60"/>
      <c r="AS529" s="62"/>
      <c r="AW529" s="60"/>
      <c r="AZ529" s="60"/>
      <c r="BC529" s="60"/>
      <c r="BK529" s="60"/>
      <c r="BL529" s="60"/>
      <c r="BM529" s="60"/>
      <c r="BN529" s="60"/>
      <c r="BO529" s="60"/>
      <c r="BR529" s="60"/>
      <c r="BS529" s="65"/>
      <c r="BU529" s="60"/>
      <c r="CF529" s="66"/>
      <c r="CP529" s="30"/>
    </row>
    <row r="530" spans="1:94" x14ac:dyDescent="0.3">
      <c r="A530" s="2">
        <v>689</v>
      </c>
      <c r="B530" s="2" t="s">
        <v>3</v>
      </c>
      <c r="C530" s="2" t="s">
        <v>1</v>
      </c>
      <c r="D530" s="2" t="s">
        <v>5</v>
      </c>
      <c r="E530" s="2">
        <v>1</v>
      </c>
      <c r="F530" s="2" t="s">
        <v>7</v>
      </c>
      <c r="G530" s="2">
        <v>7.01</v>
      </c>
      <c r="H530" s="2">
        <v>12</v>
      </c>
      <c r="I530" s="2">
        <v>18.715</v>
      </c>
      <c r="J530" s="2">
        <v>3.7530000000000001</v>
      </c>
      <c r="K530" s="2">
        <v>20.053433075073471</v>
      </c>
      <c r="L530" s="2">
        <v>46.462196861626239</v>
      </c>
      <c r="M530" s="7">
        <f t="shared" si="43"/>
        <v>3.1096888306816153</v>
      </c>
      <c r="N530" s="2">
        <v>47.73</v>
      </c>
      <c r="O530" s="2">
        <v>1.6359999999999999</v>
      </c>
      <c r="P530" s="2">
        <v>10.228</v>
      </c>
      <c r="Q530" s="2">
        <v>0.315</v>
      </c>
      <c r="R530" s="2">
        <v>0.16487000000000002</v>
      </c>
      <c r="AF530" s="60"/>
      <c r="AG530" s="61"/>
      <c r="AJ530" s="60"/>
      <c r="AK530" s="62"/>
      <c r="AL530" s="63"/>
      <c r="AM530" s="63"/>
      <c r="AN530" s="64"/>
      <c r="AO530" s="63"/>
      <c r="AP530" s="60"/>
      <c r="AR530" s="60"/>
      <c r="AS530" s="62"/>
      <c r="AW530" s="60"/>
      <c r="AZ530" s="60"/>
      <c r="BC530" s="60"/>
      <c r="BK530" s="60"/>
      <c r="BL530" s="60"/>
      <c r="BM530" s="60"/>
      <c r="BN530" s="60"/>
      <c r="BO530" s="60"/>
      <c r="BR530" s="60"/>
      <c r="BS530" s="65"/>
      <c r="BU530" s="60"/>
      <c r="CF530" s="66"/>
      <c r="CP530" s="30"/>
    </row>
    <row r="531" spans="1:94" x14ac:dyDescent="0.3">
      <c r="A531" s="2">
        <v>692</v>
      </c>
      <c r="B531" s="2" t="s">
        <v>3</v>
      </c>
      <c r="C531" s="2" t="s">
        <v>1</v>
      </c>
      <c r="D531" s="2" t="s">
        <v>5</v>
      </c>
      <c r="E531" s="2">
        <v>3</v>
      </c>
      <c r="F531" s="2" t="s">
        <v>7</v>
      </c>
      <c r="G531" s="2">
        <v>6.93</v>
      </c>
      <c r="H531" s="2">
        <v>12</v>
      </c>
      <c r="I531" s="2">
        <v>20.026</v>
      </c>
      <c r="J531" s="2">
        <v>3.8340000000000001</v>
      </c>
      <c r="K531" s="2">
        <v>19.145111355238189</v>
      </c>
      <c r="L531" s="2">
        <v>44.675324675324674</v>
      </c>
      <c r="M531" s="7">
        <f t="shared" si="43"/>
        <v>3.0768578183663591</v>
      </c>
      <c r="N531" s="2">
        <v>45.74</v>
      </c>
      <c r="O531" s="2">
        <v>2.0150000000000001</v>
      </c>
      <c r="P531" s="2">
        <v>12.593</v>
      </c>
      <c r="Q531" s="2">
        <v>0.57699999999999996</v>
      </c>
      <c r="R531" s="2">
        <v>9.4869999999999996E-2</v>
      </c>
      <c r="AF531" s="60"/>
      <c r="AG531" s="61"/>
      <c r="AJ531" s="60"/>
      <c r="AK531" s="62"/>
      <c r="AL531" s="63"/>
      <c r="AM531" s="63"/>
      <c r="AN531" s="64"/>
      <c r="AO531" s="63"/>
      <c r="AP531" s="60"/>
      <c r="AR531" s="60"/>
      <c r="AS531" s="62"/>
      <c r="AW531" s="60"/>
      <c r="AZ531" s="60"/>
      <c r="BC531" s="60"/>
      <c r="BK531" s="60"/>
      <c r="BL531" s="60"/>
      <c r="BM531" s="60"/>
      <c r="BN531" s="60"/>
      <c r="BO531" s="60"/>
      <c r="BR531" s="60"/>
      <c r="BS531" s="65"/>
      <c r="BU531" s="60"/>
      <c r="CF531" s="66"/>
      <c r="CP531" s="30"/>
    </row>
    <row r="532" spans="1:94" x14ac:dyDescent="0.3">
      <c r="A532" s="2">
        <v>695</v>
      </c>
      <c r="B532" s="2" t="s">
        <v>3</v>
      </c>
      <c r="C532" s="2" t="s">
        <v>14</v>
      </c>
      <c r="D532" s="2" t="s">
        <v>5</v>
      </c>
      <c r="E532" s="2">
        <v>5</v>
      </c>
      <c r="F532" s="2" t="s">
        <v>7</v>
      </c>
      <c r="G532" s="2">
        <v>6.96</v>
      </c>
      <c r="H532" s="2">
        <v>12</v>
      </c>
      <c r="I532" s="2">
        <v>19.356000000000002</v>
      </c>
      <c r="J532" s="2">
        <v>4.3250000000000002</v>
      </c>
      <c r="K532" s="2">
        <v>22.344492663773504</v>
      </c>
      <c r="L532" s="2">
        <v>37.859195402298845</v>
      </c>
      <c r="M532" s="7">
        <f t="shared" si="43"/>
        <v>2.9606739837504858</v>
      </c>
      <c r="N532" s="2">
        <v>46.04</v>
      </c>
      <c r="O532" s="2">
        <v>1.591</v>
      </c>
      <c r="P532" s="2">
        <v>9.9469999999999992</v>
      </c>
      <c r="Q532" s="2">
        <v>0.47099999999999997</v>
      </c>
      <c r="R532" s="2">
        <v>0.24687000000000001</v>
      </c>
      <c r="AF532" s="60"/>
      <c r="AG532" s="61"/>
      <c r="AJ532" s="60"/>
      <c r="AK532" s="62"/>
      <c r="AL532" s="63"/>
      <c r="AM532" s="63"/>
      <c r="AN532" s="64"/>
      <c r="AO532" s="63"/>
      <c r="AP532" s="60"/>
      <c r="AR532" s="60"/>
      <c r="AS532" s="62"/>
      <c r="AW532" s="60"/>
      <c r="AZ532" s="60"/>
      <c r="BC532" s="60"/>
      <c r="BK532" s="60"/>
      <c r="BL532" s="60"/>
      <c r="BM532" s="60"/>
      <c r="BN532" s="60"/>
      <c r="BO532" s="60"/>
      <c r="BR532" s="60"/>
      <c r="BS532" s="65"/>
      <c r="BU532" s="60"/>
      <c r="CF532" s="66"/>
      <c r="CP532" s="30"/>
    </row>
    <row r="533" spans="1:94" x14ac:dyDescent="0.3">
      <c r="A533" s="2">
        <v>699</v>
      </c>
      <c r="B533" s="2" t="s">
        <v>3</v>
      </c>
      <c r="C533" s="2" t="s">
        <v>14</v>
      </c>
      <c r="D533" s="2" t="s">
        <v>5</v>
      </c>
      <c r="E533" s="2">
        <v>4</v>
      </c>
      <c r="F533" s="2" t="s">
        <v>7</v>
      </c>
      <c r="G533" s="2">
        <v>7.05</v>
      </c>
      <c r="H533" s="2">
        <v>12</v>
      </c>
      <c r="I533" s="2">
        <v>20.404</v>
      </c>
      <c r="J533" s="2">
        <v>3.887</v>
      </c>
      <c r="K533" s="2">
        <v>19.050186237992548</v>
      </c>
      <c r="L533" s="2">
        <v>44.865248226950357</v>
      </c>
      <c r="M533" s="7">
        <f t="shared" si="43"/>
        <v>3.0802966147420912</v>
      </c>
      <c r="N533" s="2">
        <v>47.32</v>
      </c>
      <c r="O533" s="2">
        <v>1.571</v>
      </c>
      <c r="P533" s="2">
        <v>9.8190000000000008</v>
      </c>
      <c r="Q533" s="2">
        <v>0.42199999999999999</v>
      </c>
      <c r="R533" s="2">
        <v>0.26286999999999999</v>
      </c>
      <c r="AF533" s="60"/>
      <c r="AG533" s="61"/>
      <c r="AJ533" s="60"/>
      <c r="AK533" s="62"/>
      <c r="AL533" s="63"/>
      <c r="AM533" s="63"/>
      <c r="AN533" s="64"/>
      <c r="AO533" s="63"/>
      <c r="AP533" s="60"/>
      <c r="AR533" s="60"/>
      <c r="AS533" s="62"/>
      <c r="AW533" s="60"/>
      <c r="AZ533" s="60"/>
      <c r="BC533" s="60"/>
      <c r="BK533" s="60"/>
      <c r="BL533" s="60"/>
      <c r="BM533" s="60"/>
      <c r="BN533" s="60"/>
      <c r="BO533" s="60"/>
      <c r="BR533" s="60"/>
      <c r="BS533" s="65"/>
      <c r="BU533" s="60"/>
      <c r="CF533" s="66"/>
      <c r="CP533" s="30"/>
    </row>
    <row r="534" spans="1:94" x14ac:dyDescent="0.3">
      <c r="A534" s="2">
        <v>701</v>
      </c>
      <c r="B534" s="2" t="s">
        <v>3</v>
      </c>
      <c r="C534" s="2" t="s">
        <v>1</v>
      </c>
      <c r="D534" s="2" t="s">
        <v>5</v>
      </c>
      <c r="E534" s="2">
        <v>4</v>
      </c>
      <c r="F534" s="2" t="s">
        <v>7</v>
      </c>
      <c r="G534" s="2">
        <v>6.93</v>
      </c>
      <c r="H534" s="2">
        <v>12</v>
      </c>
      <c r="I534" s="2">
        <v>17.757000000000001</v>
      </c>
      <c r="J534" s="2">
        <v>4.0960000000000001</v>
      </c>
      <c r="K534" s="2">
        <v>23.066959508926054</v>
      </c>
      <c r="L534" s="2">
        <v>40.894660894660888</v>
      </c>
      <c r="M534" s="7">
        <f t="shared" si="43"/>
        <v>3.0107555752526056</v>
      </c>
      <c r="N534" s="2">
        <v>46.73</v>
      </c>
      <c r="O534" s="2">
        <v>1.2210000000000001</v>
      </c>
      <c r="P534" s="2">
        <v>7.633</v>
      </c>
      <c r="Q534" s="2">
        <v>0.438</v>
      </c>
      <c r="R534" s="2">
        <v>0.58300000000000007</v>
      </c>
      <c r="AF534" s="60"/>
      <c r="AG534" s="61"/>
      <c r="AJ534" s="60"/>
      <c r="AK534" s="62"/>
      <c r="AL534" s="63"/>
      <c r="AM534" s="63"/>
      <c r="AN534" s="64"/>
      <c r="AO534" s="63"/>
      <c r="AP534" s="60"/>
      <c r="AR534" s="60"/>
      <c r="AS534" s="62"/>
      <c r="AW534" s="60"/>
      <c r="AZ534" s="60"/>
      <c r="BC534" s="60"/>
      <c r="BK534" s="60"/>
      <c r="BL534" s="60"/>
      <c r="BM534" s="60"/>
      <c r="BN534" s="60"/>
      <c r="BO534" s="60"/>
      <c r="BR534" s="60"/>
      <c r="BS534" s="65"/>
      <c r="BU534" s="60"/>
      <c r="CF534" s="66"/>
      <c r="CP534" s="30"/>
    </row>
    <row r="535" spans="1:94" x14ac:dyDescent="0.3">
      <c r="A535" s="2">
        <v>715</v>
      </c>
      <c r="B535" s="2" t="s">
        <v>3</v>
      </c>
      <c r="C535" s="2" t="s">
        <v>1</v>
      </c>
      <c r="D535" s="2" t="s">
        <v>5</v>
      </c>
      <c r="E535" s="2">
        <v>2</v>
      </c>
      <c r="F535" s="2" t="s">
        <v>7</v>
      </c>
      <c r="G535" s="2">
        <v>6.98</v>
      </c>
      <c r="H535" s="2">
        <v>12</v>
      </c>
      <c r="I535" s="2">
        <v>20.51</v>
      </c>
      <c r="J535" s="2">
        <v>4.4119999999999999</v>
      </c>
      <c r="K535" s="2">
        <v>21.511457825450996</v>
      </c>
      <c r="L535" s="2">
        <v>36.790830945558746</v>
      </c>
      <c r="M535" s="7">
        <f t="shared" si="43"/>
        <v>2.9436274651710255</v>
      </c>
      <c r="N535" s="2">
        <v>41.06</v>
      </c>
      <c r="O535" s="2">
        <v>1.4850000000000001</v>
      </c>
      <c r="P535" s="2">
        <v>9.2799999999999994</v>
      </c>
      <c r="Q535" s="2">
        <v>0.314</v>
      </c>
      <c r="R535" s="2">
        <v>0.69799999999999995</v>
      </c>
      <c r="AF535" s="60"/>
      <c r="AG535" s="61"/>
      <c r="AJ535" s="60"/>
      <c r="AK535" s="62"/>
      <c r="AL535" s="63"/>
      <c r="AM535" s="63"/>
      <c r="AN535" s="64"/>
      <c r="AO535" s="63"/>
      <c r="AP535" s="60"/>
      <c r="AR535" s="60"/>
      <c r="AS535" s="62"/>
      <c r="AW535" s="60"/>
      <c r="AZ535" s="60"/>
      <c r="BC535" s="60"/>
      <c r="BK535" s="60"/>
      <c r="BL535" s="60"/>
      <c r="BM535" s="60"/>
      <c r="BN535" s="60"/>
      <c r="BO535" s="60"/>
      <c r="BR535" s="60"/>
      <c r="BS535" s="65"/>
      <c r="BU535" s="60"/>
      <c r="CF535" s="66"/>
      <c r="CP535" s="30"/>
    </row>
    <row r="536" spans="1:94" x14ac:dyDescent="0.3">
      <c r="A536" s="2" t="s">
        <v>36</v>
      </c>
      <c r="B536" s="2" t="s">
        <v>0</v>
      </c>
      <c r="C536" s="2" t="s">
        <v>1</v>
      </c>
      <c r="D536" s="2" t="s">
        <v>5</v>
      </c>
      <c r="E536" s="2">
        <v>4</v>
      </c>
      <c r="F536" s="2" t="s">
        <v>7</v>
      </c>
      <c r="G536" s="2">
        <v>7</v>
      </c>
      <c r="H536" s="2">
        <v>12</v>
      </c>
      <c r="I536" s="2">
        <v>16.898</v>
      </c>
      <c r="J536" s="2">
        <v>3.927</v>
      </c>
      <c r="K536" s="2">
        <v>76.760563380281681</v>
      </c>
      <c r="L536" s="2">
        <v>43.9</v>
      </c>
      <c r="M536" s="7">
        <f t="shared" si="43"/>
        <v>3.0629410232474408</v>
      </c>
      <c r="N536" s="2">
        <v>47.07</v>
      </c>
      <c r="O536" s="2">
        <v>1.0980000000000001</v>
      </c>
      <c r="P536" s="2">
        <v>6.8650000000000002</v>
      </c>
      <c r="Q536" s="2">
        <v>0.42299999999999999</v>
      </c>
      <c r="R536" s="2">
        <v>0.18487000000000001</v>
      </c>
      <c r="AF536" s="60"/>
      <c r="AG536" s="61"/>
      <c r="AJ536" s="60"/>
      <c r="AK536" s="62"/>
      <c r="AL536" s="63"/>
      <c r="AM536" s="63"/>
      <c r="AN536" s="64"/>
      <c r="AO536" s="63"/>
      <c r="AP536" s="60"/>
      <c r="AR536" s="60"/>
      <c r="AS536" s="62"/>
      <c r="AW536" s="60"/>
      <c r="AZ536" s="60"/>
      <c r="BC536" s="60"/>
      <c r="BK536" s="60"/>
      <c r="BL536" s="60"/>
      <c r="BM536" s="60"/>
      <c r="BN536" s="60"/>
      <c r="BO536" s="60"/>
      <c r="BR536" s="60"/>
      <c r="BS536" s="65"/>
      <c r="BU536" s="60"/>
      <c r="CF536" s="66"/>
      <c r="CP536" s="30"/>
    </row>
    <row r="537" spans="1:94" x14ac:dyDescent="0.3">
      <c r="A537" s="2" t="s">
        <v>29</v>
      </c>
      <c r="B537" s="2" t="s">
        <v>0</v>
      </c>
      <c r="C537" s="2" t="s">
        <v>1</v>
      </c>
      <c r="D537" s="2" t="s">
        <v>5</v>
      </c>
      <c r="E537" s="2">
        <v>5</v>
      </c>
      <c r="F537" s="2" t="s">
        <v>7</v>
      </c>
      <c r="G537" s="2">
        <v>7</v>
      </c>
      <c r="H537" s="2">
        <v>12</v>
      </c>
      <c r="I537" s="2">
        <v>21.645</v>
      </c>
      <c r="J537" s="2">
        <v>5.2030000000000003</v>
      </c>
      <c r="K537" s="2">
        <v>75.962115962115959</v>
      </c>
      <c r="L537" s="2">
        <v>25.671428571428567</v>
      </c>
      <c r="M537" s="7">
        <f t="shared" si="43"/>
        <v>2.7815814165351473</v>
      </c>
      <c r="N537" s="2">
        <v>28.88</v>
      </c>
      <c r="O537" s="2">
        <v>1.2729999999999999</v>
      </c>
      <c r="P537" s="2">
        <v>7.9539999999999997</v>
      </c>
      <c r="Q537" s="2">
        <v>0.187</v>
      </c>
      <c r="R537" s="2">
        <v>0.20100000000000001</v>
      </c>
      <c r="AF537" s="60"/>
      <c r="AG537" s="61"/>
      <c r="AJ537" s="60"/>
      <c r="AK537" s="62"/>
      <c r="AL537" s="63"/>
      <c r="AM537" s="63"/>
      <c r="AN537" s="64"/>
      <c r="AO537" s="63"/>
      <c r="AP537" s="60"/>
      <c r="AR537" s="60"/>
      <c r="AS537" s="62"/>
      <c r="AW537" s="60"/>
      <c r="AZ537" s="60"/>
      <c r="BC537" s="60"/>
      <c r="BK537" s="60"/>
      <c r="BL537" s="60"/>
      <c r="BM537" s="60"/>
      <c r="BN537" s="60"/>
      <c r="BO537" s="60"/>
      <c r="BR537" s="60"/>
      <c r="BS537" s="65"/>
      <c r="BU537" s="60"/>
      <c r="CF537" s="66"/>
      <c r="CP537" s="30"/>
    </row>
    <row r="538" spans="1:94" x14ac:dyDescent="0.3">
      <c r="A538" s="1">
        <v>14</v>
      </c>
      <c r="B538" s="1" t="s">
        <v>0</v>
      </c>
      <c r="C538" s="1" t="s">
        <v>14</v>
      </c>
      <c r="D538" s="1" t="s">
        <v>4</v>
      </c>
      <c r="E538" s="1">
        <v>2</v>
      </c>
      <c r="F538" s="1" t="s">
        <v>7</v>
      </c>
      <c r="G538" s="1">
        <v>6.99</v>
      </c>
      <c r="H538" s="1">
        <v>18</v>
      </c>
      <c r="I538" s="1">
        <v>4.12</v>
      </c>
      <c r="J538" s="1">
        <v>2.5779999999999998</v>
      </c>
      <c r="K538" s="1">
        <v>37.427184466019426</v>
      </c>
      <c r="L538" s="1">
        <v>63.118741058655239</v>
      </c>
      <c r="M538" s="1">
        <f t="shared" si="43"/>
        <v>3.8878384096248881</v>
      </c>
      <c r="N538" s="1">
        <v>44.58</v>
      </c>
      <c r="O538" s="1">
        <v>1.5249999999999999</v>
      </c>
      <c r="P538" s="1">
        <v>9.5289999999999999</v>
      </c>
      <c r="Q538" s="1">
        <v>0.29399999999999998</v>
      </c>
      <c r="R538" s="1">
        <v>0.25500000000000006</v>
      </c>
      <c r="AF538" s="60"/>
      <c r="AG538" s="61"/>
      <c r="AJ538" s="60"/>
      <c r="AK538" s="62"/>
      <c r="AL538" s="63"/>
      <c r="AM538" s="63"/>
      <c r="AN538" s="64"/>
      <c r="AO538" s="63"/>
      <c r="AP538" s="60"/>
      <c r="AR538" s="60"/>
      <c r="AS538" s="62"/>
      <c r="AW538" s="60"/>
      <c r="AZ538" s="60"/>
      <c r="BC538" s="60"/>
      <c r="BK538" s="60"/>
      <c r="BL538" s="60"/>
      <c r="BM538" s="60"/>
      <c r="BN538" s="60"/>
      <c r="BO538" s="60"/>
      <c r="BR538" s="60"/>
      <c r="BS538" s="65"/>
      <c r="BU538" s="60"/>
      <c r="CF538" s="66"/>
      <c r="CP538" s="30"/>
    </row>
    <row r="539" spans="1:94" x14ac:dyDescent="0.3">
      <c r="A539" s="1">
        <v>63</v>
      </c>
      <c r="B539" s="1" t="s">
        <v>0</v>
      </c>
      <c r="C539" s="1" t="s">
        <v>1</v>
      </c>
      <c r="D539" s="1" t="s">
        <v>4</v>
      </c>
      <c r="E539" s="1">
        <v>5</v>
      </c>
      <c r="F539" s="1" t="s">
        <v>7</v>
      </c>
      <c r="G539" s="1">
        <v>7.06</v>
      </c>
      <c r="H539" s="1">
        <v>18</v>
      </c>
      <c r="I539" s="1">
        <v>6.0250000000000004</v>
      </c>
      <c r="J539" s="1">
        <v>2.3650000000000002</v>
      </c>
      <c r="K539" s="1">
        <v>60.746887966804977</v>
      </c>
      <c r="L539" s="1">
        <v>66.501416430594901</v>
      </c>
      <c r="M539" s="1">
        <f t="shared" si="43"/>
        <v>3.9840387874574192</v>
      </c>
      <c r="N539" s="1">
        <v>44.09</v>
      </c>
      <c r="O539" s="1">
        <v>1.9490000000000001</v>
      </c>
      <c r="P539" s="1">
        <v>12.180999999999999</v>
      </c>
      <c r="Q539" s="1">
        <v>0.42299999999999999</v>
      </c>
      <c r="R539" s="1">
        <v>0.38862000000000002</v>
      </c>
      <c r="AF539" s="60"/>
      <c r="AG539" s="61"/>
      <c r="AJ539" s="60"/>
      <c r="AK539" s="62"/>
      <c r="AL539" s="63"/>
      <c r="AM539" s="63"/>
      <c r="AN539" s="64"/>
      <c r="AO539" s="63"/>
      <c r="AP539" s="60"/>
      <c r="AR539" s="60"/>
      <c r="AS539" s="62"/>
      <c r="AW539" s="60"/>
      <c r="AZ539" s="60"/>
      <c r="BC539" s="60"/>
      <c r="BK539" s="60"/>
      <c r="BL539" s="60"/>
      <c r="BM539" s="60"/>
      <c r="BN539" s="60"/>
      <c r="BO539" s="60"/>
      <c r="BR539" s="60"/>
      <c r="BS539" s="65"/>
      <c r="BU539" s="60"/>
      <c r="CF539" s="66"/>
      <c r="CP539" s="30"/>
    </row>
    <row r="540" spans="1:94" x14ac:dyDescent="0.3">
      <c r="A540" s="1">
        <v>69</v>
      </c>
      <c r="B540" s="1" t="s">
        <v>0</v>
      </c>
      <c r="C540" s="1" t="s">
        <v>1</v>
      </c>
      <c r="D540" s="1" t="s">
        <v>4</v>
      </c>
      <c r="E540" s="1">
        <v>1</v>
      </c>
      <c r="F540" s="1" t="s">
        <v>7</v>
      </c>
      <c r="G540" s="1">
        <v>7</v>
      </c>
      <c r="H540" s="1">
        <v>18</v>
      </c>
      <c r="I540" s="1">
        <v>4.1452999999999998</v>
      </c>
      <c r="J540" s="1">
        <v>3.4186999999999999</v>
      </c>
      <c r="K540" s="1">
        <v>17.528285045714423</v>
      </c>
      <c r="L540" s="1">
        <v>51.161428571428566</v>
      </c>
      <c r="M540" s="1">
        <f t="shared" si="43"/>
        <v>3.6070215450987928</v>
      </c>
      <c r="N540" s="1">
        <v>45.57</v>
      </c>
      <c r="O540" s="1">
        <v>1.6639999999999999</v>
      </c>
      <c r="P540" s="1">
        <v>10.401999999999999</v>
      </c>
      <c r="Q540" s="1">
        <v>0.60299999999999998</v>
      </c>
      <c r="R540" s="1">
        <v>0.60361999999999993</v>
      </c>
      <c r="AF540" s="60"/>
      <c r="AG540" s="61"/>
      <c r="AJ540" s="60"/>
      <c r="AK540" s="62"/>
      <c r="AL540" s="63"/>
      <c r="AM540" s="63"/>
      <c r="AN540" s="64"/>
      <c r="AO540" s="63"/>
      <c r="AP540" s="60"/>
      <c r="AR540" s="60"/>
      <c r="AS540" s="62"/>
      <c r="AW540" s="60"/>
      <c r="AZ540" s="60"/>
      <c r="BC540" s="60"/>
      <c r="BK540" s="60"/>
      <c r="BL540" s="60"/>
      <c r="BM540" s="60"/>
      <c r="BN540" s="60"/>
      <c r="BO540" s="60"/>
      <c r="BR540" s="60"/>
      <c r="BS540" s="65"/>
      <c r="BU540" s="60"/>
      <c r="CF540" s="66"/>
      <c r="CP540" s="30"/>
    </row>
    <row r="541" spans="1:94" x14ac:dyDescent="0.3">
      <c r="A541" s="1">
        <v>79</v>
      </c>
      <c r="B541" s="1" t="s">
        <v>0</v>
      </c>
      <c r="C541" s="1" t="s">
        <v>14</v>
      </c>
      <c r="D541" s="1" t="s">
        <v>4</v>
      </c>
      <c r="E541" s="1">
        <v>5</v>
      </c>
      <c r="F541" s="1" t="s">
        <v>7</v>
      </c>
      <c r="G541" s="1">
        <v>7.05</v>
      </c>
      <c r="H541" s="1">
        <v>18</v>
      </c>
      <c r="I541" s="1">
        <v>5.22</v>
      </c>
      <c r="J541" s="1">
        <v>2.8359999999999999</v>
      </c>
      <c r="K541" s="1">
        <v>45.670498084291189</v>
      </c>
      <c r="L541" s="1">
        <v>59.773049645390074</v>
      </c>
      <c r="M541" s="1">
        <f t="shared" si="43"/>
        <v>3.8010047660504611</v>
      </c>
      <c r="N541" s="1">
        <v>47.92</v>
      </c>
      <c r="O541" s="1">
        <v>1.661</v>
      </c>
      <c r="P541" s="1">
        <v>10.379</v>
      </c>
      <c r="Q541" s="1">
        <v>0.32400000000000001</v>
      </c>
      <c r="R541" s="1">
        <v>0.25862000000000002</v>
      </c>
      <c r="AF541" s="60"/>
      <c r="AG541" s="61"/>
      <c r="AJ541" s="60"/>
      <c r="AK541" s="62"/>
      <c r="AL541" s="63"/>
      <c r="AM541" s="63"/>
      <c r="AN541" s="64"/>
      <c r="AO541" s="63"/>
      <c r="AP541" s="60"/>
      <c r="AR541" s="60"/>
      <c r="AS541" s="62"/>
      <c r="AW541" s="60"/>
      <c r="AZ541" s="60"/>
      <c r="BC541" s="60"/>
      <c r="BK541" s="60"/>
      <c r="BL541" s="60"/>
      <c r="BM541" s="60"/>
      <c r="BN541" s="60"/>
      <c r="BO541" s="60"/>
      <c r="BR541" s="60"/>
      <c r="BS541" s="65"/>
      <c r="BU541" s="60"/>
      <c r="CF541" s="66"/>
      <c r="CP541" s="30"/>
    </row>
    <row r="542" spans="1:94" x14ac:dyDescent="0.3">
      <c r="A542" s="1">
        <v>87</v>
      </c>
      <c r="B542" s="1" t="s">
        <v>0</v>
      </c>
      <c r="C542" s="1" t="s">
        <v>1</v>
      </c>
      <c r="D542" s="1" t="s">
        <v>4</v>
      </c>
      <c r="E542" s="1">
        <v>2</v>
      </c>
      <c r="F542" s="1" t="s">
        <v>7</v>
      </c>
      <c r="G542" s="1">
        <v>7.02</v>
      </c>
      <c r="H542" s="1">
        <v>18</v>
      </c>
      <c r="I542" s="1">
        <v>3.98</v>
      </c>
      <c r="J542" s="1">
        <v>2.444</v>
      </c>
      <c r="K542" s="1">
        <v>38.5929648241206</v>
      </c>
      <c r="L542" s="1">
        <v>65.185185185185176</v>
      </c>
      <c r="M542" s="1">
        <f t="shared" si="43"/>
        <v>3.9454989346245357</v>
      </c>
      <c r="N542" s="1">
        <v>44.54</v>
      </c>
      <c r="O542" s="1">
        <v>2.0099999999999998</v>
      </c>
      <c r="P542" s="1">
        <v>12.565</v>
      </c>
      <c r="Q542" s="1">
        <v>0.49399999999999999</v>
      </c>
      <c r="R542" s="1">
        <v>0.39662000000000003</v>
      </c>
      <c r="AF542" s="60"/>
      <c r="AG542" s="61"/>
      <c r="AJ542" s="60"/>
      <c r="AK542" s="62"/>
      <c r="AL542" s="63"/>
      <c r="AM542" s="63"/>
      <c r="AN542" s="64"/>
      <c r="AO542" s="63"/>
      <c r="AP542" s="60"/>
      <c r="AR542" s="60"/>
      <c r="AS542" s="62"/>
      <c r="AW542" s="60"/>
      <c r="AZ542" s="60"/>
      <c r="BC542" s="60"/>
      <c r="BK542" s="60"/>
      <c r="BL542" s="60"/>
      <c r="BM542" s="60"/>
      <c r="BN542" s="60"/>
      <c r="BO542" s="60"/>
      <c r="BR542" s="60"/>
      <c r="BS542" s="65"/>
      <c r="BU542" s="60"/>
      <c r="CF542" s="66"/>
      <c r="CP542" s="30"/>
    </row>
    <row r="543" spans="1:94" x14ac:dyDescent="0.3">
      <c r="A543" s="1">
        <v>89</v>
      </c>
      <c r="B543" s="1" t="s">
        <v>0</v>
      </c>
      <c r="C543" s="1" t="s">
        <v>14</v>
      </c>
      <c r="D543" s="1" t="s">
        <v>4</v>
      </c>
      <c r="E543" s="1">
        <v>4</v>
      </c>
      <c r="F543" s="1" t="s">
        <v>7</v>
      </c>
      <c r="G543" s="1">
        <v>6.99</v>
      </c>
      <c r="H543" s="1">
        <v>18</v>
      </c>
      <c r="I543" s="1">
        <v>3.786</v>
      </c>
      <c r="J543" s="1">
        <v>2.9134000000000002</v>
      </c>
      <c r="K543" s="1">
        <v>23.048071843634439</v>
      </c>
      <c r="L543" s="1">
        <v>58.320457796852644</v>
      </c>
      <c r="M543" s="1">
        <f t="shared" si="43"/>
        <v>3.7655315301091732</v>
      </c>
      <c r="N543" s="1">
        <v>44.62</v>
      </c>
      <c r="O543" s="1">
        <v>1.597</v>
      </c>
      <c r="P543" s="1">
        <v>9.9789999999999992</v>
      </c>
      <c r="Q543" s="1">
        <v>0.313</v>
      </c>
      <c r="R543" s="1">
        <v>0.50600000000000001</v>
      </c>
      <c r="AF543" s="60"/>
      <c r="AG543" s="61"/>
      <c r="AJ543" s="60"/>
      <c r="AK543" s="62"/>
      <c r="AL543" s="63"/>
      <c r="AM543" s="63"/>
      <c r="AN543" s="64"/>
      <c r="AO543" s="63"/>
      <c r="AP543" s="60"/>
      <c r="AR543" s="60"/>
      <c r="AS543" s="62"/>
      <c r="AW543" s="60"/>
      <c r="AZ543" s="60"/>
      <c r="BC543" s="60"/>
      <c r="BK543" s="60"/>
      <c r="BL543" s="60"/>
      <c r="BM543" s="60"/>
      <c r="BN543" s="60"/>
      <c r="BO543" s="60"/>
      <c r="BR543" s="60"/>
      <c r="BS543" s="65"/>
      <c r="BU543" s="60"/>
      <c r="CF543" s="66"/>
      <c r="CP543" s="30"/>
    </row>
    <row r="544" spans="1:94" x14ac:dyDescent="0.3">
      <c r="A544" s="1">
        <v>90</v>
      </c>
      <c r="B544" s="1" t="s">
        <v>0</v>
      </c>
      <c r="C544" s="1" t="s">
        <v>14</v>
      </c>
      <c r="D544" s="1" t="s">
        <v>4</v>
      </c>
      <c r="E544" s="1">
        <v>1</v>
      </c>
      <c r="F544" s="1" t="s">
        <v>7</v>
      </c>
      <c r="G544" s="1">
        <v>7.05</v>
      </c>
      <c r="H544" s="1">
        <v>18</v>
      </c>
      <c r="I544" s="1">
        <v>4.4347000000000003</v>
      </c>
      <c r="J544" s="1">
        <v>3.7911000000000001</v>
      </c>
      <c r="K544" s="1">
        <v>14.512819356438994</v>
      </c>
      <c r="L544" s="1">
        <v>46.225531914893615</v>
      </c>
      <c r="M544" s="1">
        <f t="shared" si="43"/>
        <v>3.5107431602697341</v>
      </c>
      <c r="N544" s="1">
        <v>47.63</v>
      </c>
      <c r="O544" s="1">
        <v>1.591</v>
      </c>
      <c r="P544" s="1">
        <v>9.9440000000000008</v>
      </c>
      <c r="Q544" s="1">
        <v>0.311</v>
      </c>
      <c r="R544" s="1">
        <v>0.21162</v>
      </c>
      <c r="AF544" s="60"/>
      <c r="AG544" s="61"/>
      <c r="AJ544" s="60"/>
      <c r="AK544" s="62"/>
      <c r="AL544" s="63"/>
      <c r="AM544" s="63"/>
      <c r="AN544" s="64"/>
      <c r="AO544" s="63"/>
      <c r="AP544" s="60"/>
      <c r="AR544" s="60"/>
      <c r="AS544" s="62"/>
      <c r="AW544" s="60"/>
      <c r="AZ544" s="60"/>
      <c r="BC544" s="60"/>
      <c r="BK544" s="60"/>
      <c r="BL544" s="60"/>
      <c r="BM544" s="60"/>
      <c r="BN544" s="60"/>
      <c r="BO544" s="60"/>
      <c r="BR544" s="60"/>
      <c r="BS544" s="65"/>
      <c r="BU544" s="60"/>
      <c r="CF544" s="66"/>
      <c r="CP544" s="30"/>
    </row>
    <row r="545" spans="1:94" x14ac:dyDescent="0.3">
      <c r="A545" s="1">
        <v>200</v>
      </c>
      <c r="B545" s="1" t="s">
        <v>0</v>
      </c>
      <c r="C545" s="1" t="s">
        <v>1</v>
      </c>
      <c r="D545" s="1" t="s">
        <v>5</v>
      </c>
      <c r="E545" s="1">
        <v>4</v>
      </c>
      <c r="F545" s="1" t="s">
        <v>7</v>
      </c>
      <c r="G545" s="1">
        <v>7.05</v>
      </c>
      <c r="H545" s="1">
        <v>18</v>
      </c>
      <c r="I545" s="1">
        <v>12.268000000000001</v>
      </c>
      <c r="J545" s="1">
        <v>2.8279999999999998</v>
      </c>
      <c r="K545" s="1">
        <v>76.948157808933814</v>
      </c>
      <c r="L545" s="1">
        <v>59.88652482269503</v>
      </c>
      <c r="M545" s="1">
        <f t="shared" si="43"/>
        <v>3.8038296266860154</v>
      </c>
      <c r="N545" s="1">
        <v>41.9</v>
      </c>
      <c r="O545" s="1">
        <v>1.25</v>
      </c>
      <c r="P545" s="1">
        <v>7.8140000000000001</v>
      </c>
      <c r="Q545" s="1">
        <v>0.21099999999999999</v>
      </c>
      <c r="R545" s="1">
        <v>0.23499999999999999</v>
      </c>
      <c r="AF545" s="60"/>
      <c r="AG545" s="61"/>
      <c r="AJ545" s="60"/>
      <c r="AK545" s="62"/>
      <c r="AL545" s="63"/>
      <c r="AM545" s="63"/>
      <c r="AN545" s="64"/>
      <c r="AO545" s="63"/>
      <c r="AP545" s="60"/>
      <c r="AR545" s="60"/>
      <c r="AS545" s="62"/>
      <c r="AW545" s="60"/>
      <c r="AZ545" s="60"/>
      <c r="BC545" s="60"/>
      <c r="BK545" s="60"/>
      <c r="BL545" s="60"/>
      <c r="BM545" s="60"/>
      <c r="BN545" s="60"/>
      <c r="BO545" s="60"/>
      <c r="BR545" s="60"/>
      <c r="BS545" s="65"/>
      <c r="BU545" s="60"/>
      <c r="CF545" s="66"/>
      <c r="CP545" s="30"/>
    </row>
    <row r="546" spans="1:94" x14ac:dyDescent="0.3">
      <c r="A546" s="1">
        <v>204</v>
      </c>
      <c r="B546" s="1" t="s">
        <v>0</v>
      </c>
      <c r="C546" s="1" t="s">
        <v>1</v>
      </c>
      <c r="D546" s="1" t="s">
        <v>5</v>
      </c>
      <c r="E546" s="1">
        <v>3</v>
      </c>
      <c r="F546" s="1" t="s">
        <v>7</v>
      </c>
      <c r="G546" s="1">
        <v>7.08</v>
      </c>
      <c r="H546" s="1">
        <v>18</v>
      </c>
      <c r="I546" s="1">
        <v>4.0381999999999998</v>
      </c>
      <c r="J546" s="1">
        <v>2.7092999999999998</v>
      </c>
      <c r="K546" s="1">
        <v>32.90822643752167</v>
      </c>
      <c r="L546" s="1">
        <v>61.733050847457626</v>
      </c>
      <c r="M546" s="1">
        <f t="shared" si="43"/>
        <v>3.8509553666590675</v>
      </c>
      <c r="N546" s="1">
        <v>37.979999999999997</v>
      </c>
      <c r="O546" s="1">
        <v>1.6439999999999999</v>
      </c>
      <c r="P546" s="1">
        <v>10.273999999999999</v>
      </c>
      <c r="Q546" s="1">
        <v>0.245</v>
      </c>
      <c r="R546" s="1">
        <v>0.23762</v>
      </c>
      <c r="AF546" s="60"/>
      <c r="AG546" s="61"/>
      <c r="AJ546" s="60"/>
      <c r="AK546" s="62"/>
      <c r="AL546" s="63"/>
      <c r="AM546" s="63"/>
      <c r="AN546" s="64"/>
      <c r="AO546" s="63"/>
      <c r="AP546" s="60"/>
      <c r="AR546" s="60"/>
      <c r="AS546" s="62"/>
      <c r="AW546" s="60"/>
      <c r="AZ546" s="60"/>
      <c r="BC546" s="60"/>
      <c r="BK546" s="60"/>
      <c r="BL546" s="60"/>
      <c r="BM546" s="60"/>
      <c r="BN546" s="60"/>
      <c r="BO546" s="60"/>
      <c r="BR546" s="60"/>
      <c r="BS546" s="65"/>
      <c r="BU546" s="60"/>
      <c r="CF546" s="66"/>
      <c r="CP546" s="30"/>
    </row>
    <row r="547" spans="1:94" x14ac:dyDescent="0.3">
      <c r="A547" s="1">
        <v>216</v>
      </c>
      <c r="B547" s="1" t="s">
        <v>0</v>
      </c>
      <c r="C547" s="1" t="s">
        <v>14</v>
      </c>
      <c r="D547" s="1" t="s">
        <v>5</v>
      </c>
      <c r="E547" s="1">
        <v>1</v>
      </c>
      <c r="F547" s="1" t="s">
        <v>7</v>
      </c>
      <c r="G547" s="1">
        <v>6.99</v>
      </c>
      <c r="H547" s="1">
        <v>18</v>
      </c>
      <c r="I547" s="1">
        <v>5.0750000000000002</v>
      </c>
      <c r="J547" s="1">
        <v>3.6459999999999999</v>
      </c>
      <c r="K547" s="1">
        <v>28.157635467980302</v>
      </c>
      <c r="L547" s="1">
        <v>47.839771101573682</v>
      </c>
      <c r="M547" s="1">
        <f t="shared" si="43"/>
        <v>3.5412216378854122</v>
      </c>
      <c r="N547" s="1">
        <v>45.38</v>
      </c>
      <c r="O547" s="1">
        <v>1.5009999999999999</v>
      </c>
      <c r="P547" s="1">
        <v>9.3800000000000008</v>
      </c>
      <c r="Q547" s="1">
        <v>0.24299999999999999</v>
      </c>
      <c r="R547" s="1">
        <v>6.3619999999999996E-2</v>
      </c>
      <c r="AF547" s="60"/>
      <c r="AG547" s="61"/>
      <c r="AJ547" s="60"/>
      <c r="AK547" s="62"/>
      <c r="AL547" s="63"/>
      <c r="AM547" s="63"/>
      <c r="AN547" s="64"/>
      <c r="AO547" s="63"/>
      <c r="AP547" s="60"/>
      <c r="AR547" s="60"/>
      <c r="AS547" s="62"/>
      <c r="AW547" s="60"/>
      <c r="AZ547" s="60"/>
      <c r="BC547" s="60"/>
      <c r="BK547" s="60"/>
      <c r="BL547" s="60"/>
      <c r="BM547" s="60"/>
      <c r="BN547" s="60"/>
      <c r="BO547" s="60"/>
      <c r="BR547" s="60"/>
      <c r="BS547" s="65"/>
      <c r="BU547" s="60"/>
      <c r="CF547" s="66"/>
      <c r="CP547" s="30"/>
    </row>
    <row r="548" spans="1:94" x14ac:dyDescent="0.3">
      <c r="A548" s="1">
        <v>218</v>
      </c>
      <c r="B548" s="1" t="s">
        <v>0</v>
      </c>
      <c r="C548" s="1" t="s">
        <v>14</v>
      </c>
      <c r="D548" s="1" t="s">
        <v>5</v>
      </c>
      <c r="E548" s="1">
        <v>3</v>
      </c>
      <c r="F548" s="1" t="s">
        <v>7</v>
      </c>
      <c r="G548" s="1">
        <v>7</v>
      </c>
      <c r="H548" s="1">
        <v>18</v>
      </c>
      <c r="I548" s="1">
        <v>7.0010000000000003</v>
      </c>
      <c r="J548" s="1">
        <v>2.798</v>
      </c>
      <c r="K548" s="1">
        <v>60.034280817026143</v>
      </c>
      <c r="L548" s="1">
        <v>60.028571428571432</v>
      </c>
      <c r="M548" s="1">
        <f t="shared" si="43"/>
        <v>3.8073770307081887</v>
      </c>
      <c r="N548" s="1">
        <v>46.89</v>
      </c>
      <c r="O548" s="1">
        <v>1.893</v>
      </c>
      <c r="P548" s="1">
        <v>11.832000000000001</v>
      </c>
      <c r="Q548" s="1">
        <v>0.317</v>
      </c>
      <c r="R548" s="1">
        <v>0.29399999999999998</v>
      </c>
      <c r="AF548" s="60"/>
      <c r="AG548" s="61"/>
      <c r="AJ548" s="60"/>
      <c r="AK548" s="62"/>
      <c r="AL548" s="63"/>
      <c r="AM548" s="63"/>
      <c r="AN548" s="64"/>
      <c r="AO548" s="63"/>
      <c r="AP548" s="60"/>
      <c r="AR548" s="60"/>
      <c r="AS548" s="62"/>
      <c r="AW548" s="60"/>
      <c r="AZ548" s="60"/>
      <c r="BC548" s="60"/>
      <c r="BK548" s="60"/>
      <c r="BL548" s="60"/>
      <c r="BM548" s="60"/>
      <c r="BN548" s="60"/>
      <c r="BO548" s="60"/>
      <c r="BR548" s="60"/>
      <c r="BS548" s="65"/>
      <c r="BU548" s="60"/>
      <c r="CF548" s="66"/>
      <c r="CP548" s="30"/>
    </row>
    <row r="549" spans="1:94" x14ac:dyDescent="0.3">
      <c r="A549" s="1">
        <v>221</v>
      </c>
      <c r="B549" s="1" t="s">
        <v>0</v>
      </c>
      <c r="C549" s="1" t="s">
        <v>14</v>
      </c>
      <c r="D549" s="1" t="s">
        <v>5</v>
      </c>
      <c r="E549" s="1">
        <v>2</v>
      </c>
      <c r="F549" s="1" t="s">
        <v>7</v>
      </c>
      <c r="G549" s="1">
        <v>7.02</v>
      </c>
      <c r="H549" s="1">
        <v>18</v>
      </c>
      <c r="I549" s="1">
        <v>4.2119999999999997</v>
      </c>
      <c r="J549" s="1">
        <v>2.8069999999999999</v>
      </c>
      <c r="K549" s="1">
        <v>33.357075023741686</v>
      </c>
      <c r="L549" s="1">
        <v>60.014245014245006</v>
      </c>
      <c r="M549" s="1">
        <f t="shared" si="43"/>
        <v>3.8070186785541389</v>
      </c>
      <c r="N549" s="1">
        <v>47.51</v>
      </c>
      <c r="O549" s="1">
        <v>1.56</v>
      </c>
      <c r="P549" s="1">
        <v>9.7490000000000006</v>
      </c>
      <c r="Q549" s="1">
        <v>0.32200000000000001</v>
      </c>
      <c r="R549" s="1">
        <v>0.36700000000000005</v>
      </c>
      <c r="AF549" s="60"/>
      <c r="AG549" s="61"/>
      <c r="AJ549" s="60"/>
      <c r="AK549" s="62"/>
      <c r="AL549" s="63"/>
      <c r="AM549" s="63"/>
      <c r="AN549" s="64"/>
      <c r="AO549" s="63"/>
      <c r="AP549" s="60"/>
      <c r="AR549" s="60"/>
      <c r="AS549" s="62"/>
      <c r="AW549" s="60"/>
      <c r="AZ549" s="60"/>
      <c r="BC549" s="60"/>
      <c r="BK549" s="60"/>
      <c r="BL549" s="60"/>
      <c r="BM549" s="60"/>
      <c r="BN549" s="60"/>
      <c r="BO549" s="60"/>
      <c r="BR549" s="60"/>
      <c r="BS549" s="65"/>
      <c r="BU549" s="60"/>
      <c r="CF549" s="66"/>
      <c r="CP549" s="30"/>
    </row>
    <row r="550" spans="1:94" x14ac:dyDescent="0.3">
      <c r="A550" s="1">
        <v>232</v>
      </c>
      <c r="B550" s="1" t="s">
        <v>0</v>
      </c>
      <c r="C550" s="1" t="s">
        <v>1</v>
      </c>
      <c r="D550" s="1" t="s">
        <v>5</v>
      </c>
      <c r="E550" s="1">
        <v>1</v>
      </c>
      <c r="F550" s="1" t="s">
        <v>7</v>
      </c>
      <c r="G550" s="1">
        <v>7.03</v>
      </c>
      <c r="H550" s="1">
        <v>18</v>
      </c>
      <c r="I550" s="1">
        <v>4.5434000000000001</v>
      </c>
      <c r="J550" s="1">
        <v>3.4338000000000002</v>
      </c>
      <c r="K550" s="1">
        <v>24.422238851961083</v>
      </c>
      <c r="L550" s="1">
        <v>51.155049786628737</v>
      </c>
      <c r="M550" s="1">
        <f t="shared" si="43"/>
        <v>3.6068909440577634</v>
      </c>
      <c r="N550" s="1">
        <v>43.43</v>
      </c>
      <c r="O550" s="1">
        <v>1.4219999999999999</v>
      </c>
      <c r="P550" s="1">
        <v>8.89</v>
      </c>
      <c r="Q550" s="1">
        <v>0.246</v>
      </c>
      <c r="R550" s="1">
        <v>0.15062</v>
      </c>
      <c r="AF550" s="60"/>
      <c r="AG550" s="61"/>
      <c r="AJ550" s="60"/>
      <c r="AK550" s="62"/>
      <c r="AL550" s="63"/>
      <c r="AM550" s="63"/>
      <c r="AN550" s="64"/>
      <c r="AO550" s="63"/>
      <c r="AP550" s="60"/>
      <c r="AR550" s="60"/>
      <c r="AS550" s="62"/>
      <c r="AW550" s="60"/>
      <c r="AZ550" s="60"/>
      <c r="BC550" s="60"/>
      <c r="BK550" s="60"/>
      <c r="BL550" s="60"/>
      <c r="BM550" s="60"/>
      <c r="BN550" s="60"/>
      <c r="BO550" s="60"/>
      <c r="BR550" s="60"/>
      <c r="BS550" s="65"/>
      <c r="BU550" s="60"/>
      <c r="CF550" s="66"/>
      <c r="CP550" s="30"/>
    </row>
    <row r="551" spans="1:94" x14ac:dyDescent="0.3">
      <c r="A551" s="1">
        <v>234</v>
      </c>
      <c r="B551" s="1" t="s">
        <v>0</v>
      </c>
      <c r="C551" s="1" t="s">
        <v>14</v>
      </c>
      <c r="D551" s="1" t="s">
        <v>5</v>
      </c>
      <c r="E551" s="1">
        <v>5</v>
      </c>
      <c r="F551" s="1" t="s">
        <v>7</v>
      </c>
      <c r="G551" s="1">
        <v>6.98</v>
      </c>
      <c r="H551" s="1">
        <v>18</v>
      </c>
      <c r="I551" s="1">
        <v>4.87</v>
      </c>
      <c r="J551" s="1">
        <v>3.343</v>
      </c>
      <c r="K551" s="1">
        <v>31.355236139630392</v>
      </c>
      <c r="L551" s="1">
        <v>52.106017191977081</v>
      </c>
      <c r="M551" s="1">
        <f t="shared" si="43"/>
        <v>3.6265520672324842</v>
      </c>
      <c r="N551" s="1">
        <v>47.43</v>
      </c>
      <c r="O551" s="1">
        <v>1.1679999999999999</v>
      </c>
      <c r="P551" s="1">
        <v>7.3</v>
      </c>
      <c r="Q551" s="1">
        <v>0.316</v>
      </c>
      <c r="R551" s="1">
        <v>0.22662000000000002</v>
      </c>
      <c r="AF551" s="60"/>
      <c r="AG551" s="61"/>
      <c r="AJ551" s="60"/>
      <c r="AK551" s="62"/>
      <c r="AL551" s="63"/>
      <c r="AM551" s="63"/>
      <c r="AN551" s="64"/>
      <c r="AO551" s="63"/>
      <c r="AP551" s="60"/>
      <c r="AR551" s="60"/>
      <c r="AS551" s="62"/>
      <c r="AW551" s="60"/>
      <c r="AZ551" s="60"/>
      <c r="BC551" s="60"/>
      <c r="BK551" s="60"/>
      <c r="BL551" s="60"/>
      <c r="BM551" s="60"/>
      <c r="BN551" s="60"/>
      <c r="BO551" s="60"/>
      <c r="BR551" s="60"/>
      <c r="BS551" s="65"/>
      <c r="BU551" s="60"/>
      <c r="CF551" s="66"/>
      <c r="CP551" s="30"/>
    </row>
    <row r="552" spans="1:94" x14ac:dyDescent="0.3">
      <c r="A552" s="1">
        <v>303</v>
      </c>
      <c r="B552" s="1" t="s">
        <v>2</v>
      </c>
      <c r="C552" s="1" t="s">
        <v>14</v>
      </c>
      <c r="D552" s="1" t="s">
        <v>4</v>
      </c>
      <c r="E552" s="1">
        <v>4</v>
      </c>
      <c r="F552" s="1" t="s">
        <v>7</v>
      </c>
      <c r="G552" s="1">
        <v>7.06</v>
      </c>
      <c r="H552" s="1">
        <v>18</v>
      </c>
      <c r="I552" s="1">
        <v>6.2767999999999997</v>
      </c>
      <c r="J552" s="1">
        <v>2.7496999999999998</v>
      </c>
      <c r="K552" s="1">
        <v>56.192645934234008</v>
      </c>
      <c r="L552" s="1">
        <v>61.052407932011334</v>
      </c>
      <c r="M552" s="1">
        <f t="shared" si="43"/>
        <v>3.8333249945827723</v>
      </c>
      <c r="N552" s="1">
        <v>47.12</v>
      </c>
      <c r="O552" s="1">
        <v>1.873</v>
      </c>
      <c r="P552" s="1">
        <v>11.706</v>
      </c>
      <c r="Q552" s="1">
        <v>0.20899999999999999</v>
      </c>
      <c r="R552" s="1">
        <v>0.56400000000000006</v>
      </c>
      <c r="AF552" s="60"/>
      <c r="AG552" s="61"/>
      <c r="AJ552" s="60"/>
      <c r="AK552" s="62"/>
      <c r="AL552" s="63"/>
      <c r="AM552" s="63"/>
      <c r="AN552" s="64"/>
      <c r="AO552" s="63"/>
      <c r="AP552" s="60"/>
      <c r="AR552" s="60"/>
      <c r="AS552" s="62"/>
      <c r="AW552" s="60"/>
      <c r="AZ552" s="60"/>
      <c r="BC552" s="60"/>
      <c r="BK552" s="60"/>
      <c r="BL552" s="60"/>
      <c r="BM552" s="60"/>
      <c r="BN552" s="60"/>
      <c r="BO552" s="60"/>
      <c r="BR552" s="60"/>
      <c r="BS552" s="65"/>
      <c r="BU552" s="60"/>
      <c r="CF552" s="66"/>
      <c r="CP552" s="30"/>
    </row>
    <row r="553" spans="1:94" x14ac:dyDescent="0.3">
      <c r="A553" s="1">
        <v>306</v>
      </c>
      <c r="B553" s="1" t="s">
        <v>2</v>
      </c>
      <c r="C553" s="1" t="s">
        <v>1</v>
      </c>
      <c r="D553" s="1" t="s">
        <v>4</v>
      </c>
      <c r="E553" s="1">
        <v>4</v>
      </c>
      <c r="F553" s="1" t="s">
        <v>7</v>
      </c>
      <c r="G553" s="1">
        <v>7.03</v>
      </c>
      <c r="H553" s="1">
        <v>18</v>
      </c>
      <c r="I553" s="1">
        <v>7.5119999999999996</v>
      </c>
      <c r="J553" s="1">
        <v>4.1561000000000003</v>
      </c>
      <c r="K553" s="1">
        <v>44.673855165069213</v>
      </c>
      <c r="L553" s="1">
        <v>40.880512091038398</v>
      </c>
      <c r="M553" s="1">
        <f t="shared" si="43"/>
        <v>3.4159813291735426</v>
      </c>
      <c r="N553" s="1">
        <v>45.92</v>
      </c>
      <c r="O553" s="1">
        <v>1.8919999999999999</v>
      </c>
      <c r="P553" s="1">
        <v>11.826000000000001</v>
      </c>
      <c r="Q553" s="1">
        <v>0.4</v>
      </c>
      <c r="R553" s="1">
        <v>0.52461999999999998</v>
      </c>
      <c r="AF553" s="60"/>
      <c r="AG553" s="61"/>
      <c r="AJ553" s="60"/>
      <c r="AK553" s="62"/>
      <c r="AL553" s="63"/>
      <c r="AM553" s="63"/>
      <c r="AN553" s="64"/>
      <c r="AO553" s="63"/>
      <c r="AP553" s="60"/>
      <c r="AR553" s="60"/>
      <c r="AS553" s="62"/>
      <c r="AW553" s="60"/>
      <c r="AZ553" s="60"/>
      <c r="BC553" s="60"/>
      <c r="BK553" s="60"/>
      <c r="BL553" s="60"/>
      <c r="BM553" s="60"/>
      <c r="BN553" s="60"/>
      <c r="BO553" s="60"/>
      <c r="BR553" s="60"/>
      <c r="BS553" s="65"/>
      <c r="BU553" s="60"/>
      <c r="CF553" s="66"/>
      <c r="CP553" s="30"/>
    </row>
    <row r="554" spans="1:94" x14ac:dyDescent="0.3">
      <c r="A554" s="1">
        <v>319</v>
      </c>
      <c r="B554" s="1" t="s">
        <v>2</v>
      </c>
      <c r="C554" s="1" t="s">
        <v>1</v>
      </c>
      <c r="D554" s="1" t="s">
        <v>4</v>
      </c>
      <c r="E554" s="1">
        <v>1</v>
      </c>
      <c r="F554" s="1" t="s">
        <v>7</v>
      </c>
      <c r="G554" s="1">
        <v>7.02</v>
      </c>
      <c r="H554" s="1">
        <v>18</v>
      </c>
      <c r="I554" s="1">
        <v>25.846</v>
      </c>
      <c r="J554" s="1">
        <v>2</v>
      </c>
      <c r="K554" s="1">
        <v>92.261858701539893</v>
      </c>
      <c r="L554" s="1">
        <v>71.509971509971507</v>
      </c>
      <c r="M554" s="1">
        <f t="shared" si="43"/>
        <v>4.145987795373939</v>
      </c>
      <c r="N554" s="1">
        <v>45.73</v>
      </c>
      <c r="O554" s="1">
        <v>1.827</v>
      </c>
      <c r="P554" s="1">
        <v>11.420999999999999</v>
      </c>
      <c r="Q554" s="1">
        <v>0.22700000000000001</v>
      </c>
      <c r="R554" s="1">
        <v>0.10561999999999999</v>
      </c>
      <c r="AF554" s="60"/>
      <c r="AG554" s="61"/>
      <c r="AJ554" s="60"/>
      <c r="AK554" s="62"/>
      <c r="AL554" s="63"/>
      <c r="AM554" s="63"/>
      <c r="AN554" s="64"/>
      <c r="AO554" s="63"/>
      <c r="AP554" s="60"/>
      <c r="AR554" s="60"/>
      <c r="AS554" s="62"/>
      <c r="AW554" s="60"/>
      <c r="AZ554" s="60"/>
      <c r="BC554" s="60"/>
      <c r="BK554" s="60"/>
      <c r="BL554" s="60"/>
      <c r="BM554" s="60"/>
      <c r="BN554" s="60"/>
      <c r="BO554" s="60"/>
      <c r="BR554" s="60"/>
      <c r="BS554" s="65"/>
      <c r="BU554" s="60"/>
      <c r="CF554" s="66"/>
      <c r="CP554" s="30"/>
    </row>
    <row r="555" spans="1:94" x14ac:dyDescent="0.3">
      <c r="A555" s="1">
        <v>340</v>
      </c>
      <c r="B555" s="1" t="s">
        <v>2</v>
      </c>
      <c r="C555" s="1" t="s">
        <v>14</v>
      </c>
      <c r="D555" s="1" t="s">
        <v>4</v>
      </c>
      <c r="E555" s="1">
        <v>1</v>
      </c>
      <c r="F555" s="1" t="s">
        <v>7</v>
      </c>
      <c r="G555" s="1">
        <v>7.01</v>
      </c>
      <c r="H555" s="1">
        <v>18</v>
      </c>
      <c r="I555" s="1">
        <v>7.2756999999999996</v>
      </c>
      <c r="J555" s="1">
        <v>3.0716000000000001</v>
      </c>
      <c r="K555" s="1">
        <v>57.782756298363033</v>
      </c>
      <c r="L555" s="1">
        <v>56.182596291012828</v>
      </c>
      <c r="M555" s="1">
        <f t="shared" si="43"/>
        <v>3.7155108604684122</v>
      </c>
      <c r="N555" s="1">
        <v>37.200000000000003</v>
      </c>
      <c r="O555" s="1">
        <v>1.786</v>
      </c>
      <c r="P555" s="1">
        <v>11.162000000000001</v>
      </c>
      <c r="Q555" s="1">
        <v>0.34699999999999998</v>
      </c>
      <c r="R555" s="1">
        <v>0.34162000000000003</v>
      </c>
      <c r="AF555" s="60"/>
      <c r="AG555" s="61"/>
      <c r="AJ555" s="60"/>
      <c r="AK555" s="62"/>
      <c r="AL555" s="63"/>
      <c r="AM555" s="63"/>
      <c r="AN555" s="64"/>
      <c r="AO555" s="63"/>
      <c r="AP555" s="60"/>
      <c r="AR555" s="60"/>
      <c r="AS555" s="62"/>
      <c r="AW555" s="60"/>
      <c r="AZ555" s="60"/>
      <c r="BC555" s="60"/>
      <c r="BK555" s="60"/>
      <c r="BL555" s="60"/>
      <c r="BM555" s="60"/>
      <c r="BN555" s="60"/>
      <c r="BO555" s="60"/>
      <c r="BR555" s="60"/>
      <c r="BS555" s="65"/>
      <c r="BU555" s="60"/>
      <c r="CF555" s="66"/>
      <c r="CP555" s="30"/>
    </row>
    <row r="556" spans="1:94" x14ac:dyDescent="0.3">
      <c r="A556" s="1">
        <v>343</v>
      </c>
      <c r="B556" s="1" t="s">
        <v>2</v>
      </c>
      <c r="C556" s="1" t="s">
        <v>14</v>
      </c>
      <c r="D556" s="1" t="s">
        <v>4</v>
      </c>
      <c r="E556" s="1">
        <v>3</v>
      </c>
      <c r="F556" s="1" t="s">
        <v>7</v>
      </c>
      <c r="G556" s="1">
        <v>7.01</v>
      </c>
      <c r="H556" s="1">
        <v>18</v>
      </c>
      <c r="I556" s="1">
        <v>10.6053</v>
      </c>
      <c r="J556" s="1">
        <v>2.3628999999999998</v>
      </c>
      <c r="K556" s="1">
        <v>77.719630750662404</v>
      </c>
      <c r="L556" s="1">
        <v>66.292439372325248</v>
      </c>
      <c r="M556" s="1">
        <f t="shared" si="43"/>
        <v>3.9778197807192783</v>
      </c>
      <c r="N556" s="1">
        <v>46.93</v>
      </c>
      <c r="O556" s="1">
        <v>1.7070000000000001</v>
      </c>
      <c r="P556" s="1">
        <v>10.666</v>
      </c>
      <c r="Q556" s="1">
        <v>0.35799999999999998</v>
      </c>
      <c r="R556" s="1">
        <v>0.48061999999999999</v>
      </c>
      <c r="AF556" s="60"/>
      <c r="AG556" s="61"/>
      <c r="AJ556" s="60"/>
      <c r="AK556" s="62"/>
      <c r="AL556" s="63"/>
      <c r="AM556" s="63"/>
      <c r="AN556" s="64"/>
      <c r="AO556" s="63"/>
      <c r="AP556" s="60"/>
      <c r="AR556" s="60"/>
      <c r="AS556" s="62"/>
      <c r="AW556" s="60"/>
      <c r="AZ556" s="60"/>
      <c r="BC556" s="60"/>
      <c r="BK556" s="60"/>
      <c r="BL556" s="60"/>
      <c r="BM556" s="60"/>
      <c r="BN556" s="60"/>
      <c r="BO556" s="60"/>
      <c r="BR556" s="60"/>
      <c r="BS556" s="65"/>
      <c r="BU556" s="60"/>
      <c r="CF556" s="66"/>
      <c r="CP556" s="30"/>
    </row>
    <row r="557" spans="1:94" x14ac:dyDescent="0.3">
      <c r="A557" s="1">
        <v>360</v>
      </c>
      <c r="B557" s="1" t="s">
        <v>2</v>
      </c>
      <c r="C557" s="1" t="s">
        <v>1</v>
      </c>
      <c r="D557" s="1" t="s">
        <v>4</v>
      </c>
      <c r="E557" s="1">
        <v>2</v>
      </c>
      <c r="F557" s="1" t="s">
        <v>7</v>
      </c>
      <c r="G557" s="1">
        <v>7.01</v>
      </c>
      <c r="H557" s="1">
        <v>18</v>
      </c>
      <c r="I557" s="1">
        <v>8.5434999999999999</v>
      </c>
      <c r="J557" s="1">
        <v>2.7999000000000001</v>
      </c>
      <c r="K557" s="1">
        <v>67.227716977819398</v>
      </c>
      <c r="L557" s="1">
        <v>60.058487874465051</v>
      </c>
      <c r="M557" s="1">
        <f t="shared" si="43"/>
        <v>3.8081257566849898</v>
      </c>
      <c r="N557" s="1">
        <v>46.18</v>
      </c>
      <c r="O557" s="1">
        <v>1.726</v>
      </c>
      <c r="P557" s="1">
        <v>10.788</v>
      </c>
      <c r="Q557" s="1">
        <v>0.16300000000000001</v>
      </c>
      <c r="R557" s="1">
        <v>0.29061999999999999</v>
      </c>
      <c r="AF557" s="60"/>
      <c r="AG557" s="61"/>
      <c r="AJ557" s="60"/>
      <c r="AK557" s="62"/>
      <c r="AL557" s="63"/>
      <c r="AM557" s="63"/>
      <c r="AN557" s="64"/>
      <c r="AO557" s="63"/>
      <c r="AP557" s="60"/>
      <c r="AR557" s="60"/>
      <c r="AS557" s="62"/>
      <c r="AW557" s="60"/>
      <c r="AZ557" s="60"/>
      <c r="BC557" s="60"/>
      <c r="BK557" s="60"/>
      <c r="BL557" s="60"/>
      <c r="BM557" s="60"/>
      <c r="BN557" s="60"/>
      <c r="BO557" s="60"/>
      <c r="BR557" s="60"/>
      <c r="BS557" s="65"/>
      <c r="BU557" s="60"/>
      <c r="CF557" s="66"/>
      <c r="CP557" s="30"/>
    </row>
    <row r="558" spans="1:94" x14ac:dyDescent="0.3">
      <c r="A558" s="1">
        <v>427</v>
      </c>
      <c r="B558" s="1" t="s">
        <v>2</v>
      </c>
      <c r="C558" s="1" t="s">
        <v>1</v>
      </c>
      <c r="D558" s="1" t="s">
        <v>5</v>
      </c>
      <c r="E558" s="1">
        <v>2</v>
      </c>
      <c r="F558" s="1" t="s">
        <v>7</v>
      </c>
      <c r="G558" s="1">
        <v>6.97</v>
      </c>
      <c r="H558" s="1">
        <v>18</v>
      </c>
      <c r="I558" s="1">
        <v>7.3247</v>
      </c>
      <c r="J558" s="1">
        <v>3.8814000000000002</v>
      </c>
      <c r="K558" s="1">
        <v>47.009433833467575</v>
      </c>
      <c r="L558" s="1">
        <v>44.312769010043034</v>
      </c>
      <c r="M558" s="1">
        <f t="shared" si="43"/>
        <v>3.4757910693727396</v>
      </c>
      <c r="N558" s="1">
        <v>47.55</v>
      </c>
      <c r="O558" s="1">
        <v>1.2929999999999999</v>
      </c>
      <c r="P558" s="1">
        <v>8.0790000000000006</v>
      </c>
      <c r="Q558" s="1">
        <v>0.28599999999999998</v>
      </c>
      <c r="R558" s="1">
        <v>0.35361999999999999</v>
      </c>
      <c r="AF558" s="60"/>
      <c r="AG558" s="61"/>
      <c r="AJ558" s="60"/>
      <c r="AK558" s="62"/>
      <c r="AL558" s="63"/>
      <c r="AM558" s="63"/>
      <c r="AN558" s="64"/>
      <c r="AO558" s="63"/>
      <c r="AP558" s="60"/>
      <c r="AR558" s="60"/>
      <c r="AS558" s="62"/>
      <c r="AW558" s="60"/>
      <c r="AZ558" s="60"/>
      <c r="BC558" s="60"/>
      <c r="BK558" s="60"/>
      <c r="BL558" s="60"/>
      <c r="BM558" s="60"/>
      <c r="BN558" s="60"/>
      <c r="BO558" s="60"/>
      <c r="BR558" s="60"/>
      <c r="BS558" s="65"/>
      <c r="BU558" s="60"/>
      <c r="CF558" s="66"/>
      <c r="CP558" s="30"/>
    </row>
    <row r="559" spans="1:94" x14ac:dyDescent="0.3">
      <c r="A559" s="1">
        <v>435</v>
      </c>
      <c r="B559" s="1" t="s">
        <v>2</v>
      </c>
      <c r="C559" s="1" t="s">
        <v>1</v>
      </c>
      <c r="D559" s="1" t="s">
        <v>4</v>
      </c>
      <c r="E559" s="1">
        <v>3</v>
      </c>
      <c r="F559" s="1" t="s">
        <v>7</v>
      </c>
      <c r="G559" s="1">
        <v>7.09</v>
      </c>
      <c r="H559" s="1">
        <v>18</v>
      </c>
      <c r="I559" s="1">
        <v>23.710999999999999</v>
      </c>
      <c r="J559" s="1">
        <v>2.456</v>
      </c>
      <c r="K559" s="1">
        <v>89.641938340854452</v>
      </c>
      <c r="L559" s="1">
        <v>65.359661495063477</v>
      </c>
      <c r="M559" s="1">
        <f t="shared" si="43"/>
        <v>3.9505230881553048</v>
      </c>
      <c r="N559" s="1">
        <v>44.96</v>
      </c>
      <c r="O559" s="1">
        <v>1.48</v>
      </c>
      <c r="P559" s="1">
        <v>9.2479999999999993</v>
      </c>
      <c r="Q559" s="1">
        <v>0.25</v>
      </c>
      <c r="R559" s="1">
        <v>0.21200000000000002</v>
      </c>
      <c r="AF559" s="60"/>
      <c r="AG559" s="61"/>
      <c r="AJ559" s="60"/>
      <c r="AK559" s="62"/>
      <c r="AL559" s="63"/>
      <c r="AM559" s="63"/>
      <c r="AN559" s="64"/>
      <c r="AO559" s="63"/>
      <c r="AP559" s="60"/>
      <c r="AR559" s="60"/>
      <c r="AS559" s="62"/>
      <c r="AW559" s="60"/>
      <c r="AZ559" s="60"/>
      <c r="BC559" s="60"/>
      <c r="BK559" s="60"/>
      <c r="BL559" s="60"/>
      <c r="BM559" s="60"/>
      <c r="BN559" s="60"/>
      <c r="BO559" s="60"/>
      <c r="BR559" s="60"/>
      <c r="BS559" s="65"/>
      <c r="BU559" s="60"/>
      <c r="CF559" s="66"/>
      <c r="CP559" s="30"/>
    </row>
    <row r="560" spans="1:94" x14ac:dyDescent="0.3">
      <c r="A560" s="1">
        <v>440</v>
      </c>
      <c r="B560" s="1" t="s">
        <v>2</v>
      </c>
      <c r="C560" s="1" t="s">
        <v>1</v>
      </c>
      <c r="D560" s="1" t="s">
        <v>5</v>
      </c>
      <c r="E560" s="1">
        <v>5</v>
      </c>
      <c r="F560" s="1" t="s">
        <v>7</v>
      </c>
      <c r="G560" s="1">
        <v>7.03</v>
      </c>
      <c r="H560" s="1">
        <v>18</v>
      </c>
      <c r="I560" s="1">
        <v>12.102399999999999</v>
      </c>
      <c r="J560" s="1">
        <v>3.8773</v>
      </c>
      <c r="K560" s="1">
        <v>67.962552882072984</v>
      </c>
      <c r="L560" s="1">
        <v>44.846372688477956</v>
      </c>
      <c r="M560" s="1">
        <f t="shared" si="43"/>
        <v>3.4854194286065039</v>
      </c>
      <c r="N560" s="1">
        <v>45.9</v>
      </c>
      <c r="O560" s="1">
        <v>1.74</v>
      </c>
      <c r="P560" s="1">
        <v>10.877000000000001</v>
      </c>
      <c r="Q560" s="1">
        <v>0.28899999999999998</v>
      </c>
      <c r="R560" s="1">
        <v>0.29161999999999999</v>
      </c>
      <c r="AF560" s="60"/>
      <c r="AG560" s="61"/>
      <c r="AJ560" s="60"/>
      <c r="AK560" s="62"/>
      <c r="AL560" s="63"/>
      <c r="AM560" s="63"/>
      <c r="AN560" s="64"/>
      <c r="AO560" s="63"/>
      <c r="AP560" s="60"/>
      <c r="AR560" s="60"/>
      <c r="AS560" s="62"/>
      <c r="AW560" s="60"/>
      <c r="AZ560" s="60"/>
      <c r="BC560" s="60"/>
      <c r="BK560" s="60"/>
      <c r="BL560" s="60"/>
      <c r="BM560" s="60"/>
      <c r="BN560" s="60"/>
      <c r="BO560" s="60"/>
      <c r="BR560" s="60"/>
      <c r="BS560" s="65"/>
      <c r="BU560" s="60"/>
      <c r="CF560" s="66"/>
      <c r="CP560" s="30"/>
    </row>
    <row r="561" spans="1:94" x14ac:dyDescent="0.3">
      <c r="A561" s="1">
        <v>447</v>
      </c>
      <c r="B561" s="1" t="s">
        <v>2</v>
      </c>
      <c r="C561" s="1" t="s">
        <v>14</v>
      </c>
      <c r="D561" s="1" t="s">
        <v>5</v>
      </c>
      <c r="E561" s="1">
        <v>3</v>
      </c>
      <c r="F561" s="1" t="s">
        <v>7</v>
      </c>
      <c r="G561" s="1">
        <v>7</v>
      </c>
      <c r="H561" s="1">
        <v>18</v>
      </c>
      <c r="I561" s="1">
        <v>9.3742999999999999</v>
      </c>
      <c r="J561" s="1">
        <v>2.6974</v>
      </c>
      <c r="K561" s="1">
        <v>71.225584843668315</v>
      </c>
      <c r="L561" s="1">
        <v>61.465714285714292</v>
      </c>
      <c r="M561" s="1">
        <f t="shared" si="43"/>
        <v>3.843993560850858</v>
      </c>
      <c r="N561" s="1">
        <v>45.94</v>
      </c>
      <c r="O561" s="1">
        <v>1.6870000000000001</v>
      </c>
      <c r="P561" s="1">
        <v>10.545999999999999</v>
      </c>
      <c r="Q561" s="1">
        <v>0.28599999999999998</v>
      </c>
      <c r="R561" s="1">
        <v>0.23062000000000002</v>
      </c>
      <c r="AF561" s="60"/>
      <c r="AG561" s="61"/>
      <c r="AJ561" s="60"/>
      <c r="AK561" s="62"/>
      <c r="AL561" s="63"/>
      <c r="AM561" s="63"/>
      <c r="AN561" s="64"/>
      <c r="AO561" s="63"/>
      <c r="AP561" s="60"/>
      <c r="AR561" s="60"/>
      <c r="AS561" s="62"/>
      <c r="AW561" s="60"/>
      <c r="AZ561" s="60"/>
      <c r="BC561" s="60"/>
      <c r="BK561" s="60"/>
      <c r="BL561" s="60"/>
      <c r="BM561" s="60"/>
      <c r="BN561" s="60"/>
      <c r="BO561" s="60"/>
      <c r="BR561" s="60"/>
      <c r="BS561" s="65"/>
      <c r="BU561" s="60"/>
      <c r="CF561" s="66"/>
      <c r="CP561" s="30"/>
    </row>
    <row r="562" spans="1:94" x14ac:dyDescent="0.3">
      <c r="A562" s="1">
        <v>452</v>
      </c>
      <c r="B562" s="1" t="s">
        <v>2</v>
      </c>
      <c r="C562" s="1" t="s">
        <v>1</v>
      </c>
      <c r="D562" s="1" t="s">
        <v>5</v>
      </c>
      <c r="E562" s="1">
        <v>3</v>
      </c>
      <c r="F562" s="1" t="s">
        <v>7</v>
      </c>
      <c r="G562" s="1">
        <v>7.01</v>
      </c>
      <c r="H562" s="1">
        <v>18</v>
      </c>
      <c r="I562" s="1">
        <v>5.0590999999999999</v>
      </c>
      <c r="J562" s="1">
        <v>3.3264</v>
      </c>
      <c r="K562" s="1">
        <v>34.249174754402958</v>
      </c>
      <c r="L562" s="1">
        <v>52.547788873038513</v>
      </c>
      <c r="M562" s="1">
        <f t="shared" si="43"/>
        <v>3.635818820821052</v>
      </c>
      <c r="N562" s="1">
        <v>47.01</v>
      </c>
      <c r="O562" s="1">
        <v>1.508</v>
      </c>
      <c r="P562" s="1">
        <v>9.4239999999999995</v>
      </c>
      <c r="Q562" s="1">
        <v>0.26900000000000002</v>
      </c>
      <c r="R562" s="1">
        <v>0.19162000000000001</v>
      </c>
      <c r="AF562" s="60"/>
      <c r="AG562" s="61"/>
      <c r="AJ562" s="60"/>
      <c r="AK562" s="62"/>
      <c r="AL562" s="63"/>
      <c r="AM562" s="63"/>
      <c r="AN562" s="64"/>
      <c r="AO562" s="63"/>
      <c r="AP562" s="60"/>
      <c r="AR562" s="60"/>
      <c r="AS562" s="62"/>
      <c r="AW562" s="60"/>
      <c r="AZ562" s="60"/>
      <c r="BC562" s="60"/>
      <c r="BK562" s="60"/>
      <c r="BL562" s="60"/>
      <c r="BM562" s="60"/>
      <c r="BN562" s="60"/>
      <c r="BO562" s="60"/>
      <c r="BR562" s="60"/>
      <c r="BS562" s="65"/>
      <c r="BU562" s="60"/>
      <c r="CF562" s="66"/>
      <c r="CP562" s="30"/>
    </row>
    <row r="563" spans="1:94" x14ac:dyDescent="0.3">
      <c r="A563" s="1">
        <v>463</v>
      </c>
      <c r="B563" s="1" t="s">
        <v>2</v>
      </c>
      <c r="C563" s="1" t="s">
        <v>14</v>
      </c>
      <c r="D563" s="1" t="s">
        <v>5</v>
      </c>
      <c r="E563" s="1">
        <v>4</v>
      </c>
      <c r="F563" s="1" t="s">
        <v>7</v>
      </c>
      <c r="G563" s="1">
        <v>6.98</v>
      </c>
      <c r="H563" s="1">
        <v>18</v>
      </c>
      <c r="I563" s="1">
        <v>9.3079999999999998</v>
      </c>
      <c r="J563" s="1">
        <v>3.5206</v>
      </c>
      <c r="K563" s="1">
        <v>62.176622260421141</v>
      </c>
      <c r="L563" s="1">
        <v>49.561604584527224</v>
      </c>
      <c r="M563" s="1">
        <f t="shared" si="43"/>
        <v>3.5747892450407108</v>
      </c>
      <c r="N563" s="1">
        <v>44.91</v>
      </c>
      <c r="O563" s="1">
        <v>1.623</v>
      </c>
      <c r="P563" s="1">
        <v>10.141999999999999</v>
      </c>
      <c r="Q563" s="1">
        <v>0.29799999999999999</v>
      </c>
      <c r="R563" s="1">
        <v>0.29799999999999999</v>
      </c>
      <c r="AF563" s="60"/>
      <c r="AG563" s="61"/>
      <c r="AJ563" s="60"/>
      <c r="AK563" s="62"/>
      <c r="AL563" s="63"/>
      <c r="AM563" s="63"/>
      <c r="AN563" s="64"/>
      <c r="AO563" s="63"/>
      <c r="AP563" s="60"/>
      <c r="AR563" s="60"/>
      <c r="AS563" s="62"/>
      <c r="AW563" s="60"/>
      <c r="AZ563" s="60"/>
      <c r="BC563" s="60"/>
      <c r="BK563" s="60"/>
      <c r="BL563" s="60"/>
      <c r="BM563" s="60"/>
      <c r="BN563" s="60"/>
      <c r="BO563" s="60"/>
      <c r="BR563" s="60"/>
      <c r="BS563" s="65"/>
      <c r="BU563" s="60"/>
      <c r="CF563" s="66"/>
      <c r="CP563" s="30"/>
    </row>
    <row r="564" spans="1:94" x14ac:dyDescent="0.3">
      <c r="A564" s="1">
        <v>470</v>
      </c>
      <c r="B564" s="1" t="s">
        <v>2</v>
      </c>
      <c r="C564" s="1" t="s">
        <v>1</v>
      </c>
      <c r="D564" s="1" t="s">
        <v>5</v>
      </c>
      <c r="E564" s="1">
        <v>4</v>
      </c>
      <c r="F564" s="1" t="s">
        <v>7</v>
      </c>
      <c r="G564" s="1">
        <v>6.92</v>
      </c>
      <c r="H564" s="1">
        <v>18</v>
      </c>
      <c r="I564" s="1">
        <v>16.217099999999999</v>
      </c>
      <c r="J564" s="1">
        <v>4.1101999999999999</v>
      </c>
      <c r="K564" s="1">
        <v>74.655147961102784</v>
      </c>
      <c r="L564" s="1">
        <v>40.604046242774565</v>
      </c>
      <c r="M564" s="1">
        <f t="shared" si="43"/>
        <v>3.4113158384010602</v>
      </c>
      <c r="N564" s="1">
        <v>46.21</v>
      </c>
      <c r="O564" s="1">
        <v>1.9</v>
      </c>
      <c r="P564" s="1">
        <v>11.875</v>
      </c>
      <c r="Q564" s="1">
        <v>0.66500000000000004</v>
      </c>
      <c r="R564" s="1">
        <v>0.40599999999999997</v>
      </c>
      <c r="AF564" s="60"/>
      <c r="AG564" s="61"/>
      <c r="AJ564" s="60"/>
      <c r="AK564" s="62"/>
      <c r="AL564" s="63"/>
      <c r="AM564" s="63"/>
      <c r="AN564" s="64"/>
      <c r="AO564" s="63"/>
      <c r="AP564" s="60"/>
      <c r="AR564" s="60"/>
      <c r="AS564" s="62"/>
      <c r="AW564" s="60"/>
      <c r="AZ564" s="60"/>
      <c r="BC564" s="60"/>
      <c r="BK564" s="60"/>
      <c r="BL564" s="60"/>
      <c r="BM564" s="60"/>
      <c r="BN564" s="60"/>
      <c r="BO564" s="60"/>
      <c r="BR564" s="60"/>
      <c r="BS564" s="65"/>
      <c r="BU564" s="60"/>
      <c r="CF564" s="66"/>
      <c r="CP564" s="30"/>
    </row>
    <row r="565" spans="1:94" x14ac:dyDescent="0.3">
      <c r="A565" s="1">
        <v>543</v>
      </c>
      <c r="B565" s="1" t="s">
        <v>3</v>
      </c>
      <c r="C565" s="1" t="s">
        <v>1</v>
      </c>
      <c r="D565" s="1" t="s">
        <v>4</v>
      </c>
      <c r="E565" s="1">
        <v>2</v>
      </c>
      <c r="F565" s="1" t="s">
        <v>7</v>
      </c>
      <c r="G565" s="1">
        <v>6.97</v>
      </c>
      <c r="H565" s="1">
        <v>18</v>
      </c>
      <c r="I565" s="1">
        <v>6.5140000000000002</v>
      </c>
      <c r="J565" s="1">
        <v>2.6917</v>
      </c>
      <c r="K565" s="1">
        <v>41.321768498618361</v>
      </c>
      <c r="L565" s="1">
        <v>61.381635581061687</v>
      </c>
      <c r="M565" s="1">
        <f t="shared" si="43"/>
        <v>3.8418140184037379</v>
      </c>
      <c r="N565" s="1">
        <v>44.57</v>
      </c>
      <c r="O565" s="1">
        <v>1.5449999999999999</v>
      </c>
      <c r="P565" s="1">
        <v>9.6530000000000005</v>
      </c>
      <c r="Q565" s="1">
        <v>0.26400000000000001</v>
      </c>
      <c r="R565" s="1">
        <v>0.31162000000000001</v>
      </c>
      <c r="AF565" s="60"/>
      <c r="AG565" s="61"/>
      <c r="AJ565" s="60"/>
      <c r="AK565" s="62"/>
      <c r="AL565" s="63"/>
      <c r="AM565" s="63"/>
      <c r="AN565" s="64"/>
      <c r="AO565" s="63"/>
      <c r="AP565" s="60"/>
      <c r="AR565" s="60"/>
      <c r="AS565" s="62"/>
      <c r="AW565" s="60"/>
      <c r="AZ565" s="60"/>
      <c r="BC565" s="60"/>
      <c r="BK565" s="60"/>
      <c r="BL565" s="60"/>
      <c r="BM565" s="60"/>
      <c r="BN565" s="60"/>
      <c r="BO565" s="60"/>
      <c r="BR565" s="60"/>
      <c r="BS565" s="65"/>
      <c r="BU565" s="60"/>
      <c r="CF565" s="66"/>
      <c r="CP565" s="30"/>
    </row>
    <row r="566" spans="1:94" x14ac:dyDescent="0.3">
      <c r="A566" s="1">
        <v>547</v>
      </c>
      <c r="B566" s="1" t="s">
        <v>3</v>
      </c>
      <c r="C566" s="1" t="s">
        <v>1</v>
      </c>
      <c r="D566" s="1" t="s">
        <v>4</v>
      </c>
      <c r="E566" s="1">
        <v>1</v>
      </c>
      <c r="F566" s="1" t="s">
        <v>7</v>
      </c>
      <c r="G566" s="1">
        <v>6.99</v>
      </c>
      <c r="H566" s="1">
        <v>18</v>
      </c>
      <c r="I566" s="1">
        <v>4.7830000000000004</v>
      </c>
      <c r="J566" s="1">
        <v>2.4188000000000001</v>
      </c>
      <c r="K566" s="1">
        <v>50.570771482333264</v>
      </c>
      <c r="L566" s="1">
        <v>65.396280400572252</v>
      </c>
      <c r="M566" s="1">
        <f t="shared" si="43"/>
        <v>3.9515807647249628</v>
      </c>
      <c r="N566" s="1">
        <v>45.37</v>
      </c>
      <c r="O566" s="1">
        <v>1.47</v>
      </c>
      <c r="P566" s="1">
        <v>9.1880000000000006</v>
      </c>
      <c r="Q566" s="1">
        <v>0.41099999999999998</v>
      </c>
      <c r="R566" s="1">
        <v>0.35461999999999999</v>
      </c>
      <c r="AF566" s="60"/>
      <c r="AG566" s="61"/>
      <c r="AJ566" s="60"/>
      <c r="AK566" s="62"/>
      <c r="AL566" s="63"/>
      <c r="AM566" s="63"/>
      <c r="AN566" s="64"/>
      <c r="AO566" s="63"/>
      <c r="AP566" s="60"/>
      <c r="AR566" s="60"/>
      <c r="AS566" s="62"/>
      <c r="AW566" s="60"/>
      <c r="AZ566" s="60"/>
      <c r="BC566" s="60"/>
      <c r="BK566" s="60"/>
      <c r="BL566" s="60"/>
      <c r="BM566" s="60"/>
      <c r="BN566" s="60"/>
      <c r="BO566" s="60"/>
      <c r="BR566" s="60"/>
      <c r="BS566" s="65"/>
      <c r="BU566" s="60"/>
      <c r="CF566" s="66"/>
      <c r="CP566" s="30"/>
    </row>
    <row r="567" spans="1:94" x14ac:dyDescent="0.3">
      <c r="A567" s="1">
        <v>550</v>
      </c>
      <c r="B567" s="1" t="s">
        <v>3</v>
      </c>
      <c r="C567" s="1" t="s">
        <v>1</v>
      </c>
      <c r="D567" s="1" t="s">
        <v>4</v>
      </c>
      <c r="E567" s="1">
        <v>5</v>
      </c>
      <c r="F567" s="1" t="s">
        <v>7</v>
      </c>
      <c r="G567" s="1">
        <v>6.99</v>
      </c>
      <c r="H567" s="1">
        <v>18</v>
      </c>
      <c r="I567" s="1">
        <v>4.2279999999999998</v>
      </c>
      <c r="J567" s="1">
        <v>2.331</v>
      </c>
      <c r="K567" s="1">
        <v>55.132450331125824</v>
      </c>
      <c r="L567" s="1">
        <v>66.652360515021471</v>
      </c>
      <c r="M567" s="1">
        <f t="shared" si="43"/>
        <v>3.9885549540882637</v>
      </c>
      <c r="N567" s="1">
        <v>44.81</v>
      </c>
      <c r="O567" s="1">
        <v>1.8540000000000001</v>
      </c>
      <c r="P567" s="1">
        <v>11.587</v>
      </c>
      <c r="Q567" s="1">
        <v>0.47199999999999998</v>
      </c>
      <c r="R567" s="1">
        <v>0.32862000000000002</v>
      </c>
      <c r="AF567" s="60"/>
      <c r="AG567" s="61"/>
      <c r="AJ567" s="60"/>
      <c r="AK567" s="62"/>
      <c r="AL567" s="63"/>
      <c r="AM567" s="63"/>
      <c r="AN567" s="64"/>
      <c r="AO567" s="63"/>
      <c r="AP567" s="60"/>
      <c r="AR567" s="60"/>
      <c r="AS567" s="62"/>
      <c r="AW567" s="60"/>
      <c r="AZ567" s="60"/>
      <c r="BC567" s="60"/>
      <c r="BK567" s="60"/>
      <c r="BL567" s="60"/>
      <c r="BM567" s="60"/>
      <c r="BN567" s="60"/>
      <c r="BO567" s="60"/>
      <c r="BR567" s="60"/>
      <c r="BS567" s="65"/>
      <c r="BU567" s="60"/>
      <c r="CF567" s="66"/>
      <c r="CP567" s="30"/>
    </row>
    <row r="568" spans="1:94" x14ac:dyDescent="0.3">
      <c r="A568" s="1">
        <v>552</v>
      </c>
      <c r="B568" s="1" t="s">
        <v>3</v>
      </c>
      <c r="C568" s="1" t="s">
        <v>1</v>
      </c>
      <c r="D568" s="1" t="s">
        <v>4</v>
      </c>
      <c r="E568" s="1">
        <v>3</v>
      </c>
      <c r="F568" s="1" t="s">
        <v>7</v>
      </c>
      <c r="G568" s="1">
        <v>6.95</v>
      </c>
      <c r="H568" s="1">
        <v>18</v>
      </c>
      <c r="I568" s="1">
        <v>4.6840000000000002</v>
      </c>
      <c r="J568" s="1">
        <v>3.1177000000000001</v>
      </c>
      <c r="K568" s="1">
        <v>66.560631938514092</v>
      </c>
      <c r="L568" s="1">
        <v>55.141007194244608</v>
      </c>
      <c r="M568" s="1">
        <f t="shared" si="43"/>
        <v>3.6920178669890622</v>
      </c>
      <c r="N568" s="1">
        <v>45.67</v>
      </c>
      <c r="O568" s="1">
        <v>1.4359999999999999</v>
      </c>
      <c r="P568" s="1">
        <v>8.9760000000000009</v>
      </c>
      <c r="Q568" s="1">
        <v>0.57299999999999995</v>
      </c>
      <c r="R568" s="1">
        <v>0.6936199999999999</v>
      </c>
      <c r="AF568" s="60"/>
      <c r="AG568" s="61"/>
      <c r="AJ568" s="60"/>
      <c r="AK568" s="62"/>
      <c r="AL568" s="63"/>
      <c r="AM568" s="63"/>
      <c r="AN568" s="64"/>
      <c r="AO568" s="63"/>
      <c r="AP568" s="60"/>
      <c r="AR568" s="60"/>
      <c r="AS568" s="62"/>
      <c r="AW568" s="60"/>
      <c r="AZ568" s="60"/>
      <c r="BC568" s="60"/>
      <c r="BK568" s="60"/>
      <c r="BL568" s="60"/>
      <c r="BM568" s="60"/>
      <c r="BN568" s="60"/>
      <c r="BO568" s="60"/>
      <c r="BR568" s="60"/>
      <c r="BS568" s="65"/>
      <c r="BU568" s="60"/>
      <c r="CF568" s="66"/>
      <c r="CP568" s="30"/>
    </row>
    <row r="569" spans="1:94" x14ac:dyDescent="0.3">
      <c r="A569" s="1">
        <v>563</v>
      </c>
      <c r="B569" s="1" t="s">
        <v>3</v>
      </c>
      <c r="C569" s="1" t="s">
        <v>14</v>
      </c>
      <c r="D569" s="1" t="s">
        <v>4</v>
      </c>
      <c r="E569" s="1">
        <v>5</v>
      </c>
      <c r="F569" s="1" t="s">
        <v>7</v>
      </c>
      <c r="G569" s="1">
        <v>7.09</v>
      </c>
      <c r="H569" s="1">
        <v>18</v>
      </c>
      <c r="I569" s="1">
        <v>6.1280000000000001</v>
      </c>
      <c r="J569" s="1">
        <v>2.2604000000000002</v>
      </c>
      <c r="K569" s="1">
        <v>36.886422976501308</v>
      </c>
      <c r="L569" s="1">
        <v>68.118476727785605</v>
      </c>
      <c r="M569" s="1">
        <f t="shared" si="43"/>
        <v>4.0335153096666492</v>
      </c>
      <c r="N569" s="1">
        <v>44.55</v>
      </c>
      <c r="O569" s="1">
        <v>1.9890000000000001</v>
      </c>
      <c r="P569" s="1">
        <v>12.430999999999999</v>
      </c>
      <c r="Q569" s="1">
        <v>0.41399999999999998</v>
      </c>
      <c r="R569" s="1">
        <v>0.34361999999999998</v>
      </c>
      <c r="AF569" s="60"/>
      <c r="AG569" s="61"/>
      <c r="AJ569" s="60"/>
      <c r="AK569" s="62"/>
      <c r="AL569" s="63"/>
      <c r="AM569" s="63"/>
      <c r="AN569" s="64"/>
      <c r="AO569" s="63"/>
      <c r="AP569" s="60"/>
      <c r="AR569" s="60"/>
      <c r="AS569" s="62"/>
      <c r="AW569" s="60"/>
      <c r="AZ569" s="60"/>
      <c r="BC569" s="60"/>
      <c r="BK569" s="60"/>
      <c r="BL569" s="60"/>
      <c r="BM569" s="60"/>
      <c r="BN569" s="60"/>
      <c r="BO569" s="60"/>
      <c r="BR569" s="60"/>
      <c r="BS569" s="65"/>
      <c r="BU569" s="60"/>
      <c r="CF569" s="66"/>
      <c r="CP569" s="30"/>
    </row>
    <row r="570" spans="1:94" x14ac:dyDescent="0.3">
      <c r="A570" s="1">
        <v>565</v>
      </c>
      <c r="B570" s="1" t="s">
        <v>3</v>
      </c>
      <c r="C570" s="1" t="s">
        <v>1</v>
      </c>
      <c r="D570" s="1" t="s">
        <v>4</v>
      </c>
      <c r="E570" s="1">
        <v>4</v>
      </c>
      <c r="F570" s="1" t="s">
        <v>7</v>
      </c>
      <c r="G570" s="1">
        <v>6.99</v>
      </c>
      <c r="H570" s="1">
        <v>18</v>
      </c>
      <c r="I570" s="1">
        <v>5.625</v>
      </c>
      <c r="J570" s="1">
        <v>2.738</v>
      </c>
      <c r="K570" s="1">
        <v>48.675555555555555</v>
      </c>
      <c r="L570" s="1">
        <v>60.829756795422043</v>
      </c>
      <c r="M570" s="1">
        <f t="shared" si="43"/>
        <v>3.8276245872756265</v>
      </c>
      <c r="N570" s="1">
        <v>43.82</v>
      </c>
      <c r="O570" s="1">
        <v>1.7689999999999999</v>
      </c>
      <c r="P570" s="1">
        <v>11.054</v>
      </c>
      <c r="Q570" s="1">
        <v>0.54700000000000004</v>
      </c>
      <c r="R570" s="1">
        <v>0.62261999999999995</v>
      </c>
      <c r="AF570" s="60"/>
      <c r="AG570" s="61"/>
      <c r="AJ570" s="60"/>
      <c r="AK570" s="62"/>
      <c r="AL570" s="63"/>
      <c r="AM570" s="63"/>
      <c r="AN570" s="64"/>
      <c r="AO570" s="63"/>
      <c r="AP570" s="60"/>
      <c r="AR570" s="60"/>
      <c r="AS570" s="62"/>
      <c r="AW570" s="60"/>
      <c r="AZ570" s="60"/>
      <c r="BC570" s="60"/>
      <c r="BK570" s="60"/>
      <c r="BL570" s="60"/>
      <c r="BM570" s="60"/>
      <c r="BN570" s="60"/>
      <c r="BO570" s="60"/>
      <c r="BR570" s="60"/>
      <c r="BS570" s="65"/>
      <c r="BU570" s="60"/>
      <c r="CF570" s="66"/>
      <c r="CP570" s="30"/>
    </row>
    <row r="571" spans="1:94" x14ac:dyDescent="0.3">
      <c r="A571" s="1">
        <v>568</v>
      </c>
      <c r="B571" s="1" t="s">
        <v>3</v>
      </c>
      <c r="C571" s="1" t="s">
        <v>14</v>
      </c>
      <c r="D571" s="1" t="s">
        <v>4</v>
      </c>
      <c r="E571" s="1">
        <v>1</v>
      </c>
      <c r="F571" s="1" t="s">
        <v>7</v>
      </c>
      <c r="G571" s="1">
        <v>6.94</v>
      </c>
      <c r="H571" s="1">
        <v>18</v>
      </c>
      <c r="I571" s="1">
        <v>4.4850000000000003</v>
      </c>
      <c r="J571" s="1">
        <v>3.0750999999999999</v>
      </c>
      <c r="K571" s="1">
        <v>68.564102564102555</v>
      </c>
      <c r="L571" s="1">
        <v>55.690201729106633</v>
      </c>
      <c r="M571" s="1">
        <f t="shared" si="43"/>
        <v>3.7043361113599675</v>
      </c>
      <c r="N571" s="1">
        <v>45.51</v>
      </c>
      <c r="O571" s="1">
        <v>1.7330000000000001</v>
      </c>
      <c r="P571" s="1">
        <v>10.832000000000001</v>
      </c>
      <c r="Q571" s="1">
        <v>0.57299999999999995</v>
      </c>
      <c r="R571" s="1">
        <v>0.42161999999999999</v>
      </c>
      <c r="AF571" s="60"/>
      <c r="AG571" s="61"/>
      <c r="AJ571" s="60"/>
      <c r="AK571" s="62"/>
      <c r="AL571" s="63"/>
      <c r="AM571" s="63"/>
      <c r="AN571" s="64"/>
      <c r="AO571" s="63"/>
      <c r="AP571" s="60"/>
      <c r="AR571" s="60"/>
      <c r="AS571" s="62"/>
      <c r="AW571" s="60"/>
      <c r="AZ571" s="60"/>
      <c r="BC571" s="60"/>
      <c r="BK571" s="60"/>
      <c r="BL571" s="60"/>
      <c r="BM571" s="60"/>
      <c r="BN571" s="60"/>
      <c r="BO571" s="60"/>
      <c r="BR571" s="60"/>
      <c r="BS571" s="65"/>
      <c r="BU571" s="60"/>
      <c r="CF571" s="66"/>
      <c r="CP571" s="30"/>
    </row>
    <row r="572" spans="1:94" x14ac:dyDescent="0.3">
      <c r="A572" s="1">
        <v>573</v>
      </c>
      <c r="B572" s="1" t="s">
        <v>3</v>
      </c>
      <c r="C572" s="1" t="s">
        <v>14</v>
      </c>
      <c r="D572" s="1" t="s">
        <v>4</v>
      </c>
      <c r="E572" s="1">
        <v>3</v>
      </c>
      <c r="F572" s="1" t="s">
        <v>7</v>
      </c>
      <c r="G572" s="1">
        <v>7.07</v>
      </c>
      <c r="H572" s="1">
        <v>18</v>
      </c>
      <c r="I572" s="1">
        <v>4.1040000000000001</v>
      </c>
      <c r="J572" s="1">
        <v>2.8109999999999999</v>
      </c>
      <c r="K572" s="1">
        <v>68.494152046783626</v>
      </c>
      <c r="L572" s="1">
        <v>60.240452616690241</v>
      </c>
      <c r="M572" s="1">
        <f t="shared" si="43"/>
        <v>3.8126919458802515</v>
      </c>
      <c r="N572" s="1">
        <v>46.79</v>
      </c>
      <c r="O572" s="1">
        <v>1.7350000000000001</v>
      </c>
      <c r="P572" s="1">
        <v>10.843</v>
      </c>
      <c r="Q572" s="1">
        <v>0.57299999999999995</v>
      </c>
      <c r="R572" s="1">
        <v>0.42161999999999999</v>
      </c>
      <c r="AF572" s="60"/>
      <c r="AG572" s="61"/>
      <c r="AJ572" s="60"/>
      <c r="AK572" s="62"/>
      <c r="AL572" s="63"/>
      <c r="AM572" s="63"/>
      <c r="AN572" s="64"/>
      <c r="AO572" s="63"/>
      <c r="AP572" s="60"/>
      <c r="AR572" s="60"/>
      <c r="AS572" s="62"/>
      <c r="AW572" s="60"/>
      <c r="AZ572" s="60"/>
      <c r="BC572" s="60"/>
      <c r="BK572" s="60"/>
      <c r="BL572" s="60"/>
      <c r="BM572" s="60"/>
      <c r="BN572" s="60"/>
      <c r="BO572" s="60"/>
      <c r="BR572" s="60"/>
      <c r="BS572" s="65"/>
      <c r="BU572" s="60"/>
      <c r="CF572" s="66"/>
      <c r="CP572" s="30"/>
    </row>
    <row r="573" spans="1:94" x14ac:dyDescent="0.3">
      <c r="A573" s="1">
        <v>582</v>
      </c>
      <c r="B573" s="1" t="s">
        <v>3</v>
      </c>
      <c r="C573" s="1" t="s">
        <v>14</v>
      </c>
      <c r="D573" s="1" t="s">
        <v>4</v>
      </c>
      <c r="E573" s="1">
        <v>4</v>
      </c>
      <c r="F573" s="1" t="s">
        <v>7</v>
      </c>
      <c r="G573" s="1">
        <v>6.95</v>
      </c>
      <c r="H573" s="1">
        <v>18</v>
      </c>
      <c r="I573" s="1">
        <v>5.9349999999999996</v>
      </c>
      <c r="J573" s="1">
        <v>3.5190000000000001</v>
      </c>
      <c r="K573" s="1">
        <v>59.292333614153335</v>
      </c>
      <c r="L573" s="1">
        <v>49.366906474820141</v>
      </c>
      <c r="M573" s="1">
        <f t="shared" si="43"/>
        <v>3.5709365591334175</v>
      </c>
      <c r="N573" s="1">
        <v>44.92</v>
      </c>
      <c r="O573" s="1">
        <v>1.6120000000000001</v>
      </c>
      <c r="P573" s="1">
        <v>10.073</v>
      </c>
      <c r="Q573" s="1">
        <v>0.95899999999999996</v>
      </c>
      <c r="R573" s="1">
        <v>0.80762</v>
      </c>
      <c r="AF573" s="60"/>
      <c r="AG573" s="61"/>
      <c r="AJ573" s="60"/>
      <c r="AK573" s="62"/>
      <c r="AL573" s="63"/>
      <c r="AM573" s="63"/>
      <c r="AN573" s="64"/>
      <c r="AO573" s="63"/>
      <c r="AP573" s="60"/>
      <c r="AR573" s="60"/>
      <c r="AS573" s="62"/>
      <c r="AW573" s="60"/>
      <c r="AZ573" s="60"/>
      <c r="BC573" s="60"/>
      <c r="BK573" s="60"/>
      <c r="BL573" s="60"/>
      <c r="BM573" s="60"/>
      <c r="BN573" s="60"/>
      <c r="BO573" s="60"/>
      <c r="BR573" s="60"/>
      <c r="BS573" s="65"/>
      <c r="BU573" s="60"/>
      <c r="CF573" s="66"/>
      <c r="CP573" s="30"/>
    </row>
    <row r="574" spans="1:94" x14ac:dyDescent="0.3">
      <c r="A574" s="1">
        <v>597</v>
      </c>
      <c r="B574" s="1" t="s">
        <v>3</v>
      </c>
      <c r="C574" s="1" t="s">
        <v>14</v>
      </c>
      <c r="D574" s="1" t="s">
        <v>4</v>
      </c>
      <c r="E574" s="1">
        <v>2</v>
      </c>
      <c r="F574" s="1" t="s">
        <v>7</v>
      </c>
      <c r="G574" s="1">
        <v>6.98</v>
      </c>
      <c r="H574" s="1">
        <v>18</v>
      </c>
      <c r="I574" s="1">
        <v>5.4210000000000003</v>
      </c>
      <c r="J574" s="1">
        <v>3.2262</v>
      </c>
      <c r="K574" s="1">
        <v>59.513004980630882</v>
      </c>
      <c r="L574" s="1">
        <v>53.779369627507165</v>
      </c>
      <c r="M574" s="1">
        <f t="shared" si="43"/>
        <v>3.6621157006088954</v>
      </c>
      <c r="N574" s="1">
        <v>46.07</v>
      </c>
      <c r="O574" s="1">
        <v>1.702</v>
      </c>
      <c r="P574" s="1">
        <v>10.638</v>
      </c>
      <c r="Q574" s="1">
        <v>0.58099999999999996</v>
      </c>
      <c r="R574" s="1">
        <v>0.5686199999999999</v>
      </c>
      <c r="AF574" s="60"/>
      <c r="AG574" s="61"/>
      <c r="AJ574" s="60"/>
      <c r="AK574" s="62"/>
      <c r="AL574" s="63"/>
      <c r="AM574" s="63"/>
      <c r="AN574" s="64"/>
      <c r="AO574" s="63"/>
      <c r="AP574" s="60"/>
      <c r="AR574" s="60"/>
      <c r="AS574" s="62"/>
      <c r="AW574" s="60"/>
      <c r="AZ574" s="60"/>
      <c r="BC574" s="60"/>
      <c r="BK574" s="60"/>
      <c r="BL574" s="60"/>
      <c r="BM574" s="60"/>
      <c r="BN574" s="60"/>
      <c r="BO574" s="60"/>
      <c r="BR574" s="60"/>
      <c r="BS574" s="65"/>
      <c r="BU574" s="60"/>
      <c r="CF574" s="66"/>
      <c r="CP574" s="30"/>
    </row>
    <row r="575" spans="1:94" x14ac:dyDescent="0.3">
      <c r="A575" s="1">
        <v>667</v>
      </c>
      <c r="B575" s="1" t="s">
        <v>3</v>
      </c>
      <c r="C575" s="1" t="s">
        <v>1</v>
      </c>
      <c r="D575" s="1" t="s">
        <v>5</v>
      </c>
      <c r="E575" s="1">
        <v>1</v>
      </c>
      <c r="F575" s="1" t="s">
        <v>7</v>
      </c>
      <c r="G575" s="1">
        <v>6.92</v>
      </c>
      <c r="H575" s="1">
        <v>18</v>
      </c>
      <c r="I575" s="1">
        <v>8.0310000000000006</v>
      </c>
      <c r="J575" s="1">
        <v>2.9689999999999999</v>
      </c>
      <c r="K575" s="1">
        <v>36.969244178807124</v>
      </c>
      <c r="L575" s="1">
        <v>57.095375722543352</v>
      </c>
      <c r="M575" s="1">
        <f t="shared" si="43"/>
        <v>3.7365623317441203</v>
      </c>
      <c r="N575" s="1">
        <v>45.24</v>
      </c>
      <c r="O575" s="1">
        <v>1.425</v>
      </c>
      <c r="P575" s="1">
        <v>8.9039999999999999</v>
      </c>
      <c r="Q575" s="1">
        <v>0.28699999999999998</v>
      </c>
      <c r="R575" s="1">
        <v>0.25662000000000001</v>
      </c>
      <c r="AF575" s="60"/>
      <c r="AG575" s="61"/>
      <c r="AJ575" s="60"/>
      <c r="AK575" s="62"/>
      <c r="AL575" s="63"/>
      <c r="AM575" s="63"/>
      <c r="AN575" s="64"/>
      <c r="AO575" s="63"/>
      <c r="AP575" s="60"/>
      <c r="AR575" s="60"/>
      <c r="AS575" s="62"/>
      <c r="AW575" s="60"/>
      <c r="AZ575" s="60"/>
      <c r="BC575" s="60"/>
      <c r="BK575" s="60"/>
      <c r="BL575" s="60"/>
      <c r="BM575" s="60"/>
      <c r="BN575" s="60"/>
      <c r="BO575" s="60"/>
      <c r="BR575" s="60"/>
      <c r="BS575" s="65"/>
      <c r="BU575" s="60"/>
      <c r="CF575" s="66"/>
      <c r="CP575" s="30"/>
    </row>
    <row r="576" spans="1:94" x14ac:dyDescent="0.3">
      <c r="A576" s="1">
        <v>668</v>
      </c>
      <c r="B576" s="1" t="s">
        <v>3</v>
      </c>
      <c r="C576" s="1" t="s">
        <v>14</v>
      </c>
      <c r="D576" s="1" t="s">
        <v>5</v>
      </c>
      <c r="E576" s="1">
        <v>1</v>
      </c>
      <c r="F576" s="1" t="s">
        <v>7</v>
      </c>
      <c r="G576" s="1">
        <v>6.93</v>
      </c>
      <c r="H576" s="1">
        <v>18</v>
      </c>
      <c r="I576" s="1">
        <v>5.85</v>
      </c>
      <c r="J576" s="1">
        <v>3.9477000000000002</v>
      </c>
      <c r="K576" s="1">
        <v>67.482051282051287</v>
      </c>
      <c r="L576" s="1">
        <v>43.034632034632033</v>
      </c>
      <c r="M576" s="1">
        <f t="shared" si="43"/>
        <v>3.4530984402559088</v>
      </c>
      <c r="N576" s="1">
        <v>46.15</v>
      </c>
      <c r="O576" s="1">
        <v>1.512</v>
      </c>
      <c r="P576" s="1">
        <v>9.4489999999999998</v>
      </c>
      <c r="Q576" s="1">
        <v>0.38700000000000001</v>
      </c>
      <c r="R576" s="1">
        <v>0.35962</v>
      </c>
      <c r="AF576" s="60"/>
      <c r="AG576" s="61"/>
      <c r="AJ576" s="60"/>
      <c r="AK576" s="62"/>
      <c r="AL576" s="63"/>
      <c r="AM576" s="63"/>
      <c r="AN576" s="64"/>
      <c r="AO576" s="63"/>
      <c r="AP576" s="60"/>
      <c r="AR576" s="60"/>
      <c r="AS576" s="62"/>
      <c r="AW576" s="60"/>
      <c r="AZ576" s="60"/>
      <c r="BC576" s="60"/>
      <c r="BK576" s="60"/>
      <c r="BL576" s="60"/>
      <c r="BM576" s="60"/>
      <c r="BN576" s="60"/>
      <c r="BO576" s="60"/>
      <c r="BR576" s="60"/>
      <c r="BS576" s="65"/>
      <c r="BU576" s="60"/>
      <c r="CF576" s="66"/>
      <c r="CP576" s="30"/>
    </row>
    <row r="577" spans="1:94" x14ac:dyDescent="0.3">
      <c r="A577" s="1">
        <v>671</v>
      </c>
      <c r="B577" s="1" t="s">
        <v>3</v>
      </c>
      <c r="C577" s="1" t="s">
        <v>14</v>
      </c>
      <c r="D577" s="1" t="s">
        <v>5</v>
      </c>
      <c r="E577" s="1">
        <v>5</v>
      </c>
      <c r="F577" s="1" t="s">
        <v>7</v>
      </c>
      <c r="G577" s="1">
        <v>6.92</v>
      </c>
      <c r="H577" s="1">
        <v>18</v>
      </c>
      <c r="I577" s="1">
        <v>5.5359999999999996</v>
      </c>
      <c r="J577" s="1">
        <v>3.0019</v>
      </c>
      <c r="K577" s="1">
        <v>54.225072254335259</v>
      </c>
      <c r="L577" s="1">
        <v>56.619942196531795</v>
      </c>
      <c r="M577" s="1">
        <f t="shared" si="43"/>
        <v>3.7255421059952165</v>
      </c>
      <c r="N577" s="1">
        <v>46.34</v>
      </c>
      <c r="O577" s="1">
        <v>1.774</v>
      </c>
      <c r="P577" s="1">
        <v>11.085000000000001</v>
      </c>
      <c r="Q577" s="1">
        <v>0.317</v>
      </c>
      <c r="R577" s="1">
        <v>0.32662000000000002</v>
      </c>
      <c r="AF577" s="60"/>
      <c r="AG577" s="61"/>
      <c r="AJ577" s="60"/>
      <c r="AK577" s="62"/>
      <c r="AL577" s="63"/>
      <c r="AM577" s="63"/>
      <c r="AN577" s="64"/>
      <c r="AO577" s="63"/>
      <c r="AP577" s="60"/>
      <c r="AR577" s="60"/>
      <c r="AS577" s="62"/>
      <c r="AW577" s="60"/>
      <c r="AZ577" s="60"/>
      <c r="BC577" s="60"/>
      <c r="BK577" s="60"/>
      <c r="BL577" s="60"/>
      <c r="BM577" s="60"/>
      <c r="BN577" s="60"/>
      <c r="BO577" s="60"/>
      <c r="BR577" s="60"/>
      <c r="BS577" s="65"/>
      <c r="BU577" s="60"/>
      <c r="CF577" s="66"/>
      <c r="CP577" s="30"/>
    </row>
    <row r="578" spans="1:94" x14ac:dyDescent="0.3">
      <c r="A578" s="1">
        <v>673</v>
      </c>
      <c r="B578" s="1" t="s">
        <v>3</v>
      </c>
      <c r="C578" s="1" t="s">
        <v>14</v>
      </c>
      <c r="D578" s="1" t="s">
        <v>5</v>
      </c>
      <c r="E578" s="1">
        <v>4</v>
      </c>
      <c r="F578" s="1" t="s">
        <v>7</v>
      </c>
      <c r="G578" s="1">
        <v>7.08</v>
      </c>
      <c r="H578" s="1">
        <v>18</v>
      </c>
      <c r="I578" s="1">
        <v>5.39</v>
      </c>
      <c r="J578" s="1">
        <v>2.75</v>
      </c>
      <c r="K578" s="1">
        <v>51.020408163265309</v>
      </c>
      <c r="L578" s="1">
        <v>61.158192090395481</v>
      </c>
      <c r="M578" s="1">
        <f t="shared" ref="M578:M591" si="44">-LN((J578/G578)/H578)</f>
        <v>3.8360447539233133</v>
      </c>
      <c r="N578" s="1">
        <v>47.14</v>
      </c>
      <c r="O578" s="1">
        <v>1.4810000000000001</v>
      </c>
      <c r="P578" s="1">
        <v>9.2590000000000003</v>
      </c>
      <c r="Q578" s="1">
        <v>0.434</v>
      </c>
      <c r="R578" s="1">
        <v>4.1620000000000004E-2</v>
      </c>
      <c r="AF578" s="60"/>
      <c r="AG578" s="61"/>
      <c r="AJ578" s="60"/>
      <c r="AK578" s="62"/>
      <c r="AL578" s="63"/>
      <c r="AM578" s="63"/>
      <c r="AN578" s="64"/>
      <c r="AO578" s="63"/>
      <c r="AP578" s="60"/>
      <c r="AR578" s="60"/>
      <c r="AS578" s="62"/>
      <c r="AW578" s="60"/>
      <c r="AZ578" s="60"/>
      <c r="BC578" s="60"/>
      <c r="BK578" s="60"/>
      <c r="BL578" s="60"/>
      <c r="BM578" s="60"/>
      <c r="BN578" s="60"/>
      <c r="BO578" s="60"/>
      <c r="BR578" s="60"/>
      <c r="BS578" s="65"/>
      <c r="BU578" s="60"/>
      <c r="CF578" s="66"/>
      <c r="CP578" s="30"/>
    </row>
    <row r="579" spans="1:94" x14ac:dyDescent="0.3">
      <c r="A579" s="1">
        <v>679</v>
      </c>
      <c r="B579" s="1" t="s">
        <v>3</v>
      </c>
      <c r="C579" s="1" t="s">
        <v>14</v>
      </c>
      <c r="D579" s="1" t="s">
        <v>5</v>
      </c>
      <c r="E579" s="1">
        <v>3</v>
      </c>
      <c r="F579" s="1" t="s">
        <v>7</v>
      </c>
      <c r="G579" s="1">
        <v>6.91</v>
      </c>
      <c r="H579" s="1">
        <v>18</v>
      </c>
      <c r="I579" s="1">
        <v>6.35</v>
      </c>
      <c r="J579" s="1">
        <v>2.6440000000000001</v>
      </c>
      <c r="K579" s="1">
        <v>41.637795275590555</v>
      </c>
      <c r="L579" s="1">
        <v>61.736613603473224</v>
      </c>
      <c r="M579" s="1">
        <f t="shared" si="44"/>
        <v>3.8510484736863035</v>
      </c>
      <c r="N579" s="1">
        <v>46.69</v>
      </c>
      <c r="O579" s="1">
        <v>1.5580000000000001</v>
      </c>
      <c r="P579" s="1">
        <v>9.7360000000000007</v>
      </c>
      <c r="Q579" s="1">
        <v>0.38200000000000001</v>
      </c>
      <c r="R579" s="1">
        <v>0.54862</v>
      </c>
      <c r="AF579" s="60"/>
      <c r="AG579" s="61"/>
      <c r="AJ579" s="60"/>
      <c r="AK579" s="62"/>
      <c r="AL579" s="63"/>
      <c r="AM579" s="63"/>
      <c r="AN579" s="64"/>
      <c r="AO579" s="63"/>
      <c r="AP579" s="60"/>
      <c r="AR579" s="60"/>
      <c r="AS579" s="62"/>
      <c r="AW579" s="60"/>
      <c r="AZ579" s="60"/>
      <c r="BC579" s="60"/>
      <c r="BK579" s="60"/>
      <c r="BL579" s="60"/>
      <c r="BM579" s="60"/>
      <c r="BN579" s="60"/>
      <c r="BO579" s="60"/>
      <c r="BR579" s="60"/>
      <c r="BS579" s="65"/>
      <c r="BU579" s="60"/>
      <c r="CF579" s="66"/>
      <c r="CP579" s="30"/>
    </row>
    <row r="580" spans="1:94" x14ac:dyDescent="0.3">
      <c r="A580" s="1">
        <v>691</v>
      </c>
      <c r="B580" s="1" t="s">
        <v>3</v>
      </c>
      <c r="C580" s="1" t="s">
        <v>1</v>
      </c>
      <c r="D580" s="1" t="s">
        <v>5</v>
      </c>
      <c r="E580" s="1">
        <v>2</v>
      </c>
      <c r="F580" s="1" t="s">
        <v>7</v>
      </c>
      <c r="G580" s="1">
        <v>6.99</v>
      </c>
      <c r="H580" s="1">
        <v>18</v>
      </c>
      <c r="I580" s="1">
        <v>7.8319999999999999</v>
      </c>
      <c r="J580" s="1">
        <v>2.6006</v>
      </c>
      <c r="K580" s="1">
        <v>33.204800817160368</v>
      </c>
      <c r="L580" s="1">
        <v>62.795422031473535</v>
      </c>
      <c r="M580" s="1">
        <f t="shared" si="44"/>
        <v>3.8791101265068013</v>
      </c>
      <c r="N580" s="1">
        <v>44.99</v>
      </c>
      <c r="O580" s="1">
        <v>1.363</v>
      </c>
      <c r="P580" s="1">
        <v>8.52</v>
      </c>
      <c r="Q580" s="1">
        <v>0.24099999999999999</v>
      </c>
      <c r="R580" s="1">
        <v>0.15962000000000001</v>
      </c>
      <c r="AF580" s="60"/>
      <c r="AG580" s="61"/>
      <c r="AJ580" s="60"/>
      <c r="AK580" s="62"/>
      <c r="AL580" s="63"/>
      <c r="AM580" s="63"/>
      <c r="AN580" s="64"/>
      <c r="AO580" s="63"/>
      <c r="AP580" s="60"/>
      <c r="AR580" s="60"/>
      <c r="AS580" s="62"/>
      <c r="AW580" s="60"/>
      <c r="AZ580" s="60"/>
      <c r="BC580" s="60"/>
      <c r="BK580" s="60"/>
      <c r="BL580" s="60"/>
      <c r="BM580" s="60"/>
      <c r="BN580" s="60"/>
      <c r="BO580" s="60"/>
      <c r="BR580" s="60"/>
      <c r="BS580" s="65"/>
      <c r="BU580" s="60"/>
      <c r="CF580" s="66"/>
      <c r="CP580" s="30"/>
    </row>
    <row r="581" spans="1:94" x14ac:dyDescent="0.3">
      <c r="A581" s="1">
        <v>694</v>
      </c>
      <c r="B581" s="1" t="s">
        <v>3</v>
      </c>
      <c r="C581" s="1" t="s">
        <v>14</v>
      </c>
      <c r="D581" s="1" t="s">
        <v>5</v>
      </c>
      <c r="E581" s="1">
        <v>2</v>
      </c>
      <c r="F581" s="1" t="s">
        <v>7</v>
      </c>
      <c r="G581" s="1">
        <v>7.04</v>
      </c>
      <c r="H581" s="1">
        <v>18</v>
      </c>
      <c r="I581" s="1">
        <v>6.0780000000000003</v>
      </c>
      <c r="J581" s="1">
        <v>3.4584000000000001</v>
      </c>
      <c r="K581" s="1">
        <v>56.900296150049357</v>
      </c>
      <c r="L581" s="1">
        <v>50.875</v>
      </c>
      <c r="M581" s="1">
        <f t="shared" si="44"/>
        <v>3.6011738736948309</v>
      </c>
      <c r="N581" s="1">
        <v>41.38</v>
      </c>
      <c r="O581" s="1">
        <v>1.4910000000000001</v>
      </c>
      <c r="P581" s="1">
        <v>9.32</v>
      </c>
      <c r="Q581" s="1">
        <v>0.32100000000000001</v>
      </c>
      <c r="R581" s="1">
        <v>0.33762000000000003</v>
      </c>
      <c r="AF581" s="60"/>
      <c r="AG581" s="61"/>
      <c r="AJ581" s="60"/>
      <c r="AK581" s="62"/>
      <c r="AL581" s="63"/>
      <c r="AM581" s="63"/>
      <c r="AN581" s="64"/>
      <c r="AO581" s="63"/>
      <c r="AP581" s="60"/>
      <c r="AR581" s="60"/>
      <c r="AS581" s="62"/>
      <c r="AW581" s="60"/>
      <c r="AZ581" s="60"/>
      <c r="BC581" s="60"/>
      <c r="BK581" s="60"/>
      <c r="BL581" s="60"/>
      <c r="BM581" s="60"/>
      <c r="BN581" s="60"/>
      <c r="BO581" s="60"/>
      <c r="BR581" s="60"/>
      <c r="BS581" s="65"/>
      <c r="BU581" s="60"/>
      <c r="CF581" s="66"/>
      <c r="CP581" s="30"/>
    </row>
    <row r="582" spans="1:94" x14ac:dyDescent="0.3">
      <c r="A582" s="1">
        <v>702</v>
      </c>
      <c r="B582" s="1" t="s">
        <v>3</v>
      </c>
      <c r="C582" s="1" t="s">
        <v>1</v>
      </c>
      <c r="D582" s="1" t="s">
        <v>5</v>
      </c>
      <c r="E582" s="1">
        <v>5</v>
      </c>
      <c r="F582" s="1" t="s">
        <v>7</v>
      </c>
      <c r="G582" s="1">
        <v>6.98</v>
      </c>
      <c r="H582" s="1">
        <v>18</v>
      </c>
      <c r="I582" s="1">
        <v>5.6420000000000003</v>
      </c>
      <c r="J582" s="1">
        <v>2.6555</v>
      </c>
      <c r="K582" s="1">
        <v>47.066643034384967</v>
      </c>
      <c r="L582" s="1">
        <v>61.95558739255015</v>
      </c>
      <c r="M582" s="1">
        <f t="shared" si="44"/>
        <v>3.856787713790129</v>
      </c>
      <c r="N582" s="1">
        <v>45.54</v>
      </c>
      <c r="O582" s="1">
        <v>1.5609999999999999</v>
      </c>
      <c r="P582" s="1">
        <v>9.7550000000000008</v>
      </c>
      <c r="Q582" s="1">
        <v>0.36199999999999999</v>
      </c>
      <c r="R582" s="1">
        <v>0.35361999999999999</v>
      </c>
      <c r="AF582" s="60"/>
      <c r="AG582" s="61"/>
      <c r="AJ582" s="60"/>
      <c r="AK582" s="62"/>
      <c r="AL582" s="63"/>
      <c r="AM582" s="63"/>
      <c r="AN582" s="64"/>
      <c r="AO582" s="63"/>
      <c r="AP582" s="60"/>
      <c r="AR582" s="60"/>
      <c r="AS582" s="62"/>
      <c r="AW582" s="60"/>
      <c r="AZ582" s="60"/>
      <c r="BC582" s="60"/>
      <c r="BK582" s="60"/>
      <c r="BL582" s="60"/>
      <c r="BM582" s="60"/>
      <c r="BN582" s="60"/>
      <c r="BO582" s="60"/>
      <c r="BR582" s="60"/>
      <c r="BS582" s="65"/>
      <c r="BU582" s="60"/>
      <c r="CF582" s="66"/>
      <c r="CP582" s="30"/>
    </row>
    <row r="583" spans="1:94" x14ac:dyDescent="0.3">
      <c r="A583" s="1">
        <v>704</v>
      </c>
      <c r="B583" s="1" t="s">
        <v>3</v>
      </c>
      <c r="C583" s="1" t="s">
        <v>1</v>
      </c>
      <c r="D583" s="1" t="s">
        <v>5</v>
      </c>
      <c r="E583" s="1">
        <v>3</v>
      </c>
      <c r="F583" s="1" t="s">
        <v>7</v>
      </c>
      <c r="G583" s="1">
        <v>7.02</v>
      </c>
      <c r="H583" s="1">
        <v>18</v>
      </c>
      <c r="I583" s="1">
        <v>5.1440000000000001</v>
      </c>
      <c r="J583" s="1">
        <v>2.8039999999999998</v>
      </c>
      <c r="K583" s="1">
        <v>54.510108864696726</v>
      </c>
      <c r="L583" s="1">
        <v>60.056980056980045</v>
      </c>
      <c r="M583" s="1">
        <f t="shared" si="44"/>
        <v>3.8080880067615408</v>
      </c>
      <c r="N583" s="1">
        <v>46.65</v>
      </c>
      <c r="O583" s="1">
        <v>1.4279999999999999</v>
      </c>
      <c r="P583" s="1">
        <v>8.9220000000000006</v>
      </c>
      <c r="Q583" s="1">
        <v>0.45100000000000001</v>
      </c>
      <c r="R583" s="1">
        <v>0.18262</v>
      </c>
      <c r="AF583" s="60"/>
      <c r="AG583" s="61"/>
      <c r="AJ583" s="60"/>
      <c r="AK583" s="62"/>
      <c r="AL583" s="63"/>
      <c r="AM583" s="63"/>
      <c r="AN583" s="64"/>
      <c r="AO583" s="63"/>
      <c r="AP583" s="60"/>
      <c r="AR583" s="60"/>
      <c r="AS583" s="62"/>
      <c r="AW583" s="60"/>
      <c r="AZ583" s="60"/>
      <c r="BC583" s="60"/>
      <c r="BK583" s="60"/>
      <c r="BL583" s="60"/>
      <c r="BM583" s="60"/>
      <c r="BN583" s="60"/>
      <c r="BO583" s="60"/>
      <c r="BR583" s="60"/>
      <c r="BS583" s="65"/>
      <c r="BU583" s="60"/>
      <c r="CF583" s="66"/>
      <c r="CP583" s="30"/>
    </row>
    <row r="584" spans="1:94" x14ac:dyDescent="0.3">
      <c r="A584" s="1">
        <v>710</v>
      </c>
      <c r="B584" s="1" t="s">
        <v>3</v>
      </c>
      <c r="C584" s="1" t="s">
        <v>1</v>
      </c>
      <c r="D584" s="1" t="s">
        <v>5</v>
      </c>
      <c r="E584" s="1">
        <v>4</v>
      </c>
      <c r="F584" s="1" t="s">
        <v>7</v>
      </c>
      <c r="G584" s="1">
        <v>6.96</v>
      </c>
      <c r="H584" s="1">
        <v>18</v>
      </c>
      <c r="I584" s="1">
        <v>6.28</v>
      </c>
      <c r="J584" s="1">
        <v>2.3359000000000001</v>
      </c>
      <c r="K584" s="1">
        <v>37.195859872611464</v>
      </c>
      <c r="L584" s="1">
        <v>66.438218390804607</v>
      </c>
      <c r="M584" s="1">
        <f t="shared" si="44"/>
        <v>3.9821539764119884</v>
      </c>
      <c r="N584" s="1">
        <v>44.61</v>
      </c>
      <c r="O584" s="1">
        <v>1.903</v>
      </c>
      <c r="P584" s="1">
        <v>11.891</v>
      </c>
      <c r="Q584" s="1">
        <v>0.35199999999999998</v>
      </c>
      <c r="R584" s="1">
        <v>0.38862000000000002</v>
      </c>
      <c r="AF584" s="60"/>
      <c r="AG584" s="61"/>
      <c r="AJ584" s="60"/>
      <c r="AK584" s="62"/>
      <c r="AL584" s="63"/>
      <c r="AM584" s="63"/>
      <c r="AN584" s="64"/>
      <c r="AO584" s="63"/>
      <c r="AP584" s="60"/>
      <c r="AR584" s="60"/>
      <c r="AS584" s="62"/>
      <c r="AW584" s="60"/>
      <c r="AZ584" s="60"/>
      <c r="BC584" s="60"/>
      <c r="BK584" s="60"/>
      <c r="BL584" s="60"/>
      <c r="BM584" s="60"/>
      <c r="BN584" s="60"/>
      <c r="BO584" s="60"/>
      <c r="BR584" s="60"/>
      <c r="BS584" s="65"/>
      <c r="BU584" s="60"/>
      <c r="CF584" s="66"/>
      <c r="CP584" s="30"/>
    </row>
    <row r="585" spans="1:94" x14ac:dyDescent="0.3">
      <c r="A585" s="1" t="s">
        <v>72</v>
      </c>
      <c r="B585" s="1" t="s">
        <v>0</v>
      </c>
      <c r="C585" s="1" t="s">
        <v>1</v>
      </c>
      <c r="D585" s="1" t="s">
        <v>4</v>
      </c>
      <c r="E585" s="1">
        <v>3</v>
      </c>
      <c r="F585" s="1" t="s">
        <v>7</v>
      </c>
      <c r="G585" s="1">
        <v>7</v>
      </c>
      <c r="H585" s="1">
        <v>18</v>
      </c>
      <c r="I585" s="1">
        <v>6.1989999999999998</v>
      </c>
      <c r="J585" s="1">
        <v>3.109</v>
      </c>
      <c r="K585" s="1">
        <v>49.846749475721893</v>
      </c>
      <c r="L585" s="1">
        <v>55.585714285714282</v>
      </c>
      <c r="M585" s="1">
        <f t="shared" si="44"/>
        <v>3.7019807758748615</v>
      </c>
      <c r="N585" s="1">
        <v>40.71</v>
      </c>
      <c r="O585" s="1">
        <v>1.728</v>
      </c>
      <c r="P585" s="1">
        <v>10.8</v>
      </c>
      <c r="Q585" s="1">
        <v>0.32</v>
      </c>
      <c r="R585" s="1">
        <v>0.31862000000000001</v>
      </c>
      <c r="AF585" s="60"/>
      <c r="AG585" s="61"/>
      <c r="AJ585" s="60"/>
      <c r="AK585" s="62"/>
      <c r="AL585" s="63"/>
      <c r="AM585" s="63"/>
      <c r="AN585" s="64"/>
      <c r="AO585" s="63"/>
      <c r="AP585" s="60"/>
      <c r="AR585" s="60"/>
      <c r="AS585" s="62"/>
      <c r="AW585" s="60"/>
      <c r="AZ585" s="60"/>
      <c r="BC585" s="60"/>
      <c r="BK585" s="60"/>
      <c r="BL585" s="60"/>
      <c r="BM585" s="60"/>
      <c r="BN585" s="60"/>
      <c r="BO585" s="60"/>
      <c r="BR585" s="60"/>
      <c r="BS585" s="65"/>
      <c r="BU585" s="60"/>
      <c r="CF585" s="66"/>
      <c r="CP585" s="30"/>
    </row>
    <row r="586" spans="1:94" x14ac:dyDescent="0.3">
      <c r="A586" s="1" t="s">
        <v>73</v>
      </c>
      <c r="B586" s="1" t="s">
        <v>0</v>
      </c>
      <c r="C586" s="1" t="s">
        <v>1</v>
      </c>
      <c r="D586" s="1" t="s">
        <v>4</v>
      </c>
      <c r="E586" s="1">
        <v>4</v>
      </c>
      <c r="F586" s="1" t="s">
        <v>7</v>
      </c>
      <c r="G586" s="1">
        <v>7</v>
      </c>
      <c r="H586" s="1">
        <v>18</v>
      </c>
      <c r="I586" s="1">
        <v>14.0335</v>
      </c>
      <c r="J586" s="1">
        <v>2.9097</v>
      </c>
      <c r="K586" s="1">
        <v>79.266041970997961</v>
      </c>
      <c r="L586" s="1">
        <v>58.432857142857145</v>
      </c>
      <c r="M586" s="1">
        <f t="shared" si="44"/>
        <v>3.7682319238660082</v>
      </c>
      <c r="N586" s="1">
        <v>43.1</v>
      </c>
      <c r="O586" s="1">
        <v>1.5580000000000001</v>
      </c>
      <c r="P586" s="1">
        <v>9.7390000000000008</v>
      </c>
      <c r="Q586" s="1">
        <v>0.26800000000000002</v>
      </c>
      <c r="R586" s="1">
        <v>0.44</v>
      </c>
      <c r="AF586" s="60"/>
      <c r="AG586" s="61"/>
      <c r="AJ586" s="60"/>
      <c r="AK586" s="62"/>
      <c r="AL586" s="63"/>
      <c r="AM586" s="63"/>
      <c r="AN586" s="64"/>
      <c r="AO586" s="63"/>
      <c r="AP586" s="60"/>
      <c r="AR586" s="60"/>
      <c r="AS586" s="62"/>
      <c r="AW586" s="60"/>
      <c r="AZ586" s="60"/>
      <c r="BC586" s="60"/>
      <c r="BK586" s="60"/>
      <c r="BL586" s="60"/>
      <c r="BM586" s="60"/>
      <c r="BN586" s="60"/>
      <c r="BO586" s="60"/>
      <c r="BR586" s="60"/>
      <c r="BS586" s="65"/>
      <c r="BU586" s="60"/>
      <c r="CF586" s="66"/>
      <c r="CP586" s="30"/>
    </row>
    <row r="587" spans="1:94" x14ac:dyDescent="0.3">
      <c r="A587" s="1" t="s">
        <v>71</v>
      </c>
      <c r="B587" s="1" t="s">
        <v>0</v>
      </c>
      <c r="C587" s="1" t="s">
        <v>1</v>
      </c>
      <c r="D587" s="1" t="s">
        <v>5</v>
      </c>
      <c r="E587" s="1">
        <v>2</v>
      </c>
      <c r="F587" s="1" t="s">
        <v>7</v>
      </c>
      <c r="G587" s="1">
        <v>6.92</v>
      </c>
      <c r="H587" s="1">
        <v>18</v>
      </c>
      <c r="I587" s="1">
        <v>5</v>
      </c>
      <c r="J587" s="1">
        <v>2.9660000000000002</v>
      </c>
      <c r="K587" s="1">
        <v>40.679999999999993</v>
      </c>
      <c r="L587" s="1">
        <v>57.138728323699418</v>
      </c>
      <c r="M587" s="1">
        <f t="shared" si="44"/>
        <v>3.7375732838100024</v>
      </c>
      <c r="N587" s="1">
        <v>46.41</v>
      </c>
      <c r="O587" s="1">
        <v>1.6339999999999999</v>
      </c>
      <c r="P587" s="1">
        <v>10.214</v>
      </c>
      <c r="Q587" s="1">
        <v>0.36199999999999999</v>
      </c>
      <c r="R587" s="1">
        <v>0.33662000000000003</v>
      </c>
      <c r="AF587" s="60"/>
      <c r="AG587" s="61"/>
      <c r="AJ587" s="60"/>
      <c r="AK587" s="62"/>
      <c r="AL587" s="63"/>
      <c r="AM587" s="63"/>
      <c r="AN587" s="64"/>
      <c r="AO587" s="63"/>
      <c r="AP587" s="60"/>
      <c r="AR587" s="60"/>
      <c r="AS587" s="62"/>
      <c r="AW587" s="60"/>
      <c r="AZ587" s="60"/>
      <c r="BC587" s="60"/>
      <c r="BK587" s="60"/>
      <c r="BL587" s="60"/>
      <c r="BM587" s="60"/>
      <c r="BN587" s="60"/>
      <c r="BO587" s="60"/>
      <c r="BR587" s="60"/>
      <c r="BS587" s="65"/>
      <c r="BU587" s="60"/>
      <c r="CF587" s="66"/>
      <c r="CP587" s="30"/>
    </row>
    <row r="588" spans="1:94" x14ac:dyDescent="0.3">
      <c r="A588" s="1" t="s">
        <v>29</v>
      </c>
      <c r="B588" s="1" t="s">
        <v>0</v>
      </c>
      <c r="C588" s="1" t="s">
        <v>1</v>
      </c>
      <c r="D588" s="1" t="s">
        <v>5</v>
      </c>
      <c r="E588" s="1">
        <v>5</v>
      </c>
      <c r="F588" s="1" t="s">
        <v>7</v>
      </c>
      <c r="G588" s="1">
        <v>7</v>
      </c>
      <c r="H588" s="1">
        <v>18</v>
      </c>
      <c r="I588" s="1">
        <v>4.2610000000000001</v>
      </c>
      <c r="J588" s="1">
        <v>2.9020000000000001</v>
      </c>
      <c r="K588" s="1">
        <v>31.893921614644448</v>
      </c>
      <c r="L588" s="1">
        <v>58.542857142857144</v>
      </c>
      <c r="M588" s="1">
        <f t="shared" si="44"/>
        <v>3.770881752489482</v>
      </c>
      <c r="N588" s="1">
        <v>45.73</v>
      </c>
      <c r="O588" s="1">
        <v>1.615</v>
      </c>
      <c r="P588" s="1">
        <v>10.093</v>
      </c>
      <c r="Q588" s="1">
        <v>0.29399999999999998</v>
      </c>
      <c r="R588" s="1">
        <v>0.26362000000000002</v>
      </c>
      <c r="AF588" s="60"/>
      <c r="AG588" s="61"/>
      <c r="AJ588" s="60"/>
      <c r="AK588" s="62"/>
      <c r="AL588" s="63"/>
      <c r="AM588" s="63"/>
      <c r="AN588" s="64"/>
      <c r="AO588" s="63"/>
      <c r="AP588" s="60"/>
      <c r="AR588" s="60"/>
      <c r="AS588" s="62"/>
      <c r="AW588" s="60"/>
      <c r="AZ588" s="60"/>
      <c r="BC588" s="60"/>
      <c r="BK588" s="60"/>
      <c r="BL588" s="60"/>
      <c r="BM588" s="60"/>
      <c r="BN588" s="60"/>
      <c r="BO588" s="60"/>
      <c r="BR588" s="60"/>
      <c r="BS588" s="65"/>
      <c r="BU588" s="60"/>
      <c r="CF588" s="66"/>
      <c r="CP588" s="30"/>
    </row>
    <row r="589" spans="1:94" x14ac:dyDescent="0.3">
      <c r="A589" s="1" t="s">
        <v>81</v>
      </c>
      <c r="B589" s="1" t="s">
        <v>0</v>
      </c>
      <c r="C589" s="1" t="s">
        <v>14</v>
      </c>
      <c r="D589" s="1" t="s">
        <v>4</v>
      </c>
      <c r="E589" s="1">
        <v>3</v>
      </c>
      <c r="F589" s="1" t="s">
        <v>7</v>
      </c>
      <c r="G589" s="1">
        <v>7</v>
      </c>
      <c r="H589" s="1">
        <v>18</v>
      </c>
      <c r="I589" s="1">
        <v>7.6390000000000002</v>
      </c>
      <c r="J589" s="1">
        <v>2.9710000000000001</v>
      </c>
      <c r="K589" s="1">
        <v>61.107474800366532</v>
      </c>
      <c r="L589" s="1">
        <v>57.55714285714285</v>
      </c>
      <c r="M589" s="1">
        <f t="shared" si="44"/>
        <v>3.7473833104710073</v>
      </c>
      <c r="N589" s="1">
        <v>43.73</v>
      </c>
      <c r="O589" s="1">
        <v>1.964</v>
      </c>
      <c r="P589" s="1">
        <v>12.276</v>
      </c>
      <c r="Q589" s="1">
        <v>0.32400000000000001</v>
      </c>
      <c r="R589" s="1">
        <v>0.40062000000000003</v>
      </c>
      <c r="AF589" s="60"/>
      <c r="AG589" s="61"/>
      <c r="AJ589" s="60"/>
      <c r="AK589" s="62"/>
      <c r="AL589" s="63"/>
      <c r="AM589" s="63"/>
      <c r="AN589" s="64"/>
      <c r="AO589" s="63"/>
      <c r="AP589" s="60"/>
      <c r="AR589" s="60"/>
      <c r="AS589" s="62"/>
      <c r="AW589" s="60"/>
      <c r="AZ589" s="60"/>
      <c r="BC589" s="60"/>
      <c r="BK589" s="60"/>
      <c r="BL589" s="60"/>
      <c r="BM589" s="60"/>
      <c r="BN589" s="60"/>
      <c r="BO589" s="60"/>
      <c r="BR589" s="60"/>
      <c r="BS589" s="65"/>
      <c r="BU589" s="60"/>
      <c r="CF589" s="66"/>
      <c r="CP589" s="30"/>
    </row>
    <row r="590" spans="1:94" x14ac:dyDescent="0.3">
      <c r="A590" s="1" t="s">
        <v>75</v>
      </c>
      <c r="B590" s="1" t="s">
        <v>0</v>
      </c>
      <c r="C590" s="1" t="s">
        <v>14</v>
      </c>
      <c r="D590" s="1" t="s">
        <v>5</v>
      </c>
      <c r="E590" s="1">
        <v>4</v>
      </c>
      <c r="F590" s="1" t="s">
        <v>7</v>
      </c>
      <c r="G590" s="1">
        <v>7</v>
      </c>
      <c r="H590" s="1">
        <v>18</v>
      </c>
      <c r="I590" s="1">
        <v>3.661</v>
      </c>
      <c r="J590" s="1">
        <v>2.6</v>
      </c>
      <c r="K590" s="1">
        <v>28.981152690521711</v>
      </c>
      <c r="L590" s="1">
        <v>62.857142857142868</v>
      </c>
      <c r="M590" s="1">
        <f t="shared" si="44"/>
        <v>3.8807704619240417</v>
      </c>
      <c r="N590" s="1">
        <v>46.01</v>
      </c>
      <c r="O590" s="1">
        <v>1.5249999999999999</v>
      </c>
      <c r="P590" s="1">
        <v>9.5289999999999999</v>
      </c>
      <c r="Q590" s="1">
        <v>0.30399999999999999</v>
      </c>
      <c r="R590" s="1">
        <v>0.28599999999999998</v>
      </c>
      <c r="AF590" s="60"/>
      <c r="AG590" s="61"/>
      <c r="AJ590" s="60"/>
      <c r="AK590" s="62"/>
      <c r="AL590" s="63"/>
      <c r="AM590" s="63"/>
      <c r="AN590" s="64"/>
      <c r="AO590" s="63"/>
      <c r="AP590" s="60"/>
      <c r="AR590" s="60"/>
      <c r="AS590" s="62"/>
      <c r="AW590" s="60"/>
      <c r="AZ590" s="60"/>
      <c r="BC590" s="60"/>
      <c r="BK590" s="60"/>
      <c r="BL590" s="60"/>
      <c r="BM590" s="60"/>
      <c r="BN590" s="60"/>
      <c r="BO590" s="60"/>
      <c r="BR590" s="60"/>
      <c r="BS590" s="65"/>
      <c r="BU590" s="60"/>
      <c r="CF590" s="66"/>
      <c r="CP590" s="30"/>
    </row>
    <row r="591" spans="1:94" x14ac:dyDescent="0.3">
      <c r="A591" s="1" t="s">
        <v>74</v>
      </c>
      <c r="B591" s="1" t="s">
        <v>2</v>
      </c>
      <c r="C591" s="1" t="s">
        <v>1</v>
      </c>
      <c r="D591" s="1" t="s">
        <v>4</v>
      </c>
      <c r="E591" s="1">
        <v>5</v>
      </c>
      <c r="F591" s="1" t="s">
        <v>7</v>
      </c>
      <c r="G591" s="1">
        <v>7</v>
      </c>
      <c r="H591" s="1">
        <v>18</v>
      </c>
      <c r="I591" s="1">
        <v>14.5121</v>
      </c>
      <c r="J591" s="1">
        <v>3.2248999999999999</v>
      </c>
      <c r="K591" s="1">
        <v>77.777854342238555</v>
      </c>
      <c r="L591" s="1">
        <v>53.93</v>
      </c>
      <c r="M591" s="1">
        <f t="shared" si="44"/>
        <v>3.6653799649364305</v>
      </c>
      <c r="N591" s="1">
        <v>37.270000000000003</v>
      </c>
      <c r="O591" s="1">
        <v>1.38</v>
      </c>
      <c r="P591" s="1">
        <v>8.6229999999999993</v>
      </c>
      <c r="Q591" s="1">
        <v>0.24</v>
      </c>
      <c r="R591" s="1">
        <v>0.10962</v>
      </c>
      <c r="AF591" s="60"/>
      <c r="AG591" s="61"/>
      <c r="AJ591" s="60"/>
      <c r="AK591" s="62"/>
      <c r="AL591" s="63"/>
      <c r="AM591" s="63"/>
      <c r="AN591" s="64"/>
      <c r="AO591" s="63"/>
      <c r="AP591" s="60"/>
      <c r="AR591" s="60"/>
      <c r="AS591" s="62"/>
      <c r="AW591" s="60"/>
      <c r="AZ591" s="60"/>
      <c r="BC591" s="60"/>
      <c r="BK591" s="60"/>
      <c r="BL591" s="60"/>
      <c r="BM591" s="60"/>
      <c r="BN591" s="60"/>
      <c r="BO591" s="60"/>
      <c r="BR591" s="60"/>
      <c r="BS591" s="65"/>
      <c r="BU591" s="60"/>
      <c r="CF591" s="66"/>
      <c r="CP591" s="30"/>
    </row>
    <row r="592" spans="1:94" x14ac:dyDescent="0.3">
      <c r="A592" s="13" t="s">
        <v>23</v>
      </c>
      <c r="B592" t="s">
        <v>3</v>
      </c>
      <c r="C592" t="s">
        <v>1</v>
      </c>
      <c r="D592" t="s">
        <v>4</v>
      </c>
      <c r="E592" t="s">
        <v>22</v>
      </c>
      <c r="F592" t="s">
        <v>25</v>
      </c>
      <c r="G592" t="s">
        <v>22</v>
      </c>
      <c r="H592">
        <v>0</v>
      </c>
      <c r="I592" t="s">
        <v>22</v>
      </c>
      <c r="J592" t="s">
        <v>22</v>
      </c>
      <c r="K592" t="s">
        <v>22</v>
      </c>
      <c r="L592" t="s">
        <v>22</v>
      </c>
      <c r="M592" t="s">
        <v>22</v>
      </c>
      <c r="N592">
        <v>48.231827111984103</v>
      </c>
      <c r="O592">
        <v>0.69599999999999995</v>
      </c>
      <c r="P592">
        <v>4.3470000000000004</v>
      </c>
      <c r="Q592" s="14">
        <v>2.0009999999999999</v>
      </c>
      <c r="R592" s="14">
        <v>2.9460000000000002</v>
      </c>
      <c r="AF592" s="60"/>
      <c r="AG592" s="61"/>
      <c r="AJ592" s="60"/>
      <c r="AK592" s="62"/>
      <c r="AL592" s="63"/>
      <c r="AM592" s="63"/>
      <c r="AN592" s="64"/>
      <c r="AO592" s="63"/>
      <c r="AP592" s="60"/>
      <c r="AR592" s="60"/>
      <c r="AS592" s="62"/>
      <c r="AW592" s="60"/>
      <c r="AZ592" s="60"/>
      <c r="BC592" s="60"/>
      <c r="BK592" s="60"/>
      <c r="BL592" s="60"/>
      <c r="BM592" s="60"/>
      <c r="BN592" s="60"/>
      <c r="BO592" s="60"/>
      <c r="BR592" s="60"/>
      <c r="BS592" s="65"/>
      <c r="BU592" s="60"/>
      <c r="CF592" s="66"/>
      <c r="CP592" s="30"/>
    </row>
    <row r="593" spans="1:94" x14ac:dyDescent="0.3">
      <c r="A593" s="13" t="s">
        <v>23</v>
      </c>
      <c r="B593" t="s">
        <v>0</v>
      </c>
      <c r="C593" t="s">
        <v>1</v>
      </c>
      <c r="D593" t="s">
        <v>4</v>
      </c>
      <c r="E593" t="s">
        <v>22</v>
      </c>
      <c r="F593" t="s">
        <v>25</v>
      </c>
      <c r="G593" t="s">
        <v>22</v>
      </c>
      <c r="H593">
        <v>0</v>
      </c>
      <c r="I593" t="s">
        <v>22</v>
      </c>
      <c r="J593" t="s">
        <v>22</v>
      </c>
      <c r="K593" t="s">
        <v>22</v>
      </c>
      <c r="L593" t="s">
        <v>22</v>
      </c>
      <c r="M593" t="s">
        <v>22</v>
      </c>
      <c r="N593">
        <v>47.188755020080364</v>
      </c>
      <c r="O593">
        <v>0.71199999999999997</v>
      </c>
      <c r="P593">
        <v>4.4509999999999996</v>
      </c>
      <c r="Q593" s="14">
        <v>2.0529999999999999</v>
      </c>
      <c r="R593" s="14">
        <v>2.581</v>
      </c>
      <c r="AF593" s="60"/>
      <c r="AG593" s="61"/>
      <c r="AJ593" s="60"/>
      <c r="AK593" s="62"/>
      <c r="AL593" s="63"/>
      <c r="AM593" s="63"/>
      <c r="AN593" s="64"/>
      <c r="AO593" s="63"/>
      <c r="AP593" s="60"/>
      <c r="AR593" s="60"/>
      <c r="AS593" s="62"/>
      <c r="AW593" s="60"/>
      <c r="AZ593" s="60"/>
      <c r="BC593" s="60"/>
      <c r="BK593" s="60"/>
      <c r="BL593" s="60"/>
      <c r="BM593" s="60"/>
      <c r="BN593" s="60"/>
      <c r="BO593" s="60"/>
      <c r="BR593" s="60"/>
      <c r="BS593" s="65"/>
      <c r="BU593" s="60"/>
      <c r="CF593" s="66"/>
      <c r="CP593" s="30"/>
    </row>
    <row r="594" spans="1:94" x14ac:dyDescent="0.3">
      <c r="A594" s="13" t="s">
        <v>23</v>
      </c>
      <c r="B594" t="s">
        <v>2</v>
      </c>
      <c r="C594" t="s">
        <v>1</v>
      </c>
      <c r="D594" t="s">
        <v>4</v>
      </c>
      <c r="E594" t="s">
        <v>22</v>
      </c>
      <c r="F594" t="s">
        <v>25</v>
      </c>
      <c r="G594" t="s">
        <v>22</v>
      </c>
      <c r="H594">
        <v>0</v>
      </c>
      <c r="I594" t="s">
        <v>22</v>
      </c>
      <c r="J594" t="s">
        <v>22</v>
      </c>
      <c r="K594" t="s">
        <v>22</v>
      </c>
      <c r="L594" t="s">
        <v>22</v>
      </c>
      <c r="M594" t="s">
        <v>22</v>
      </c>
      <c r="N594">
        <v>47.834645669291291</v>
      </c>
      <c r="O594">
        <v>0.97499999999999998</v>
      </c>
      <c r="P594">
        <v>6.0919999999999996</v>
      </c>
      <c r="Q594" s="14">
        <v>2.5379999999999998</v>
      </c>
      <c r="R594" s="14">
        <v>1.3940000000000001</v>
      </c>
      <c r="AF594" s="60"/>
      <c r="AG594" s="61"/>
      <c r="AJ594" s="60"/>
      <c r="AK594" s="62"/>
      <c r="AL594" s="63"/>
      <c r="AM594" s="63"/>
      <c r="AN594" s="64"/>
      <c r="AO594" s="63"/>
      <c r="AP594" s="60"/>
      <c r="AR594" s="60"/>
      <c r="AS594" s="62"/>
      <c r="AW594" s="60"/>
      <c r="AZ594" s="60"/>
      <c r="BC594" s="60"/>
      <c r="BK594" s="60"/>
      <c r="BL594" s="60"/>
      <c r="BM594" s="60"/>
      <c r="BN594" s="60"/>
      <c r="BO594" s="60"/>
      <c r="BR594" s="60"/>
      <c r="BS594" s="65"/>
      <c r="BU594" s="60"/>
      <c r="CF594" s="66"/>
      <c r="CP594" s="30"/>
    </row>
    <row r="595" spans="1:94" x14ac:dyDescent="0.3">
      <c r="A595" s="13" t="s">
        <v>23</v>
      </c>
      <c r="B595" t="s">
        <v>3</v>
      </c>
      <c r="C595" t="s">
        <v>14</v>
      </c>
      <c r="D595" t="s">
        <v>5</v>
      </c>
      <c r="E595" t="s">
        <v>22</v>
      </c>
      <c r="F595" t="s">
        <v>25</v>
      </c>
      <c r="G595" t="s">
        <v>22</v>
      </c>
      <c r="H595">
        <v>0</v>
      </c>
      <c r="I595" t="s">
        <v>22</v>
      </c>
      <c r="J595" t="s">
        <v>22</v>
      </c>
      <c r="K595" t="s">
        <v>22</v>
      </c>
      <c r="L595" t="s">
        <v>22</v>
      </c>
      <c r="M595" t="s">
        <v>22</v>
      </c>
      <c r="N595">
        <v>48.712871287128536</v>
      </c>
      <c r="O595">
        <v>0.71399999999999997</v>
      </c>
      <c r="P595">
        <v>14.86</v>
      </c>
      <c r="Q595" s="14">
        <v>3.843</v>
      </c>
      <c r="R595" s="14">
        <v>2.9689999999999999</v>
      </c>
      <c r="AF595" s="60"/>
      <c r="AG595" s="61"/>
      <c r="AJ595" s="60"/>
      <c r="AK595" s="62"/>
      <c r="AL595" s="63"/>
      <c r="AM595" s="63"/>
      <c r="AN595" s="64"/>
      <c r="AO595" s="63"/>
      <c r="AP595" s="60"/>
      <c r="AR595" s="60"/>
      <c r="AS595" s="62"/>
      <c r="AW595" s="60"/>
      <c r="AZ595" s="60"/>
      <c r="BC595" s="60"/>
      <c r="BK595" s="60"/>
      <c r="BL595" s="60"/>
      <c r="BM595" s="60"/>
      <c r="BN595" s="60"/>
      <c r="BO595" s="60"/>
      <c r="BR595" s="60"/>
      <c r="BS595" s="65"/>
      <c r="BU595" s="60"/>
      <c r="CF595" s="66"/>
      <c r="CP595" s="30"/>
    </row>
    <row r="596" spans="1:94" x14ac:dyDescent="0.3">
      <c r="A596" s="13" t="s">
        <v>23</v>
      </c>
      <c r="B596" t="s">
        <v>0</v>
      </c>
      <c r="C596" t="s">
        <v>14</v>
      </c>
      <c r="D596" t="s">
        <v>5</v>
      </c>
      <c r="E596" t="s">
        <v>22</v>
      </c>
      <c r="F596" t="s">
        <v>25</v>
      </c>
      <c r="G596" t="s">
        <v>22</v>
      </c>
      <c r="H596">
        <v>0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>
        <v>47.900000000000091</v>
      </c>
      <c r="O596">
        <v>0.83899999999999997</v>
      </c>
      <c r="P596">
        <v>5.2460000000000004</v>
      </c>
      <c r="Q596" s="14">
        <v>2.6789999999999998</v>
      </c>
      <c r="R596" s="14">
        <v>2.4980000000000002</v>
      </c>
      <c r="AF596" s="60"/>
      <c r="AG596" s="61"/>
      <c r="AJ596" s="60"/>
      <c r="AK596" s="62"/>
      <c r="AL596" s="63"/>
      <c r="AM596" s="63"/>
      <c r="AN596" s="64"/>
      <c r="AO596" s="63"/>
      <c r="AP596" s="60"/>
      <c r="AR596" s="60"/>
      <c r="AS596" s="62"/>
      <c r="AW596" s="60"/>
      <c r="AZ596" s="60"/>
      <c r="BC596" s="60"/>
      <c r="BK596" s="60"/>
      <c r="BL596" s="60"/>
      <c r="BM596" s="60"/>
      <c r="BN596" s="60"/>
      <c r="BO596" s="60"/>
      <c r="BR596" s="60"/>
      <c r="BS596" s="65"/>
      <c r="BU596" s="60"/>
      <c r="CF596" s="66"/>
      <c r="CP596" s="30"/>
    </row>
    <row r="597" spans="1:94" x14ac:dyDescent="0.3">
      <c r="A597" s="13" t="s">
        <v>23</v>
      </c>
      <c r="B597" t="s">
        <v>2</v>
      </c>
      <c r="C597" t="s">
        <v>14</v>
      </c>
      <c r="D597" t="s">
        <v>5</v>
      </c>
      <c r="E597" t="s">
        <v>22</v>
      </c>
      <c r="F597" t="s">
        <v>25</v>
      </c>
      <c r="G597" t="s">
        <v>22</v>
      </c>
      <c r="H597">
        <v>0</v>
      </c>
      <c r="I597" t="s">
        <v>22</v>
      </c>
      <c r="J597" t="s">
        <v>22</v>
      </c>
      <c r="K597" t="s">
        <v>22</v>
      </c>
      <c r="L597" t="s">
        <v>22</v>
      </c>
      <c r="M597" t="s">
        <v>22</v>
      </c>
      <c r="N597">
        <v>47.590361445783039</v>
      </c>
      <c r="O597">
        <v>0.66200000000000003</v>
      </c>
      <c r="P597">
        <v>4.1349999999999998</v>
      </c>
      <c r="Q597" s="14">
        <v>2.3769999999999998</v>
      </c>
      <c r="R597" s="14">
        <v>2.89</v>
      </c>
      <c r="AF597" s="60"/>
      <c r="AG597" s="61"/>
      <c r="AJ597" s="60"/>
      <c r="AK597" s="62"/>
      <c r="AL597" s="63"/>
      <c r="AM597" s="63"/>
      <c r="AN597" s="64"/>
      <c r="AO597" s="63"/>
      <c r="AP597" s="60"/>
      <c r="AR597" s="60"/>
      <c r="AS597" s="62"/>
      <c r="AW597" s="60"/>
      <c r="AZ597" s="60"/>
      <c r="BC597" s="60"/>
      <c r="BK597" s="60"/>
      <c r="BL597" s="60"/>
      <c r="BM597" s="60"/>
      <c r="BN597" s="60"/>
      <c r="BO597" s="60"/>
      <c r="BR597" s="60"/>
      <c r="BS597" s="65"/>
      <c r="BU597" s="60"/>
      <c r="CF597" s="66"/>
      <c r="CP597" s="30"/>
    </row>
  </sheetData>
  <sortState xmlns:xlrd2="http://schemas.microsoft.com/office/spreadsheetml/2017/richdata2" ref="A2:CQ597">
    <sortCondition ref="F2:F597"/>
    <sortCondition ref="H2:H597"/>
    <sortCondition ref="A2:A5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7A1F-418F-4544-B68A-EF2BCCABCB1C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7.33203125" bestFit="1" customWidth="1"/>
    <col min="3" max="5" width="12.88671875" bestFit="1" customWidth="1"/>
  </cols>
  <sheetData>
    <row r="3" spans="1:2" x14ac:dyDescent="0.3">
      <c r="A3" s="71" t="s">
        <v>132</v>
      </c>
      <c r="B3" t="s">
        <v>141</v>
      </c>
    </row>
    <row r="4" spans="1:2" x14ac:dyDescent="0.3">
      <c r="A4" s="14" t="s">
        <v>6</v>
      </c>
      <c r="B4" s="83">
        <v>3782</v>
      </c>
    </row>
    <row r="5" spans="1:2" x14ac:dyDescent="0.3">
      <c r="A5" s="14" t="s">
        <v>7</v>
      </c>
      <c r="B5" s="83"/>
    </row>
    <row r="6" spans="1:2" x14ac:dyDescent="0.3">
      <c r="A6" s="14" t="s">
        <v>25</v>
      </c>
      <c r="B6" s="83"/>
    </row>
    <row r="7" spans="1:2" x14ac:dyDescent="0.3">
      <c r="A7" s="14" t="s">
        <v>140</v>
      </c>
      <c r="B7" s="83">
        <v>3782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FDF7-DEE1-4D82-9484-7B74DA15D810}">
  <dimension ref="A1:W41"/>
  <sheetViews>
    <sheetView workbookViewId="0">
      <selection activeCell="Q7" sqref="Q7:W8"/>
    </sheetView>
  </sheetViews>
  <sheetFormatPr defaultRowHeight="14.4" x14ac:dyDescent="0.3"/>
  <cols>
    <col min="1" max="1" width="5.109375" bestFit="1" customWidth="1"/>
    <col min="2" max="2" width="4.77734375" bestFit="1" customWidth="1"/>
    <col min="3" max="3" width="7.88671875" bestFit="1" customWidth="1"/>
    <col min="4" max="4" width="7.21875" bestFit="1" customWidth="1"/>
    <col min="5" max="5" width="4.21875" bestFit="1" customWidth="1"/>
    <col min="6" max="6" width="5.6640625" bestFit="1" customWidth="1"/>
    <col min="7" max="7" width="12.5546875" bestFit="1" customWidth="1"/>
    <col min="9" max="9" width="6.44140625" bestFit="1" customWidth="1"/>
    <col min="10" max="10" width="4.77734375" bestFit="1" customWidth="1"/>
    <col min="11" max="11" width="7.88671875" bestFit="1" customWidth="1"/>
    <col min="12" max="12" width="7.21875" bestFit="1" customWidth="1"/>
    <col min="13" max="13" width="4.21875" bestFit="1" customWidth="1"/>
    <col min="14" max="14" width="5.6640625" bestFit="1" customWidth="1"/>
    <col min="15" max="15" width="12.5546875" bestFit="1" customWidth="1"/>
    <col min="16" max="17" width="5.6640625" bestFit="1" customWidth="1"/>
    <col min="18" max="18" width="4.77734375" bestFit="1" customWidth="1"/>
    <col min="19" max="19" width="7.88671875" bestFit="1" customWidth="1"/>
    <col min="20" max="20" width="7.21875" bestFit="1" customWidth="1"/>
    <col min="21" max="21" width="4.21875" bestFit="1" customWidth="1"/>
    <col min="22" max="22" width="5.6640625" bestFit="1" customWidth="1"/>
    <col min="23" max="23" width="12.5546875" bestFit="1" customWidth="1"/>
  </cols>
  <sheetData>
    <row r="1" spans="1:23" x14ac:dyDescent="0.3">
      <c r="A1" t="s">
        <v>137</v>
      </c>
      <c r="I1" t="s">
        <v>138</v>
      </c>
      <c r="Q1" t="s">
        <v>139</v>
      </c>
    </row>
    <row r="2" spans="1:23" x14ac:dyDescent="0.3">
      <c r="A2" s="74" t="s">
        <v>11</v>
      </c>
      <c r="B2" s="74" t="s">
        <v>8</v>
      </c>
      <c r="C2" s="74" t="s">
        <v>9</v>
      </c>
      <c r="D2" s="74" t="s">
        <v>10</v>
      </c>
      <c r="E2" s="74" t="s">
        <v>15</v>
      </c>
      <c r="F2" s="74" t="s">
        <v>12</v>
      </c>
      <c r="G2" s="74" t="s">
        <v>20</v>
      </c>
      <c r="I2" s="74" t="s">
        <v>11</v>
      </c>
      <c r="J2" s="74" t="s">
        <v>8</v>
      </c>
      <c r="K2" s="74" t="s">
        <v>9</v>
      </c>
      <c r="L2" s="74" t="s">
        <v>10</v>
      </c>
      <c r="M2" s="74" t="s">
        <v>15</v>
      </c>
      <c r="N2" s="74" t="s">
        <v>12</v>
      </c>
      <c r="O2" s="74" t="s">
        <v>20</v>
      </c>
      <c r="Q2" s="74" t="s">
        <v>11</v>
      </c>
      <c r="R2" s="74" t="s">
        <v>8</v>
      </c>
      <c r="S2" s="74" t="s">
        <v>9</v>
      </c>
      <c r="T2" s="74" t="s">
        <v>10</v>
      </c>
      <c r="U2" s="74" t="s">
        <v>15</v>
      </c>
      <c r="V2" s="74" t="s">
        <v>12</v>
      </c>
      <c r="W2" s="74" t="s">
        <v>20</v>
      </c>
    </row>
    <row r="3" spans="1:23" x14ac:dyDescent="0.3">
      <c r="A3" s="9">
        <v>505</v>
      </c>
      <c r="B3" s="9" t="s">
        <v>3</v>
      </c>
      <c r="C3" s="9" t="s">
        <v>14</v>
      </c>
      <c r="D3" s="9" t="s">
        <v>4</v>
      </c>
      <c r="E3" s="9">
        <v>1</v>
      </c>
      <c r="F3" s="9" t="s">
        <v>6</v>
      </c>
      <c r="G3" s="9">
        <v>26.98559077809799</v>
      </c>
      <c r="I3" s="10">
        <v>294</v>
      </c>
      <c r="J3" s="10" t="s">
        <v>2</v>
      </c>
      <c r="K3" s="10" t="s">
        <v>14</v>
      </c>
      <c r="L3" s="10" t="s">
        <v>4</v>
      </c>
      <c r="M3" s="10">
        <v>1</v>
      </c>
      <c r="N3" s="10" t="s">
        <v>6</v>
      </c>
      <c r="O3" s="10">
        <v>47.897546897546896</v>
      </c>
      <c r="Q3" s="11">
        <v>258</v>
      </c>
      <c r="R3" s="11" t="s">
        <v>2</v>
      </c>
      <c r="S3" s="11" t="s">
        <v>1</v>
      </c>
      <c r="T3" s="11" t="s">
        <v>5</v>
      </c>
      <c r="U3" s="11">
        <v>1</v>
      </c>
      <c r="V3" s="11" t="s">
        <v>6</v>
      </c>
      <c r="W3" s="11">
        <v>79.696531791907503</v>
      </c>
    </row>
    <row r="4" spans="1:23" x14ac:dyDescent="0.3">
      <c r="A4" s="9">
        <v>610</v>
      </c>
      <c r="B4" s="9" t="s">
        <v>3</v>
      </c>
      <c r="C4" s="9" t="s">
        <v>1</v>
      </c>
      <c r="D4" s="9" t="s">
        <v>5</v>
      </c>
      <c r="E4" s="9">
        <v>1</v>
      </c>
      <c r="F4" s="9" t="s">
        <v>6</v>
      </c>
      <c r="G4" s="9">
        <v>43.96883852691218</v>
      </c>
      <c r="I4" s="10">
        <v>300</v>
      </c>
      <c r="J4" s="10" t="s">
        <v>2</v>
      </c>
      <c r="K4" s="10" t="s">
        <v>1</v>
      </c>
      <c r="L4" s="10" t="s">
        <v>4</v>
      </c>
      <c r="M4" s="10">
        <v>1</v>
      </c>
      <c r="N4" s="10" t="s">
        <v>6</v>
      </c>
      <c r="O4" s="10">
        <v>46.832378223495702</v>
      </c>
      <c r="Q4" s="11">
        <v>268</v>
      </c>
      <c r="R4" s="11" t="s">
        <v>2</v>
      </c>
      <c r="S4" s="11" t="s">
        <v>14</v>
      </c>
      <c r="T4" s="11" t="s">
        <v>4</v>
      </c>
      <c r="U4" s="11">
        <v>1</v>
      </c>
      <c r="V4" s="11" t="s">
        <v>6</v>
      </c>
      <c r="W4" s="11">
        <v>55.106990014265335</v>
      </c>
    </row>
    <row r="5" spans="1:23" x14ac:dyDescent="0.3">
      <c r="A5" s="9">
        <v>612</v>
      </c>
      <c r="B5" s="9" t="s">
        <v>3</v>
      </c>
      <c r="C5" s="9" t="s">
        <v>1</v>
      </c>
      <c r="D5" s="9" t="s">
        <v>5</v>
      </c>
      <c r="E5" s="9">
        <v>1</v>
      </c>
      <c r="F5" s="9" t="s">
        <v>6</v>
      </c>
      <c r="G5" s="9">
        <v>27.282670454545453</v>
      </c>
      <c r="I5" s="10">
        <v>366</v>
      </c>
      <c r="J5" s="10" t="s">
        <v>2</v>
      </c>
      <c r="K5" s="10" t="s">
        <v>14</v>
      </c>
      <c r="L5" s="10" t="s">
        <v>5</v>
      </c>
      <c r="M5" s="10">
        <v>1</v>
      </c>
      <c r="N5" s="10" t="s">
        <v>6</v>
      </c>
      <c r="O5" s="10">
        <v>40.532857142857139</v>
      </c>
      <c r="Q5" s="11">
        <v>377</v>
      </c>
      <c r="R5" s="11" t="s">
        <v>2</v>
      </c>
      <c r="S5" s="11" t="s">
        <v>14</v>
      </c>
      <c r="T5" s="11" t="s">
        <v>5</v>
      </c>
      <c r="U5" s="11">
        <v>1</v>
      </c>
      <c r="V5" s="11" t="s">
        <v>6</v>
      </c>
      <c r="W5" s="11">
        <v>61.683309557774614</v>
      </c>
    </row>
    <row r="6" spans="1:23" x14ac:dyDescent="0.3">
      <c r="A6" s="9">
        <v>617</v>
      </c>
      <c r="B6" s="9" t="s">
        <v>3</v>
      </c>
      <c r="C6" s="9" t="s">
        <v>14</v>
      </c>
      <c r="D6" s="9" t="s">
        <v>5</v>
      </c>
      <c r="E6" s="9">
        <v>1</v>
      </c>
      <c r="F6" s="9" t="s">
        <v>6</v>
      </c>
      <c r="G6" s="9">
        <v>29.497175141242938</v>
      </c>
      <c r="I6" s="10">
        <v>404</v>
      </c>
      <c r="J6" s="10" t="s">
        <v>2</v>
      </c>
      <c r="K6" s="10" t="s">
        <v>1</v>
      </c>
      <c r="L6" s="10" t="s">
        <v>5</v>
      </c>
      <c r="M6" s="10">
        <v>1</v>
      </c>
      <c r="N6" s="10" t="s">
        <v>6</v>
      </c>
      <c r="O6" s="10">
        <v>48.617689015691866</v>
      </c>
      <c r="Q6" s="11">
        <v>388</v>
      </c>
      <c r="R6" s="11" t="s">
        <v>2</v>
      </c>
      <c r="S6" s="11" t="s">
        <v>1</v>
      </c>
      <c r="T6" s="11" t="s">
        <v>5</v>
      </c>
      <c r="U6" s="11">
        <v>1</v>
      </c>
      <c r="V6" s="11" t="s">
        <v>6</v>
      </c>
      <c r="W6" s="11">
        <v>81.031518624641848</v>
      </c>
    </row>
    <row r="7" spans="1:23" x14ac:dyDescent="0.3">
      <c r="A7" s="4">
        <v>580</v>
      </c>
      <c r="B7" s="4" t="s">
        <v>3</v>
      </c>
      <c r="C7" s="4" t="s">
        <v>1</v>
      </c>
      <c r="D7" s="4" t="s">
        <v>4</v>
      </c>
      <c r="E7" s="4">
        <v>1</v>
      </c>
      <c r="F7" s="4" t="s">
        <v>7</v>
      </c>
      <c r="G7" s="4">
        <v>18.540772532188846</v>
      </c>
      <c r="I7" s="2">
        <v>316</v>
      </c>
      <c r="J7" s="2" t="s">
        <v>2</v>
      </c>
      <c r="K7" s="2" t="s">
        <v>1</v>
      </c>
      <c r="L7" s="2" t="s">
        <v>4</v>
      </c>
      <c r="M7" s="2">
        <v>1</v>
      </c>
      <c r="N7" s="2" t="s">
        <v>7</v>
      </c>
      <c r="O7" s="2">
        <v>41.80257510729615</v>
      </c>
      <c r="Q7" s="1">
        <v>319</v>
      </c>
      <c r="R7" s="1" t="s">
        <v>2</v>
      </c>
      <c r="S7" s="1" t="s">
        <v>1</v>
      </c>
      <c r="T7" s="1" t="s">
        <v>4</v>
      </c>
      <c r="U7" s="1">
        <v>1</v>
      </c>
      <c r="V7" s="1" t="s">
        <v>7</v>
      </c>
      <c r="W7" s="1">
        <v>71.509971509971507</v>
      </c>
    </row>
    <row r="8" spans="1:23" x14ac:dyDescent="0.3">
      <c r="A8" s="4">
        <v>584</v>
      </c>
      <c r="B8" s="4" t="s">
        <v>3</v>
      </c>
      <c r="C8" s="4" t="s">
        <v>14</v>
      </c>
      <c r="D8" s="4" t="s">
        <v>4</v>
      </c>
      <c r="E8" s="4">
        <v>1</v>
      </c>
      <c r="F8" s="4" t="s">
        <v>7</v>
      </c>
      <c r="G8" s="4">
        <v>20.286944045911042</v>
      </c>
      <c r="I8" s="2">
        <v>326</v>
      </c>
      <c r="J8" s="2" t="s">
        <v>2</v>
      </c>
      <c r="K8" s="2" t="s">
        <v>14</v>
      </c>
      <c r="L8" s="2" t="s">
        <v>4</v>
      </c>
      <c r="M8" s="2">
        <v>1</v>
      </c>
      <c r="N8" s="2" t="s">
        <v>7</v>
      </c>
      <c r="O8" s="2">
        <v>44.935622317596561</v>
      </c>
      <c r="Q8" s="1">
        <v>340</v>
      </c>
      <c r="R8" s="1" t="s">
        <v>2</v>
      </c>
      <c r="S8" s="1" t="s">
        <v>14</v>
      </c>
      <c r="T8" s="1" t="s">
        <v>4</v>
      </c>
      <c r="U8" s="1">
        <v>1</v>
      </c>
      <c r="V8" s="1" t="s">
        <v>7</v>
      </c>
      <c r="W8" s="1">
        <v>56.182596291012828</v>
      </c>
    </row>
    <row r="9" spans="1:23" x14ac:dyDescent="0.3">
      <c r="A9" s="4">
        <v>666</v>
      </c>
      <c r="B9" s="4" t="s">
        <v>3</v>
      </c>
      <c r="C9" s="4" t="s">
        <v>1</v>
      </c>
      <c r="D9" s="4" t="s">
        <v>5</v>
      </c>
      <c r="E9" s="4">
        <v>1</v>
      </c>
      <c r="F9" s="4" t="s">
        <v>7</v>
      </c>
      <c r="G9" s="4">
        <v>22.309899569583926</v>
      </c>
      <c r="I9" s="2">
        <v>458</v>
      </c>
      <c r="J9" s="2" t="s">
        <v>2</v>
      </c>
      <c r="K9" s="2" t="s">
        <v>14</v>
      </c>
      <c r="L9" s="2" t="s">
        <v>5</v>
      </c>
      <c r="M9" s="2">
        <v>1</v>
      </c>
      <c r="N9" s="2" t="s">
        <v>7</v>
      </c>
      <c r="O9" s="2">
        <v>33.143669985775247</v>
      </c>
      <c r="Q9" s="11">
        <v>270</v>
      </c>
      <c r="R9" s="11" t="s">
        <v>2</v>
      </c>
      <c r="S9" s="11" t="s">
        <v>1</v>
      </c>
      <c r="T9" s="11" t="s">
        <v>4</v>
      </c>
      <c r="U9" s="11">
        <v>2</v>
      </c>
      <c r="V9" s="11" t="s">
        <v>6</v>
      </c>
      <c r="W9" s="11">
        <v>61.02272727272728</v>
      </c>
    </row>
    <row r="10" spans="1:23" x14ac:dyDescent="0.3">
      <c r="A10" s="4">
        <v>718</v>
      </c>
      <c r="B10" s="4" t="s">
        <v>3</v>
      </c>
      <c r="C10" s="4" t="s">
        <v>14</v>
      </c>
      <c r="D10" s="4" t="s">
        <v>5</v>
      </c>
      <c r="E10" s="4">
        <v>1</v>
      </c>
      <c r="F10" s="4" t="s">
        <v>7</v>
      </c>
      <c r="G10" s="4">
        <v>25.579710144927542</v>
      </c>
      <c r="I10" s="2">
        <v>477</v>
      </c>
      <c r="J10" s="2" t="s">
        <v>2</v>
      </c>
      <c r="K10" s="2" t="s">
        <v>1</v>
      </c>
      <c r="L10" s="2" t="s">
        <v>5</v>
      </c>
      <c r="M10" s="2">
        <v>1</v>
      </c>
      <c r="N10" s="2" t="s">
        <v>7</v>
      </c>
      <c r="O10" s="2">
        <v>35.832127351664255</v>
      </c>
      <c r="Q10" s="11">
        <v>289</v>
      </c>
      <c r="R10" s="11" t="s">
        <v>2</v>
      </c>
      <c r="S10" s="11" t="s">
        <v>14</v>
      </c>
      <c r="T10" s="11" t="s">
        <v>4</v>
      </c>
      <c r="U10" s="11">
        <v>2</v>
      </c>
      <c r="V10" s="11" t="s">
        <v>6</v>
      </c>
      <c r="W10" s="11">
        <v>64.835007173601156</v>
      </c>
    </row>
    <row r="11" spans="1:23" x14ac:dyDescent="0.3">
      <c r="A11" s="9">
        <v>486</v>
      </c>
      <c r="B11" s="9" t="s">
        <v>3</v>
      </c>
      <c r="C11" s="9" t="s">
        <v>14</v>
      </c>
      <c r="D11" s="9" t="s">
        <v>4</v>
      </c>
      <c r="E11" s="9">
        <v>2</v>
      </c>
      <c r="F11" s="9" t="s">
        <v>6</v>
      </c>
      <c r="G11" s="9">
        <v>23.930735930735924</v>
      </c>
      <c r="I11" s="10">
        <v>275</v>
      </c>
      <c r="J11" s="10" t="s">
        <v>2</v>
      </c>
      <c r="K11" s="10" t="s">
        <v>1</v>
      </c>
      <c r="L11" s="10" t="s">
        <v>4</v>
      </c>
      <c r="M11" s="10">
        <v>2</v>
      </c>
      <c r="N11" s="10" t="s">
        <v>6</v>
      </c>
      <c r="O11" s="10">
        <v>41.845390070921979</v>
      </c>
      <c r="Q11" s="11">
        <v>376</v>
      </c>
      <c r="R11" s="11" t="s">
        <v>2</v>
      </c>
      <c r="S11" s="11" t="s">
        <v>1</v>
      </c>
      <c r="T11" s="11" t="s">
        <v>5</v>
      </c>
      <c r="U11" s="11">
        <v>2</v>
      </c>
      <c r="V11" s="11" t="s">
        <v>6</v>
      </c>
      <c r="W11" s="11">
        <v>48.458213256484157</v>
      </c>
    </row>
    <row r="12" spans="1:23" x14ac:dyDescent="0.3">
      <c r="A12" s="9">
        <v>499</v>
      </c>
      <c r="B12" s="9" t="s">
        <v>3</v>
      </c>
      <c r="C12" s="9" t="s">
        <v>1</v>
      </c>
      <c r="D12" s="9" t="s">
        <v>4</v>
      </c>
      <c r="E12" s="9">
        <v>2</v>
      </c>
      <c r="F12" s="9" t="s">
        <v>6</v>
      </c>
      <c r="G12" s="9">
        <v>25.923186344238974</v>
      </c>
      <c r="I12" s="10">
        <v>282</v>
      </c>
      <c r="J12" s="10" t="s">
        <v>2</v>
      </c>
      <c r="K12" s="10" t="s">
        <v>14</v>
      </c>
      <c r="L12" s="10" t="s">
        <v>4</v>
      </c>
      <c r="M12" s="10">
        <v>2</v>
      </c>
      <c r="N12" s="10" t="s">
        <v>6</v>
      </c>
      <c r="O12" s="10">
        <v>56.91359773371105</v>
      </c>
      <c r="Q12" s="11">
        <v>409</v>
      </c>
      <c r="R12" s="11" t="s">
        <v>2</v>
      </c>
      <c r="S12" s="11" t="s">
        <v>14</v>
      </c>
      <c r="T12" s="11" t="s">
        <v>5</v>
      </c>
      <c r="U12" s="11">
        <v>2</v>
      </c>
      <c r="V12" s="11" t="s">
        <v>6</v>
      </c>
      <c r="W12" s="11">
        <v>73.11688311688313</v>
      </c>
    </row>
    <row r="13" spans="1:23" x14ac:dyDescent="0.3">
      <c r="A13" s="9">
        <v>653</v>
      </c>
      <c r="B13" s="9" t="s">
        <v>3</v>
      </c>
      <c r="C13" s="9" t="s">
        <v>14</v>
      </c>
      <c r="D13" s="9" t="s">
        <v>5</v>
      </c>
      <c r="E13" s="9">
        <v>2</v>
      </c>
      <c r="F13" s="9" t="s">
        <v>6</v>
      </c>
      <c r="G13" s="9">
        <v>26.241379310344819</v>
      </c>
      <c r="I13" s="10">
        <v>362</v>
      </c>
      <c r="J13" s="10" t="s">
        <v>2</v>
      </c>
      <c r="K13" s="10" t="s">
        <v>1</v>
      </c>
      <c r="L13" s="10" t="s">
        <v>5</v>
      </c>
      <c r="M13" s="10">
        <v>2</v>
      </c>
      <c r="N13" s="10" t="s">
        <v>6</v>
      </c>
      <c r="O13" s="10">
        <v>36.799999999999997</v>
      </c>
      <c r="Q13" s="1">
        <v>360</v>
      </c>
      <c r="R13" s="1" t="s">
        <v>2</v>
      </c>
      <c r="S13" s="1" t="s">
        <v>1</v>
      </c>
      <c r="T13" s="1" t="s">
        <v>4</v>
      </c>
      <c r="U13" s="1">
        <v>2</v>
      </c>
      <c r="V13" s="1" t="s">
        <v>7</v>
      </c>
      <c r="W13" s="1">
        <v>60.058487874465051</v>
      </c>
    </row>
    <row r="14" spans="1:23" x14ac:dyDescent="0.3">
      <c r="A14" s="9">
        <v>656</v>
      </c>
      <c r="B14" s="9" t="s">
        <v>3</v>
      </c>
      <c r="C14" s="9" t="s">
        <v>1</v>
      </c>
      <c r="D14" s="9" t="s">
        <v>5</v>
      </c>
      <c r="E14" s="9">
        <v>2</v>
      </c>
      <c r="F14" s="9" t="s">
        <v>6</v>
      </c>
      <c r="G14" s="9">
        <v>20.870239774330045</v>
      </c>
      <c r="I14" s="10">
        <v>405</v>
      </c>
      <c r="J14" s="10" t="s">
        <v>2</v>
      </c>
      <c r="K14" s="10" t="s">
        <v>14</v>
      </c>
      <c r="L14" s="10" t="s">
        <v>5</v>
      </c>
      <c r="M14" s="10">
        <v>2</v>
      </c>
      <c r="N14" s="10" t="s">
        <v>6</v>
      </c>
      <c r="O14" s="10">
        <v>55.009999999999991</v>
      </c>
      <c r="Q14" s="1">
        <v>427</v>
      </c>
      <c r="R14" s="1" t="s">
        <v>2</v>
      </c>
      <c r="S14" s="1" t="s">
        <v>1</v>
      </c>
      <c r="T14" s="1" t="s">
        <v>5</v>
      </c>
      <c r="U14" s="1">
        <v>2</v>
      </c>
      <c r="V14" s="1" t="s">
        <v>7</v>
      </c>
      <c r="W14" s="1">
        <v>44.312769010043034</v>
      </c>
    </row>
    <row r="15" spans="1:23" x14ac:dyDescent="0.3">
      <c r="A15" s="4">
        <v>562</v>
      </c>
      <c r="B15" s="4" t="s">
        <v>3</v>
      </c>
      <c r="C15" s="4" t="s">
        <v>1</v>
      </c>
      <c r="D15" s="4" t="s">
        <v>4</v>
      </c>
      <c r="E15" s="4">
        <v>2</v>
      </c>
      <c r="F15" s="4" t="s">
        <v>7</v>
      </c>
      <c r="G15" s="4">
        <v>24.638728323699425</v>
      </c>
      <c r="I15" s="2">
        <v>312</v>
      </c>
      <c r="J15" s="2" t="s">
        <v>2</v>
      </c>
      <c r="K15" s="2" t="s">
        <v>14</v>
      </c>
      <c r="L15" s="2" t="s">
        <v>4</v>
      </c>
      <c r="M15" s="2">
        <v>2</v>
      </c>
      <c r="N15" s="2" t="s">
        <v>7</v>
      </c>
      <c r="O15" s="2">
        <v>42.664756446991412</v>
      </c>
      <c r="Q15" s="11">
        <v>252</v>
      </c>
      <c r="R15" s="11" t="s">
        <v>2</v>
      </c>
      <c r="S15" s="11" t="s">
        <v>1</v>
      </c>
      <c r="T15" s="11" t="s">
        <v>4</v>
      </c>
      <c r="U15" s="11">
        <v>3</v>
      </c>
      <c r="V15" s="11" t="s">
        <v>6</v>
      </c>
      <c r="W15" s="11">
        <v>66.734104046242777</v>
      </c>
    </row>
    <row r="16" spans="1:23" x14ac:dyDescent="0.3">
      <c r="A16" s="4">
        <v>574</v>
      </c>
      <c r="B16" s="4" t="s">
        <v>3</v>
      </c>
      <c r="C16" s="4" t="s">
        <v>14</v>
      </c>
      <c r="D16" s="4" t="s">
        <v>4</v>
      </c>
      <c r="E16" s="4">
        <v>2</v>
      </c>
      <c r="F16" s="4" t="s">
        <v>7</v>
      </c>
      <c r="G16" s="4">
        <v>19.449275362318847</v>
      </c>
      <c r="I16" s="2">
        <v>353</v>
      </c>
      <c r="J16" s="2" t="s">
        <v>2</v>
      </c>
      <c r="K16" s="2" t="s">
        <v>1</v>
      </c>
      <c r="L16" s="2" t="s">
        <v>4</v>
      </c>
      <c r="M16" s="2">
        <v>2</v>
      </c>
      <c r="N16" s="2" t="s">
        <v>7</v>
      </c>
      <c r="O16" s="2">
        <v>51.495726495726487</v>
      </c>
      <c r="Q16" s="11">
        <v>276</v>
      </c>
      <c r="R16" s="11" t="s">
        <v>2</v>
      </c>
      <c r="S16" s="11" t="s">
        <v>14</v>
      </c>
      <c r="T16" s="11" t="s">
        <v>4</v>
      </c>
      <c r="U16" s="11">
        <v>3</v>
      </c>
      <c r="V16" s="11" t="s">
        <v>6</v>
      </c>
      <c r="W16" s="11">
        <v>68.340486409155929</v>
      </c>
    </row>
    <row r="17" spans="1:23" x14ac:dyDescent="0.3">
      <c r="A17" s="4">
        <v>688</v>
      </c>
      <c r="B17" s="4" t="s">
        <v>3</v>
      </c>
      <c r="C17" s="4" t="s">
        <v>1</v>
      </c>
      <c r="D17" s="4" t="s">
        <v>5</v>
      </c>
      <c r="E17" s="4">
        <v>2</v>
      </c>
      <c r="F17" s="4" t="s">
        <v>7</v>
      </c>
      <c r="G17" s="4">
        <v>22.780141843971631</v>
      </c>
      <c r="I17" s="2">
        <v>459</v>
      </c>
      <c r="J17" s="2" t="s">
        <v>2</v>
      </c>
      <c r="K17" s="2" t="s">
        <v>1</v>
      </c>
      <c r="L17" s="2" t="s">
        <v>5</v>
      </c>
      <c r="M17" s="2">
        <v>2</v>
      </c>
      <c r="N17" s="2" t="s">
        <v>7</v>
      </c>
      <c r="O17" s="2">
        <v>37.885714285714286</v>
      </c>
      <c r="Q17" s="11">
        <v>380</v>
      </c>
      <c r="R17" s="11" t="s">
        <v>2</v>
      </c>
      <c r="S17" s="11" t="s">
        <v>1</v>
      </c>
      <c r="T17" s="11" t="s">
        <v>5</v>
      </c>
      <c r="U17" s="11">
        <v>3</v>
      </c>
      <c r="V17" s="11" t="s">
        <v>6</v>
      </c>
      <c r="W17" s="11">
        <v>62.875536480686691</v>
      </c>
    </row>
    <row r="18" spans="1:23" x14ac:dyDescent="0.3">
      <c r="A18" s="4">
        <v>706</v>
      </c>
      <c r="B18" s="4" t="s">
        <v>3</v>
      </c>
      <c r="C18" s="4" t="s">
        <v>14</v>
      </c>
      <c r="D18" s="4" t="s">
        <v>5</v>
      </c>
      <c r="E18" s="4">
        <v>2</v>
      </c>
      <c r="F18" s="4" t="s">
        <v>7</v>
      </c>
      <c r="G18" s="4">
        <v>25.470332850940665</v>
      </c>
      <c r="I18" s="2">
        <v>464</v>
      </c>
      <c r="J18" s="2" t="s">
        <v>2</v>
      </c>
      <c r="K18" s="2" t="s">
        <v>14</v>
      </c>
      <c r="L18" s="2" t="s">
        <v>5</v>
      </c>
      <c r="M18" s="2">
        <v>2</v>
      </c>
      <c r="N18" s="2" t="s">
        <v>7</v>
      </c>
      <c r="O18" s="2">
        <v>43.979885057471265</v>
      </c>
      <c r="Q18" s="11">
        <v>400</v>
      </c>
      <c r="R18" s="11" t="s">
        <v>2</v>
      </c>
      <c r="S18" s="11" t="s">
        <v>14</v>
      </c>
      <c r="T18" s="11" t="s">
        <v>5</v>
      </c>
      <c r="U18" s="11">
        <v>3</v>
      </c>
      <c r="V18" s="11" t="s">
        <v>6</v>
      </c>
      <c r="W18" s="11">
        <v>64.573082489146159</v>
      </c>
    </row>
    <row r="19" spans="1:23" x14ac:dyDescent="0.3">
      <c r="A19" s="9">
        <v>525</v>
      </c>
      <c r="B19" s="9" t="s">
        <v>3</v>
      </c>
      <c r="C19" s="9" t="s">
        <v>1</v>
      </c>
      <c r="D19" s="9" t="s">
        <v>4</v>
      </c>
      <c r="E19" s="9">
        <v>3</v>
      </c>
      <c r="F19" s="9" t="s">
        <v>6</v>
      </c>
      <c r="G19" s="9">
        <v>23.712446351931337</v>
      </c>
      <c r="I19" s="10">
        <v>247</v>
      </c>
      <c r="J19" s="10" t="s">
        <v>2</v>
      </c>
      <c r="K19" s="10" t="s">
        <v>14</v>
      </c>
      <c r="L19" s="10" t="s">
        <v>4</v>
      </c>
      <c r="M19" s="10">
        <v>3</v>
      </c>
      <c r="N19" s="10" t="s">
        <v>6</v>
      </c>
      <c r="O19" s="10">
        <v>46.625000000000007</v>
      </c>
      <c r="Q19" s="1">
        <v>343</v>
      </c>
      <c r="R19" s="1" t="s">
        <v>2</v>
      </c>
      <c r="S19" s="1" t="s">
        <v>14</v>
      </c>
      <c r="T19" s="1" t="s">
        <v>4</v>
      </c>
      <c r="U19" s="1">
        <v>3</v>
      </c>
      <c r="V19" s="1" t="s">
        <v>7</v>
      </c>
      <c r="W19" s="1">
        <v>66.292439372325248</v>
      </c>
    </row>
    <row r="20" spans="1:23" x14ac:dyDescent="0.3">
      <c r="A20" s="9">
        <v>527</v>
      </c>
      <c r="B20" s="9" t="s">
        <v>3</v>
      </c>
      <c r="C20" s="9" t="s">
        <v>14</v>
      </c>
      <c r="D20" s="9" t="s">
        <v>4</v>
      </c>
      <c r="E20" s="9">
        <v>3</v>
      </c>
      <c r="F20" s="9" t="s">
        <v>6</v>
      </c>
      <c r="G20" s="9">
        <v>23.032716927453773</v>
      </c>
      <c r="I20" s="10">
        <v>273</v>
      </c>
      <c r="J20" s="10" t="s">
        <v>2</v>
      </c>
      <c r="K20" s="10" t="s">
        <v>1</v>
      </c>
      <c r="L20" s="10" t="s">
        <v>4</v>
      </c>
      <c r="M20" s="10">
        <v>3</v>
      </c>
      <c r="N20" s="10" t="s">
        <v>6</v>
      </c>
      <c r="O20" s="10">
        <v>58.896600566572246</v>
      </c>
      <c r="Q20" s="1">
        <v>435</v>
      </c>
      <c r="R20" s="1" t="s">
        <v>2</v>
      </c>
      <c r="S20" s="1" t="s">
        <v>1</v>
      </c>
      <c r="T20" s="1" t="s">
        <v>4</v>
      </c>
      <c r="U20" s="1">
        <v>3</v>
      </c>
      <c r="V20" s="1" t="s">
        <v>7</v>
      </c>
      <c r="W20" s="1">
        <v>65.359661495063477</v>
      </c>
    </row>
    <row r="21" spans="1:23" x14ac:dyDescent="0.3">
      <c r="A21" s="9">
        <v>638</v>
      </c>
      <c r="B21" s="9" t="s">
        <v>3</v>
      </c>
      <c r="C21" s="9" t="s">
        <v>14</v>
      </c>
      <c r="D21" s="9" t="s">
        <v>5</v>
      </c>
      <c r="E21" s="9">
        <v>3</v>
      </c>
      <c r="F21" s="9" t="s">
        <v>6</v>
      </c>
      <c r="G21" s="9">
        <v>31.537911301859804</v>
      </c>
      <c r="I21" s="10">
        <v>369</v>
      </c>
      <c r="J21" s="10" t="s">
        <v>2</v>
      </c>
      <c r="K21" s="10" t="s">
        <v>14</v>
      </c>
      <c r="L21" s="10" t="s">
        <v>5</v>
      </c>
      <c r="M21" s="10">
        <v>3</v>
      </c>
      <c r="N21" s="10" t="s">
        <v>6</v>
      </c>
      <c r="O21" s="10">
        <v>44.941843971631201</v>
      </c>
      <c r="Q21" s="1">
        <v>447</v>
      </c>
      <c r="R21" s="1" t="s">
        <v>2</v>
      </c>
      <c r="S21" s="1" t="s">
        <v>14</v>
      </c>
      <c r="T21" s="1" t="s">
        <v>5</v>
      </c>
      <c r="U21" s="1">
        <v>3</v>
      </c>
      <c r="V21" s="1" t="s">
        <v>7</v>
      </c>
      <c r="W21" s="1">
        <v>61.465714285714292</v>
      </c>
    </row>
    <row r="22" spans="1:23" x14ac:dyDescent="0.3">
      <c r="A22" s="9">
        <v>640</v>
      </c>
      <c r="B22" s="9" t="s">
        <v>3</v>
      </c>
      <c r="C22" s="9" t="s">
        <v>1</v>
      </c>
      <c r="D22" s="9" t="s">
        <v>5</v>
      </c>
      <c r="E22" s="9">
        <v>3</v>
      </c>
      <c r="F22" s="9" t="s">
        <v>6</v>
      </c>
      <c r="G22" s="9">
        <v>34.424855491329481</v>
      </c>
      <c r="I22" s="10">
        <v>396</v>
      </c>
      <c r="J22" s="10" t="s">
        <v>2</v>
      </c>
      <c r="K22" s="10" t="s">
        <v>1</v>
      </c>
      <c r="L22" s="10" t="s">
        <v>5</v>
      </c>
      <c r="M22" s="10">
        <v>3</v>
      </c>
      <c r="N22" s="10" t="s">
        <v>6</v>
      </c>
      <c r="O22" s="10">
        <v>41.805084745762713</v>
      </c>
      <c r="Q22" s="1">
        <v>452</v>
      </c>
      <c r="R22" s="1" t="s">
        <v>2</v>
      </c>
      <c r="S22" s="1" t="s">
        <v>1</v>
      </c>
      <c r="T22" s="1" t="s">
        <v>5</v>
      </c>
      <c r="U22" s="1">
        <v>3</v>
      </c>
      <c r="V22" s="1" t="s">
        <v>7</v>
      </c>
      <c r="W22" s="1">
        <v>52.547788873038513</v>
      </c>
    </row>
    <row r="23" spans="1:23" x14ac:dyDescent="0.3">
      <c r="A23" s="4">
        <v>546</v>
      </c>
      <c r="B23" s="4" t="s">
        <v>3</v>
      </c>
      <c r="C23" s="4" t="s">
        <v>1</v>
      </c>
      <c r="D23" s="4" t="s">
        <v>4</v>
      </c>
      <c r="E23" s="4">
        <v>3</v>
      </c>
      <c r="F23" s="4" t="s">
        <v>7</v>
      </c>
      <c r="G23" s="4">
        <v>19.64639321074965</v>
      </c>
      <c r="I23" s="2">
        <v>352</v>
      </c>
      <c r="J23" s="2" t="s">
        <v>2</v>
      </c>
      <c r="K23" s="2" t="s">
        <v>1</v>
      </c>
      <c r="L23" s="2" t="s">
        <v>4</v>
      </c>
      <c r="M23" s="2">
        <v>3</v>
      </c>
      <c r="N23" s="2" t="s">
        <v>7</v>
      </c>
      <c r="O23" s="2">
        <v>41.337126600284499</v>
      </c>
      <c r="Q23" s="11">
        <v>241</v>
      </c>
      <c r="R23" s="11" t="s">
        <v>2</v>
      </c>
      <c r="S23" s="11" t="s">
        <v>1</v>
      </c>
      <c r="T23" s="11" t="s">
        <v>4</v>
      </c>
      <c r="U23" s="11">
        <v>4</v>
      </c>
      <c r="V23" s="11" t="s">
        <v>6</v>
      </c>
      <c r="W23" s="11">
        <v>74.295874822190598</v>
      </c>
    </row>
    <row r="24" spans="1:23" x14ac:dyDescent="0.3">
      <c r="A24" s="4">
        <v>593</v>
      </c>
      <c r="B24" s="4" t="s">
        <v>3</v>
      </c>
      <c r="C24" s="4" t="s">
        <v>14</v>
      </c>
      <c r="D24" s="4" t="s">
        <v>4</v>
      </c>
      <c r="E24" s="4">
        <v>3</v>
      </c>
      <c r="F24" s="4" t="s">
        <v>7</v>
      </c>
      <c r="G24" s="4">
        <v>19.88636363636364</v>
      </c>
      <c r="I24" s="2">
        <v>358</v>
      </c>
      <c r="J24" s="2" t="s">
        <v>2</v>
      </c>
      <c r="K24" s="2" t="s">
        <v>14</v>
      </c>
      <c r="L24" s="2" t="s">
        <v>4</v>
      </c>
      <c r="M24" s="2">
        <v>3</v>
      </c>
      <c r="N24" s="2" t="s">
        <v>7</v>
      </c>
      <c r="O24" s="2">
        <v>54.1235632183908</v>
      </c>
      <c r="Q24" s="11">
        <v>256</v>
      </c>
      <c r="R24" s="11" t="s">
        <v>2</v>
      </c>
      <c r="S24" s="11" t="s">
        <v>14</v>
      </c>
      <c r="T24" s="11" t="s">
        <v>4</v>
      </c>
      <c r="U24" s="11">
        <v>4</v>
      </c>
      <c r="V24" s="11" t="s">
        <v>6</v>
      </c>
      <c r="W24" s="11">
        <v>62.849533954727022</v>
      </c>
    </row>
    <row r="25" spans="1:23" x14ac:dyDescent="0.3">
      <c r="A25" s="4">
        <v>708</v>
      </c>
      <c r="B25" s="4" t="s">
        <v>3</v>
      </c>
      <c r="C25" s="4" t="s">
        <v>1</v>
      </c>
      <c r="D25" s="4" t="s">
        <v>5</v>
      </c>
      <c r="E25" s="4">
        <v>3</v>
      </c>
      <c r="F25" s="4" t="s">
        <v>7</v>
      </c>
      <c r="G25" s="4">
        <v>23.463203463203456</v>
      </c>
      <c r="I25" s="2">
        <v>423</v>
      </c>
      <c r="J25" s="2" t="s">
        <v>2</v>
      </c>
      <c r="K25" s="2" t="s">
        <v>1</v>
      </c>
      <c r="L25" s="2" t="s">
        <v>5</v>
      </c>
      <c r="M25" s="2">
        <v>3</v>
      </c>
      <c r="N25" s="2" t="s">
        <v>7</v>
      </c>
      <c r="O25" s="2">
        <v>37.954220314735345</v>
      </c>
      <c r="Q25" s="11">
        <v>406</v>
      </c>
      <c r="R25" s="11" t="s">
        <v>2</v>
      </c>
      <c r="S25" s="11" t="s">
        <v>14</v>
      </c>
      <c r="T25" s="11" t="s">
        <v>5</v>
      </c>
      <c r="U25" s="11">
        <v>4</v>
      </c>
      <c r="V25" s="11" t="s">
        <v>6</v>
      </c>
      <c r="W25" s="11">
        <v>70.789096126255373</v>
      </c>
    </row>
    <row r="26" spans="1:23" x14ac:dyDescent="0.3">
      <c r="A26" s="4">
        <v>719</v>
      </c>
      <c r="B26" s="4" t="s">
        <v>3</v>
      </c>
      <c r="C26" s="4" t="s">
        <v>14</v>
      </c>
      <c r="D26" s="4" t="s">
        <v>5</v>
      </c>
      <c r="E26" s="4">
        <v>3</v>
      </c>
      <c r="F26" s="4" t="s">
        <v>7</v>
      </c>
      <c r="G26" s="4">
        <v>19.829302987197725</v>
      </c>
      <c r="I26" s="2">
        <v>474</v>
      </c>
      <c r="J26" s="2" t="s">
        <v>2</v>
      </c>
      <c r="K26" s="2" t="s">
        <v>14</v>
      </c>
      <c r="L26" s="2" t="s">
        <v>5</v>
      </c>
      <c r="M26" s="2">
        <v>3</v>
      </c>
      <c r="N26" s="2" t="s">
        <v>7</v>
      </c>
      <c r="O26" s="2">
        <v>35.514285714285712</v>
      </c>
      <c r="Q26" s="11">
        <v>410</v>
      </c>
      <c r="R26" s="11" t="s">
        <v>2</v>
      </c>
      <c r="S26" s="11" t="s">
        <v>1</v>
      </c>
      <c r="T26" s="11" t="s">
        <v>5</v>
      </c>
      <c r="U26" s="11">
        <v>4</v>
      </c>
      <c r="V26" s="11" t="s">
        <v>6</v>
      </c>
      <c r="W26" s="11">
        <v>80.374100719424462</v>
      </c>
    </row>
    <row r="27" spans="1:23" x14ac:dyDescent="0.3">
      <c r="A27" s="81">
        <v>481</v>
      </c>
      <c r="B27" s="81" t="s">
        <v>3</v>
      </c>
      <c r="C27" s="81" t="s">
        <v>14</v>
      </c>
      <c r="D27" s="81" t="s">
        <v>4</v>
      </c>
      <c r="E27" s="81">
        <v>4</v>
      </c>
      <c r="F27" s="81" t="s">
        <v>6</v>
      </c>
      <c r="G27" s="81">
        <v>26.505649717514125</v>
      </c>
      <c r="I27" s="10">
        <v>257</v>
      </c>
      <c r="J27" s="10" t="s">
        <v>2</v>
      </c>
      <c r="K27" s="10" t="s">
        <v>14</v>
      </c>
      <c r="L27" s="10" t="s">
        <v>4</v>
      </c>
      <c r="M27" s="10">
        <v>4</v>
      </c>
      <c r="N27" s="10" t="s">
        <v>6</v>
      </c>
      <c r="O27" s="10">
        <v>59.271428571428572</v>
      </c>
      <c r="Q27" s="1">
        <v>303</v>
      </c>
      <c r="R27" s="1" t="s">
        <v>2</v>
      </c>
      <c r="S27" s="1" t="s">
        <v>14</v>
      </c>
      <c r="T27" s="1" t="s">
        <v>4</v>
      </c>
      <c r="U27" s="1">
        <v>4</v>
      </c>
      <c r="V27" s="1" t="s">
        <v>7</v>
      </c>
      <c r="W27" s="1">
        <v>61.052407932011334</v>
      </c>
    </row>
    <row r="28" spans="1:23" x14ac:dyDescent="0.3">
      <c r="A28" s="81">
        <v>515</v>
      </c>
      <c r="B28" s="81" t="s">
        <v>3</v>
      </c>
      <c r="C28" s="81" t="s">
        <v>14</v>
      </c>
      <c r="D28" s="81" t="s">
        <v>4</v>
      </c>
      <c r="E28" s="81">
        <v>4</v>
      </c>
      <c r="F28" s="81" t="s">
        <v>6</v>
      </c>
      <c r="G28" s="81">
        <v>25.313031161473088</v>
      </c>
      <c r="I28" s="10">
        <v>274</v>
      </c>
      <c r="J28" s="10" t="s">
        <v>2</v>
      </c>
      <c r="K28" s="10" t="s">
        <v>1</v>
      </c>
      <c r="L28" s="10" t="s">
        <v>4</v>
      </c>
      <c r="M28" s="10">
        <v>4</v>
      </c>
      <c r="N28" s="10" t="s">
        <v>6</v>
      </c>
      <c r="O28" s="10">
        <v>47.643266475644701</v>
      </c>
      <c r="Q28" s="1">
        <v>306</v>
      </c>
      <c r="R28" s="1" t="s">
        <v>2</v>
      </c>
      <c r="S28" s="1" t="s">
        <v>1</v>
      </c>
      <c r="T28" s="1" t="s">
        <v>4</v>
      </c>
      <c r="U28" s="1">
        <v>4</v>
      </c>
      <c r="V28" s="1" t="s">
        <v>7</v>
      </c>
      <c r="W28" s="1">
        <v>40.880512091038398</v>
      </c>
    </row>
    <row r="29" spans="1:23" x14ac:dyDescent="0.3">
      <c r="A29" s="81">
        <v>658</v>
      </c>
      <c r="B29" s="81" t="s">
        <v>3</v>
      </c>
      <c r="C29" s="81" t="s">
        <v>1</v>
      </c>
      <c r="D29" s="81" t="s">
        <v>5</v>
      </c>
      <c r="E29" s="81">
        <v>4</v>
      </c>
      <c r="F29" s="81" t="s">
        <v>6</v>
      </c>
      <c r="G29" s="81">
        <v>28.007204610951014</v>
      </c>
      <c r="I29" s="10">
        <v>390</v>
      </c>
      <c r="J29" s="10" t="s">
        <v>2</v>
      </c>
      <c r="K29" s="10" t="s">
        <v>1</v>
      </c>
      <c r="L29" s="10" t="s">
        <v>5</v>
      </c>
      <c r="M29" s="10">
        <v>4</v>
      </c>
      <c r="N29" s="10" t="s">
        <v>6</v>
      </c>
      <c r="O29" s="10">
        <v>42.11840228245363</v>
      </c>
      <c r="Q29" s="1">
        <v>463</v>
      </c>
      <c r="R29" s="1" t="s">
        <v>2</v>
      </c>
      <c r="S29" s="1" t="s">
        <v>14</v>
      </c>
      <c r="T29" s="1" t="s">
        <v>5</v>
      </c>
      <c r="U29" s="1">
        <v>4</v>
      </c>
      <c r="V29" s="1" t="s">
        <v>7</v>
      </c>
      <c r="W29" s="1">
        <v>49.561604584527224</v>
      </c>
    </row>
    <row r="30" spans="1:23" x14ac:dyDescent="0.3">
      <c r="A30" s="4">
        <v>541</v>
      </c>
      <c r="B30" s="4" t="s">
        <v>3</v>
      </c>
      <c r="C30" s="4" t="s">
        <v>14</v>
      </c>
      <c r="D30" s="4" t="s">
        <v>4</v>
      </c>
      <c r="E30" s="4">
        <v>4</v>
      </c>
      <c r="F30" s="4" t="s">
        <v>7</v>
      </c>
      <c r="G30" s="4">
        <v>23.753623188405797</v>
      </c>
      <c r="I30" s="10" t="s">
        <v>31</v>
      </c>
      <c r="J30" s="10" t="s">
        <v>2</v>
      </c>
      <c r="K30" s="10" t="s">
        <v>14</v>
      </c>
      <c r="L30" s="10" t="s">
        <v>5</v>
      </c>
      <c r="M30" s="10">
        <v>4</v>
      </c>
      <c r="N30" s="10" t="s">
        <v>6</v>
      </c>
      <c r="O30" s="10">
        <v>55.607142857142854</v>
      </c>
      <c r="Q30" s="1">
        <v>470</v>
      </c>
      <c r="R30" s="1" t="s">
        <v>2</v>
      </c>
      <c r="S30" s="1" t="s">
        <v>1</v>
      </c>
      <c r="T30" s="1" t="s">
        <v>5</v>
      </c>
      <c r="U30" s="1">
        <v>4</v>
      </c>
      <c r="V30" s="1" t="s">
        <v>7</v>
      </c>
      <c r="W30" s="1">
        <v>40.604046242774565</v>
      </c>
    </row>
    <row r="31" spans="1:23" x14ac:dyDescent="0.3">
      <c r="A31" s="4">
        <v>572</v>
      </c>
      <c r="B31" s="4" t="s">
        <v>3</v>
      </c>
      <c r="C31" s="4" t="s">
        <v>1</v>
      </c>
      <c r="D31" s="4" t="s">
        <v>4</v>
      </c>
      <c r="E31" s="4">
        <v>4</v>
      </c>
      <c r="F31" s="4" t="s">
        <v>7</v>
      </c>
      <c r="G31" s="4">
        <v>19.585121602288979</v>
      </c>
      <c r="I31" s="2">
        <v>314</v>
      </c>
      <c r="J31" s="2" t="s">
        <v>2</v>
      </c>
      <c r="K31" s="2" t="s">
        <v>1</v>
      </c>
      <c r="L31" s="2" t="s">
        <v>4</v>
      </c>
      <c r="M31" s="2">
        <v>4</v>
      </c>
      <c r="N31" s="2" t="s">
        <v>7</v>
      </c>
      <c r="O31" s="2">
        <v>44.47782546494993</v>
      </c>
      <c r="Q31" s="11">
        <v>243</v>
      </c>
      <c r="R31" s="11" t="s">
        <v>2</v>
      </c>
      <c r="S31" s="11" t="s">
        <v>1</v>
      </c>
      <c r="T31" s="11" t="s">
        <v>4</v>
      </c>
      <c r="U31" s="11">
        <v>5</v>
      </c>
      <c r="V31" s="11" t="s">
        <v>6</v>
      </c>
      <c r="W31" s="11">
        <v>69.303338171262695</v>
      </c>
    </row>
    <row r="32" spans="1:23" x14ac:dyDescent="0.3">
      <c r="A32" s="82">
        <v>685</v>
      </c>
      <c r="B32" s="82" t="s">
        <v>3</v>
      </c>
      <c r="C32" s="82" t="s">
        <v>14</v>
      </c>
      <c r="D32" s="82" t="s">
        <v>5</v>
      </c>
      <c r="E32" s="82">
        <v>4</v>
      </c>
      <c r="F32" s="82" t="s">
        <v>7</v>
      </c>
      <c r="G32" s="82">
        <v>22.642857142857142</v>
      </c>
      <c r="I32" s="2">
        <v>348</v>
      </c>
      <c r="J32" s="2" t="s">
        <v>2</v>
      </c>
      <c r="K32" s="2" t="s">
        <v>14</v>
      </c>
      <c r="L32" s="2" t="s">
        <v>4</v>
      </c>
      <c r="M32" s="2">
        <v>4</v>
      </c>
      <c r="N32" s="2" t="s">
        <v>7</v>
      </c>
      <c r="O32" s="2">
        <v>48.5</v>
      </c>
      <c r="Q32" s="11">
        <v>411</v>
      </c>
      <c r="R32" s="11" t="s">
        <v>2</v>
      </c>
      <c r="S32" s="11" t="s">
        <v>1</v>
      </c>
      <c r="T32" s="11" t="s">
        <v>5</v>
      </c>
      <c r="U32" s="11">
        <v>5</v>
      </c>
      <c r="V32" s="11" t="s">
        <v>6</v>
      </c>
      <c r="W32" s="11">
        <v>55.092724679029956</v>
      </c>
    </row>
    <row r="33" spans="1:23" x14ac:dyDescent="0.3">
      <c r="A33" s="4">
        <v>709</v>
      </c>
      <c r="B33" s="4" t="s">
        <v>3</v>
      </c>
      <c r="C33" s="4" t="s">
        <v>1</v>
      </c>
      <c r="D33" s="4" t="s">
        <v>5</v>
      </c>
      <c r="E33" s="4">
        <v>4</v>
      </c>
      <c r="F33" s="4" t="s">
        <v>7</v>
      </c>
      <c r="G33" s="4">
        <v>25.100864553314118</v>
      </c>
      <c r="I33" s="2">
        <v>472</v>
      </c>
      <c r="J33" s="2" t="s">
        <v>2</v>
      </c>
      <c r="K33" s="2" t="s">
        <v>1</v>
      </c>
      <c r="L33" s="2" t="s">
        <v>5</v>
      </c>
      <c r="M33" s="2">
        <v>4</v>
      </c>
      <c r="N33" s="2" t="s">
        <v>7</v>
      </c>
      <c r="O33" s="2">
        <v>38.193641618497111</v>
      </c>
      <c r="Q33" s="1">
        <v>440</v>
      </c>
      <c r="R33" s="1" t="s">
        <v>2</v>
      </c>
      <c r="S33" s="1" t="s">
        <v>1</v>
      </c>
      <c r="T33" s="1" t="s">
        <v>5</v>
      </c>
      <c r="U33" s="1">
        <v>5</v>
      </c>
      <c r="V33" s="1" t="s">
        <v>7</v>
      </c>
      <c r="W33" s="1">
        <v>44.846372688477956</v>
      </c>
    </row>
    <row r="34" spans="1:23" x14ac:dyDescent="0.3">
      <c r="A34" s="9">
        <v>537</v>
      </c>
      <c r="B34" s="9" t="s">
        <v>3</v>
      </c>
      <c r="C34" s="9" t="s">
        <v>1</v>
      </c>
      <c r="D34" s="9" t="s">
        <v>4</v>
      </c>
      <c r="E34" s="9">
        <v>5</v>
      </c>
      <c r="F34" s="9" t="s">
        <v>6</v>
      </c>
      <c r="G34" s="9">
        <v>21.683381088825222</v>
      </c>
      <c r="I34" s="10">
        <v>250</v>
      </c>
      <c r="J34" s="10" t="s">
        <v>2</v>
      </c>
      <c r="K34" s="10" t="s">
        <v>1</v>
      </c>
      <c r="L34" s="10" t="s">
        <v>4</v>
      </c>
      <c r="M34" s="10">
        <v>5</v>
      </c>
      <c r="N34" s="10" t="s">
        <v>6</v>
      </c>
      <c r="O34" s="10">
        <v>45.912356321839084</v>
      </c>
      <c r="Q34" s="1" t="s">
        <v>74</v>
      </c>
      <c r="R34" s="1" t="s">
        <v>2</v>
      </c>
      <c r="S34" s="1" t="s">
        <v>1</v>
      </c>
      <c r="T34" s="1" t="s">
        <v>4</v>
      </c>
      <c r="U34" s="1">
        <v>5</v>
      </c>
      <c r="V34" s="1" t="s">
        <v>7</v>
      </c>
      <c r="W34" s="1">
        <v>53.93</v>
      </c>
    </row>
    <row r="35" spans="1:23" x14ac:dyDescent="0.3">
      <c r="A35" s="9">
        <v>540</v>
      </c>
      <c r="B35" s="9" t="s">
        <v>3</v>
      </c>
      <c r="C35" s="9" t="s">
        <v>14</v>
      </c>
      <c r="D35" s="9" t="s">
        <v>4</v>
      </c>
      <c r="E35" s="9">
        <v>5</v>
      </c>
      <c r="F35" s="9" t="s">
        <v>6</v>
      </c>
      <c r="G35" s="9">
        <v>22.645114942528739</v>
      </c>
      <c r="I35" s="10">
        <v>253</v>
      </c>
      <c r="J35" s="10" t="s">
        <v>2</v>
      </c>
      <c r="K35" s="10" t="s">
        <v>14</v>
      </c>
      <c r="L35" s="10" t="s">
        <v>4</v>
      </c>
      <c r="M35" s="10">
        <v>5</v>
      </c>
      <c r="N35" s="10" t="s">
        <v>6</v>
      </c>
      <c r="O35" s="10">
        <v>56.080229226361034</v>
      </c>
    </row>
    <row r="36" spans="1:23" x14ac:dyDescent="0.3">
      <c r="A36" s="9">
        <v>632</v>
      </c>
      <c r="B36" s="9" t="s">
        <v>3</v>
      </c>
      <c r="C36" s="9" t="s">
        <v>1</v>
      </c>
      <c r="D36" s="9" t="s">
        <v>5</v>
      </c>
      <c r="E36" s="9">
        <v>5</v>
      </c>
      <c r="F36" s="9" t="s">
        <v>6</v>
      </c>
      <c r="G36" s="9">
        <v>30.259365994236315</v>
      </c>
      <c r="I36" s="10">
        <v>363</v>
      </c>
      <c r="J36" s="10" t="s">
        <v>2</v>
      </c>
      <c r="K36" s="10" t="s">
        <v>14</v>
      </c>
      <c r="L36" s="10" t="s">
        <v>5</v>
      </c>
      <c r="M36" s="10">
        <v>5</v>
      </c>
      <c r="N36" s="10" t="s">
        <v>6</v>
      </c>
      <c r="O36" s="10">
        <v>41.308022922636106</v>
      </c>
    </row>
    <row r="37" spans="1:23" x14ac:dyDescent="0.3">
      <c r="A37" s="9">
        <v>636</v>
      </c>
      <c r="B37" s="9" t="s">
        <v>3</v>
      </c>
      <c r="C37" s="9" t="s">
        <v>14</v>
      </c>
      <c r="D37" s="9" t="s">
        <v>5</v>
      </c>
      <c r="E37" s="9">
        <v>5</v>
      </c>
      <c r="F37" s="9" t="s">
        <v>6</v>
      </c>
      <c r="G37" s="9">
        <v>28.662824207492797</v>
      </c>
      <c r="I37" s="10">
        <v>364</v>
      </c>
      <c r="J37" s="10" t="s">
        <v>2</v>
      </c>
      <c r="K37" s="10" t="s">
        <v>1</v>
      </c>
      <c r="L37" s="10" t="s">
        <v>5</v>
      </c>
      <c r="M37" s="10">
        <v>5</v>
      </c>
      <c r="N37" s="10" t="s">
        <v>6</v>
      </c>
      <c r="O37" s="10">
        <v>51.169515669515661</v>
      </c>
    </row>
    <row r="38" spans="1:23" x14ac:dyDescent="0.3">
      <c r="A38" s="4">
        <v>554</v>
      </c>
      <c r="B38" s="4" t="s">
        <v>3</v>
      </c>
      <c r="C38" s="4" t="s">
        <v>14</v>
      </c>
      <c r="D38" s="4" t="s">
        <v>4</v>
      </c>
      <c r="E38" s="4">
        <v>5</v>
      </c>
      <c r="F38" s="4" t="s">
        <v>7</v>
      </c>
      <c r="G38" s="4">
        <v>24.03409090909091</v>
      </c>
      <c r="I38" s="2">
        <v>345</v>
      </c>
      <c r="J38" s="2" t="s">
        <v>2</v>
      </c>
      <c r="K38" s="2" t="s">
        <v>1</v>
      </c>
      <c r="L38" s="2" t="s">
        <v>4</v>
      </c>
      <c r="M38" s="2">
        <v>5</v>
      </c>
      <c r="N38" s="2" t="s">
        <v>7</v>
      </c>
      <c r="O38" s="2">
        <v>45.810616929698703</v>
      </c>
    </row>
    <row r="39" spans="1:23" x14ac:dyDescent="0.3">
      <c r="A39" s="4">
        <v>576</v>
      </c>
      <c r="B39" s="4" t="s">
        <v>3</v>
      </c>
      <c r="C39" s="4" t="s">
        <v>1</v>
      </c>
      <c r="D39" s="4" t="s">
        <v>4</v>
      </c>
      <c r="E39" s="4">
        <v>5</v>
      </c>
      <c r="F39" s="4" t="s">
        <v>7</v>
      </c>
      <c r="G39" s="4">
        <v>22.625538020086083</v>
      </c>
      <c r="I39" s="2">
        <v>346</v>
      </c>
      <c r="J39" s="2" t="s">
        <v>2</v>
      </c>
      <c r="K39" s="2" t="s">
        <v>14</v>
      </c>
      <c r="L39" s="2" t="s">
        <v>4</v>
      </c>
      <c r="M39" s="2">
        <v>5</v>
      </c>
      <c r="N39" s="2" t="s">
        <v>7</v>
      </c>
      <c r="O39" s="2">
        <v>52.61363636363636</v>
      </c>
    </row>
    <row r="40" spans="1:23" x14ac:dyDescent="0.3">
      <c r="A40" s="4">
        <v>703</v>
      </c>
      <c r="B40" s="4" t="s">
        <v>3</v>
      </c>
      <c r="C40" s="4" t="s">
        <v>14</v>
      </c>
      <c r="D40" s="4" t="s">
        <v>5</v>
      </c>
      <c r="E40" s="4">
        <v>5</v>
      </c>
      <c r="F40" s="4" t="s">
        <v>7</v>
      </c>
      <c r="G40" s="4">
        <v>25.855072463768124</v>
      </c>
      <c r="I40" s="2">
        <v>436</v>
      </c>
      <c r="J40" s="2" t="s">
        <v>2</v>
      </c>
      <c r="K40" s="2" t="s">
        <v>1</v>
      </c>
      <c r="L40" s="2" t="s">
        <v>5</v>
      </c>
      <c r="M40" s="2">
        <v>5</v>
      </c>
      <c r="N40" s="2" t="s">
        <v>7</v>
      </c>
      <c r="O40" s="2">
        <v>36.005747126436781</v>
      </c>
    </row>
    <row r="41" spans="1:23" x14ac:dyDescent="0.3">
      <c r="A41" s="4">
        <v>716</v>
      </c>
      <c r="B41" s="4" t="s">
        <v>3</v>
      </c>
      <c r="C41" s="4" t="s">
        <v>1</v>
      </c>
      <c r="D41" s="4" t="s">
        <v>5</v>
      </c>
      <c r="E41" s="4">
        <v>5</v>
      </c>
      <c r="F41" s="4" t="s">
        <v>7</v>
      </c>
      <c r="G41" s="4">
        <v>27.801724137931028</v>
      </c>
      <c r="I41" s="2">
        <v>475</v>
      </c>
      <c r="J41" s="2" t="s">
        <v>2</v>
      </c>
      <c r="K41" s="2" t="s">
        <v>14</v>
      </c>
      <c r="L41" s="2" t="s">
        <v>5</v>
      </c>
      <c r="M41" s="2">
        <v>5</v>
      </c>
      <c r="N41" s="2" t="s">
        <v>7</v>
      </c>
      <c r="O41" s="2">
        <v>41.483594864479315</v>
      </c>
    </row>
  </sheetData>
  <sortState xmlns:xlrd2="http://schemas.microsoft.com/office/spreadsheetml/2017/richdata2" ref="Q3:W34">
    <sortCondition ref="U3:U34"/>
    <sortCondition ref="V3:V34"/>
    <sortCondition ref="Q3:Q34"/>
    <sortCondition ref="T3:T34"/>
    <sortCondition ref="S3:S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BD61-B5DF-4C8B-81DA-D4A69111545A}">
  <dimension ref="A1:X672"/>
  <sheetViews>
    <sheetView topLeftCell="A2" workbookViewId="0">
      <selection activeCell="B17" sqref="A17:B17"/>
    </sheetView>
  </sheetViews>
  <sheetFormatPr defaultRowHeight="14.4" x14ac:dyDescent="0.3"/>
  <cols>
    <col min="1" max="1" width="12.5546875" bestFit="1" customWidth="1"/>
    <col min="2" max="3" width="20.5546875" bestFit="1" customWidth="1"/>
  </cols>
  <sheetData>
    <row r="1" spans="1:24" x14ac:dyDescent="0.3">
      <c r="R1" t="s">
        <v>24</v>
      </c>
      <c r="S1" t="s">
        <v>8</v>
      </c>
      <c r="T1" t="s">
        <v>136</v>
      </c>
      <c r="U1" t="s">
        <v>12</v>
      </c>
      <c r="V1" t="s">
        <v>9</v>
      </c>
      <c r="W1" t="s">
        <v>10</v>
      </c>
    </row>
    <row r="2" spans="1:24" x14ac:dyDescent="0.3">
      <c r="R2">
        <v>6</v>
      </c>
      <c r="W2">
        <v>6</v>
      </c>
      <c r="X2">
        <v>24.0971091525664</v>
      </c>
    </row>
    <row r="3" spans="1:24" x14ac:dyDescent="0.3">
      <c r="A3" s="71" t="s">
        <v>132</v>
      </c>
      <c r="B3" t="s">
        <v>135</v>
      </c>
      <c r="W3" t="s">
        <v>3</v>
      </c>
      <c r="X3">
        <v>24.968314821662624</v>
      </c>
    </row>
    <row r="4" spans="1:24" x14ac:dyDescent="0.3">
      <c r="A4" s="14">
        <v>0</v>
      </c>
      <c r="B4">
        <v>6</v>
      </c>
      <c r="W4">
        <v>1</v>
      </c>
      <c r="X4">
        <v>26.806450149176239</v>
      </c>
    </row>
    <row r="5" spans="1:24" x14ac:dyDescent="0.3">
      <c r="A5" s="72" t="s">
        <v>3</v>
      </c>
      <c r="B5">
        <v>2</v>
      </c>
      <c r="E5" t="s">
        <v>134</v>
      </c>
      <c r="W5" t="s">
        <v>6</v>
      </c>
      <c r="X5">
        <v>31.933568725199638</v>
      </c>
    </row>
    <row r="6" spans="1:24" x14ac:dyDescent="0.3">
      <c r="A6" s="72" t="s">
        <v>0</v>
      </c>
      <c r="B6">
        <v>2</v>
      </c>
      <c r="E6" t="s">
        <v>24</v>
      </c>
      <c r="F6" t="s">
        <v>1</v>
      </c>
      <c r="G6" t="s">
        <v>14</v>
      </c>
      <c r="W6" t="s">
        <v>4</v>
      </c>
      <c r="X6">
        <v>26.98559077809799</v>
      </c>
    </row>
    <row r="7" spans="1:24" x14ac:dyDescent="0.3">
      <c r="A7" s="72" t="s">
        <v>2</v>
      </c>
      <c r="B7">
        <v>2</v>
      </c>
      <c r="E7">
        <v>1</v>
      </c>
      <c r="F7">
        <v>55.2466099900846</v>
      </c>
      <c r="G7" s="73">
        <v>58.493320408426847</v>
      </c>
      <c r="W7" t="s">
        <v>14</v>
      </c>
      <c r="X7">
        <v>26.98559077809799</v>
      </c>
    </row>
    <row r="8" spans="1:24" x14ac:dyDescent="0.3">
      <c r="A8" s="14">
        <v>1</v>
      </c>
      <c r="B8">
        <v>120</v>
      </c>
      <c r="E8">
        <v>2</v>
      </c>
      <c r="F8" s="73">
        <v>42.456947535244296</v>
      </c>
      <c r="G8">
        <v>39.329570785051118</v>
      </c>
      <c r="W8" t="s">
        <v>5</v>
      </c>
      <c r="X8">
        <v>33.582894707566858</v>
      </c>
    </row>
    <row r="9" spans="1:24" x14ac:dyDescent="0.3">
      <c r="A9" s="72" t="s">
        <v>3</v>
      </c>
      <c r="B9">
        <v>40</v>
      </c>
      <c r="E9">
        <v>6</v>
      </c>
      <c r="F9" s="73">
        <v>41.012154925467932</v>
      </c>
      <c r="G9">
        <v>37.975753540554784</v>
      </c>
      <c r="W9" t="s">
        <v>1</v>
      </c>
      <c r="X9">
        <v>35.625754490728816</v>
      </c>
    </row>
    <row r="10" spans="1:24" x14ac:dyDescent="0.3">
      <c r="A10" s="72" t="s">
        <v>0</v>
      </c>
      <c r="B10">
        <v>40</v>
      </c>
      <c r="E10">
        <v>12</v>
      </c>
      <c r="F10" s="73">
        <v>61.108430274307167</v>
      </c>
      <c r="G10">
        <v>58.920939277297606</v>
      </c>
      <c r="W10" t="s">
        <v>14</v>
      </c>
      <c r="X10">
        <v>29.497175141242938</v>
      </c>
    </row>
    <row r="11" spans="1:24" x14ac:dyDescent="0.3">
      <c r="A11" s="72" t="s">
        <v>2</v>
      </c>
      <c r="B11">
        <v>40</v>
      </c>
      <c r="E11">
        <v>18</v>
      </c>
      <c r="F11" s="73">
        <v>52.850181327444723</v>
      </c>
      <c r="G11">
        <v>50.530034009815552</v>
      </c>
      <c r="W11" t="s">
        <v>7</v>
      </c>
      <c r="X11">
        <v>21.67933157315284</v>
      </c>
    </row>
    <row r="12" spans="1:24" x14ac:dyDescent="0.3">
      <c r="A12" s="14">
        <v>2</v>
      </c>
      <c r="B12">
        <v>120</v>
      </c>
      <c r="W12" t="s">
        <v>4</v>
      </c>
      <c r="X12">
        <v>19.413858289049944</v>
      </c>
    </row>
    <row r="13" spans="1:24" x14ac:dyDescent="0.3">
      <c r="A13" s="72" t="s">
        <v>3</v>
      </c>
      <c r="B13">
        <v>40</v>
      </c>
      <c r="W13" t="s">
        <v>1</v>
      </c>
      <c r="X13">
        <v>18.540772532188846</v>
      </c>
    </row>
    <row r="14" spans="1:24" x14ac:dyDescent="0.3">
      <c r="A14" s="72" t="s">
        <v>0</v>
      </c>
      <c r="B14">
        <v>40</v>
      </c>
      <c r="W14" t="s">
        <v>14</v>
      </c>
      <c r="X14">
        <v>20.286944045911042</v>
      </c>
    </row>
    <row r="15" spans="1:24" x14ac:dyDescent="0.3">
      <c r="A15" s="72" t="s">
        <v>2</v>
      </c>
      <c r="B15">
        <v>40</v>
      </c>
      <c r="W15" t="s">
        <v>5</v>
      </c>
      <c r="X15">
        <v>23.944804857255733</v>
      </c>
    </row>
    <row r="16" spans="1:24" x14ac:dyDescent="0.3">
      <c r="A16" s="14">
        <v>6</v>
      </c>
      <c r="B16">
        <v>119</v>
      </c>
      <c r="E16" t="s">
        <v>4</v>
      </c>
      <c r="K16" t="s">
        <v>5</v>
      </c>
      <c r="W16" t="s">
        <v>1</v>
      </c>
      <c r="X16">
        <v>22.309899569583926</v>
      </c>
    </row>
    <row r="17" spans="1:24" x14ac:dyDescent="0.3">
      <c r="A17" s="72" t="s">
        <v>3</v>
      </c>
      <c r="B17">
        <v>39</v>
      </c>
      <c r="E17" t="s">
        <v>24</v>
      </c>
      <c r="F17" t="s">
        <v>1</v>
      </c>
      <c r="G17" t="s">
        <v>14</v>
      </c>
      <c r="K17" t="s">
        <v>24</v>
      </c>
      <c r="L17" t="s">
        <v>1</v>
      </c>
      <c r="M17" t="s">
        <v>14</v>
      </c>
      <c r="W17" t="s">
        <v>14</v>
      </c>
      <c r="X17">
        <v>25.579710144927542</v>
      </c>
    </row>
    <row r="18" spans="1:24" x14ac:dyDescent="0.3">
      <c r="A18" s="72" t="s">
        <v>0</v>
      </c>
      <c r="B18">
        <v>40</v>
      </c>
      <c r="E18">
        <v>1</v>
      </c>
      <c r="F18">
        <v>56.928156355824754</v>
      </c>
      <c r="G18" s="73">
        <v>59.970785318939036</v>
      </c>
      <c r="K18">
        <v>1</v>
      </c>
      <c r="L18">
        <v>53.56506362434439</v>
      </c>
      <c r="M18" s="73">
        <v>57.015855497914707</v>
      </c>
      <c r="W18">
        <v>2</v>
      </c>
      <c r="X18">
        <v>23.663002467572539</v>
      </c>
    </row>
    <row r="19" spans="1:24" x14ac:dyDescent="0.3">
      <c r="A19" s="72" t="s">
        <v>2</v>
      </c>
      <c r="B19">
        <v>40</v>
      </c>
      <c r="E19">
        <v>2</v>
      </c>
      <c r="F19" s="73">
        <v>40.905989357469743</v>
      </c>
      <c r="G19">
        <v>37.268110909156405</v>
      </c>
      <c r="K19">
        <v>2</v>
      </c>
      <c r="L19" s="73">
        <v>44.061387029493837</v>
      </c>
      <c r="M19">
        <v>41.197768797580679</v>
      </c>
      <c r="W19" t="s">
        <v>6</v>
      </c>
      <c r="X19">
        <v>24.241385339912441</v>
      </c>
    </row>
    <row r="20" spans="1:24" x14ac:dyDescent="0.3">
      <c r="A20" s="14">
        <v>12</v>
      </c>
      <c r="B20">
        <v>119</v>
      </c>
      <c r="E20">
        <v>6</v>
      </c>
      <c r="F20">
        <v>39.586680387252613</v>
      </c>
      <c r="G20" s="73">
        <v>40.170497359197654</v>
      </c>
      <c r="K20">
        <v>6</v>
      </c>
      <c r="L20" s="73">
        <v>42.299680314823711</v>
      </c>
      <c r="M20">
        <v>35.781009721911914</v>
      </c>
      <c r="W20" t="s">
        <v>4</v>
      </c>
      <c r="X20">
        <v>24.926961137487449</v>
      </c>
    </row>
    <row r="21" spans="1:24" x14ac:dyDescent="0.3">
      <c r="A21" s="72" t="s">
        <v>3</v>
      </c>
      <c r="B21">
        <v>40</v>
      </c>
      <c r="E21">
        <v>12</v>
      </c>
      <c r="F21" s="73">
        <v>62.587633516787427</v>
      </c>
      <c r="G21">
        <v>60.243059479557409</v>
      </c>
      <c r="K21">
        <v>12</v>
      </c>
      <c r="L21" s="73">
        <v>59.678533806576219</v>
      </c>
      <c r="M21">
        <v>57.409944760429319</v>
      </c>
      <c r="W21" t="s">
        <v>1</v>
      </c>
      <c r="X21">
        <v>25.923186344238974</v>
      </c>
    </row>
    <row r="22" spans="1:24" x14ac:dyDescent="0.3">
      <c r="A22" s="72" t="s">
        <v>0</v>
      </c>
      <c r="B22">
        <v>40</v>
      </c>
      <c r="E22">
        <v>18</v>
      </c>
      <c r="F22">
        <v>52.025890816526157</v>
      </c>
      <c r="G22" s="73">
        <v>52.421288644849589</v>
      </c>
      <c r="K22">
        <v>18</v>
      </c>
      <c r="L22" s="73">
        <v>53.519917367566073</v>
      </c>
      <c r="M22">
        <v>48.493298249009641</v>
      </c>
      <c r="W22" t="s">
        <v>14</v>
      </c>
      <c r="X22">
        <v>23.930735930735924</v>
      </c>
    </row>
    <row r="23" spans="1:24" x14ac:dyDescent="0.3">
      <c r="A23" s="72" t="s">
        <v>2</v>
      </c>
      <c r="B23">
        <v>39</v>
      </c>
      <c r="W23" t="s">
        <v>5</v>
      </c>
      <c r="X23">
        <v>23.555809542337432</v>
      </c>
    </row>
    <row r="24" spans="1:24" x14ac:dyDescent="0.3">
      <c r="A24" s="14">
        <v>18</v>
      </c>
      <c r="B24">
        <v>112</v>
      </c>
      <c r="W24" t="s">
        <v>1</v>
      </c>
      <c r="X24">
        <v>20.870239774330045</v>
      </c>
    </row>
    <row r="25" spans="1:24" x14ac:dyDescent="0.3">
      <c r="A25" s="72" t="s">
        <v>3</v>
      </c>
      <c r="B25">
        <v>40</v>
      </c>
      <c r="W25" t="s">
        <v>14</v>
      </c>
      <c r="X25">
        <v>26.241379310344819</v>
      </c>
    </row>
    <row r="26" spans="1:24" x14ac:dyDescent="0.3">
      <c r="A26" s="72" t="s">
        <v>0</v>
      </c>
      <c r="B26">
        <v>40</v>
      </c>
      <c r="W26" t="s">
        <v>7</v>
      </c>
      <c r="X26">
        <v>23.084619595232642</v>
      </c>
    </row>
    <row r="27" spans="1:24" x14ac:dyDescent="0.3">
      <c r="A27" s="72" t="s">
        <v>2</v>
      </c>
      <c r="B27">
        <v>32</v>
      </c>
      <c r="W27" t="s">
        <v>4</v>
      </c>
      <c r="X27">
        <v>22.044001843009134</v>
      </c>
    </row>
    <row r="28" spans="1:24" x14ac:dyDescent="0.3">
      <c r="A28" s="14" t="s">
        <v>133</v>
      </c>
      <c r="W28" t="s">
        <v>1</v>
      </c>
      <c r="X28">
        <v>24.638728323699425</v>
      </c>
    </row>
    <row r="29" spans="1:24" x14ac:dyDescent="0.3">
      <c r="A29" s="72" t="s">
        <v>133</v>
      </c>
      <c r="W29" t="s">
        <v>14</v>
      </c>
      <c r="X29">
        <v>19.449275362318847</v>
      </c>
    </row>
    <row r="30" spans="1:24" x14ac:dyDescent="0.3">
      <c r="W30" t="s">
        <v>5</v>
      </c>
      <c r="X30">
        <v>24.125237347456149</v>
      </c>
    </row>
    <row r="31" spans="1:24" x14ac:dyDescent="0.3">
      <c r="W31" t="s">
        <v>1</v>
      </c>
      <c r="X31">
        <v>22.780141843971631</v>
      </c>
    </row>
    <row r="32" spans="1:24" x14ac:dyDescent="0.3">
      <c r="W32" t="s">
        <v>14</v>
      </c>
      <c r="X32">
        <v>25.470332850940665</v>
      </c>
    </row>
    <row r="33" spans="23:24" x14ac:dyDescent="0.3">
      <c r="W33">
        <v>3</v>
      </c>
      <c r="X33">
        <v>24.441649171261108</v>
      </c>
    </row>
    <row r="34" spans="23:24" x14ac:dyDescent="0.3">
      <c r="W34" t="s">
        <v>6</v>
      </c>
      <c r="X34">
        <v>28.1769825181436</v>
      </c>
    </row>
    <row r="35" spans="23:24" x14ac:dyDescent="0.3">
      <c r="W35" t="s">
        <v>4</v>
      </c>
      <c r="X35">
        <v>23.372581639692555</v>
      </c>
    </row>
    <row r="36" spans="23:24" x14ac:dyDescent="0.3">
      <c r="W36" t="s">
        <v>1</v>
      </c>
      <c r="X36">
        <v>23.712446351931337</v>
      </c>
    </row>
    <row r="37" spans="23:24" x14ac:dyDescent="0.3">
      <c r="W37" t="s">
        <v>14</v>
      </c>
      <c r="X37">
        <v>23.032716927453773</v>
      </c>
    </row>
    <row r="38" spans="23:24" x14ac:dyDescent="0.3">
      <c r="W38" t="s">
        <v>5</v>
      </c>
      <c r="X38">
        <v>32.981383396594644</v>
      </c>
    </row>
    <row r="39" spans="23:24" x14ac:dyDescent="0.3">
      <c r="W39" t="s">
        <v>1</v>
      </c>
      <c r="X39">
        <v>34.424855491329481</v>
      </c>
    </row>
    <row r="40" spans="23:24" x14ac:dyDescent="0.3">
      <c r="W40" t="s">
        <v>14</v>
      </c>
      <c r="X40">
        <v>31.537911301859804</v>
      </c>
    </row>
    <row r="41" spans="23:24" x14ac:dyDescent="0.3">
      <c r="W41" t="s">
        <v>7</v>
      </c>
      <c r="X41">
        <v>20.706315824378617</v>
      </c>
    </row>
    <row r="42" spans="23:24" x14ac:dyDescent="0.3">
      <c r="W42" t="s">
        <v>4</v>
      </c>
      <c r="X42">
        <v>19.766378423556645</v>
      </c>
    </row>
    <row r="43" spans="23:24" x14ac:dyDescent="0.3">
      <c r="W43" t="s">
        <v>1</v>
      </c>
      <c r="X43">
        <v>19.64639321074965</v>
      </c>
    </row>
    <row r="44" spans="23:24" x14ac:dyDescent="0.3">
      <c r="W44" t="s">
        <v>14</v>
      </c>
      <c r="X44">
        <v>19.88636363636364</v>
      </c>
    </row>
    <row r="45" spans="23:24" x14ac:dyDescent="0.3">
      <c r="W45" t="s">
        <v>5</v>
      </c>
      <c r="X45">
        <v>21.646253225200589</v>
      </c>
    </row>
    <row r="46" spans="23:24" x14ac:dyDescent="0.3">
      <c r="W46" t="s">
        <v>1</v>
      </c>
      <c r="X46">
        <v>23.463203463203456</v>
      </c>
    </row>
    <row r="47" spans="23:24" x14ac:dyDescent="0.3">
      <c r="W47" t="s">
        <v>14</v>
      </c>
      <c r="X47">
        <v>19.829302987197725</v>
      </c>
    </row>
    <row r="48" spans="23:24" x14ac:dyDescent="0.3">
      <c r="W48">
        <v>4</v>
      </c>
      <c r="X48">
        <v>24.595428055071547</v>
      </c>
    </row>
    <row r="49" spans="23:24" x14ac:dyDescent="0.3">
      <c r="W49" t="s">
        <v>6</v>
      </c>
      <c r="X49">
        <v>26.608628496646077</v>
      </c>
    </row>
    <row r="50" spans="23:24" x14ac:dyDescent="0.3">
      <c r="W50" t="s">
        <v>4</v>
      </c>
      <c r="X50">
        <v>25.909340439493604</v>
      </c>
    </row>
    <row r="51" spans="23:24" x14ac:dyDescent="0.3">
      <c r="W51" t="s">
        <v>14</v>
      </c>
      <c r="X51">
        <v>25.909340439493604</v>
      </c>
    </row>
    <row r="52" spans="23:24" x14ac:dyDescent="0.3">
      <c r="W52" t="s">
        <v>5</v>
      </c>
      <c r="X52">
        <v>28.007204610951014</v>
      </c>
    </row>
    <row r="53" spans="23:24" x14ac:dyDescent="0.3">
      <c r="W53" t="s">
        <v>1</v>
      </c>
      <c r="X53">
        <v>28.007204610951014</v>
      </c>
    </row>
    <row r="54" spans="23:24" x14ac:dyDescent="0.3">
      <c r="W54" t="s">
        <v>7</v>
      </c>
      <c r="X54">
        <v>23.387507790126829</v>
      </c>
    </row>
    <row r="55" spans="23:24" x14ac:dyDescent="0.3">
      <c r="W55" t="s">
        <v>4</v>
      </c>
      <c r="X55">
        <v>21.669372395347388</v>
      </c>
    </row>
    <row r="56" spans="23:24" x14ac:dyDescent="0.3">
      <c r="W56" t="s">
        <v>1</v>
      </c>
      <c r="X56">
        <v>19.585121602288979</v>
      </c>
    </row>
    <row r="57" spans="23:24" x14ac:dyDescent="0.3">
      <c r="W57" t="s">
        <v>14</v>
      </c>
      <c r="X57">
        <v>23.753623188405797</v>
      </c>
    </row>
    <row r="58" spans="23:24" x14ac:dyDescent="0.3">
      <c r="W58" t="s">
        <v>5</v>
      </c>
      <c r="X58">
        <v>24.532931386646464</v>
      </c>
    </row>
    <row r="59" spans="23:24" x14ac:dyDescent="0.3">
      <c r="W59" t="s">
        <v>1</v>
      </c>
      <c r="X59">
        <v>25.100864553314118</v>
      </c>
    </row>
    <row r="60" spans="23:24" x14ac:dyDescent="0.3">
      <c r="W60" t="s">
        <v>14</v>
      </c>
      <c r="X60">
        <v>24.248964803312631</v>
      </c>
    </row>
    <row r="61" spans="23:24" x14ac:dyDescent="0.3">
      <c r="W61">
        <v>5</v>
      </c>
      <c r="X61">
        <v>25.387434185741586</v>
      </c>
    </row>
    <row r="62" spans="23:24" x14ac:dyDescent="0.3">
      <c r="W62" t="s">
        <v>6</v>
      </c>
      <c r="X62">
        <v>25.812671558270772</v>
      </c>
    </row>
    <row r="63" spans="23:24" x14ac:dyDescent="0.3">
      <c r="W63" t="s">
        <v>4</v>
      </c>
      <c r="X63">
        <v>22.164248015676982</v>
      </c>
    </row>
    <row r="64" spans="23:24" x14ac:dyDescent="0.3">
      <c r="W64" t="s">
        <v>1</v>
      </c>
      <c r="X64">
        <v>21.683381088825222</v>
      </c>
    </row>
    <row r="65" spans="23:24" x14ac:dyDescent="0.3">
      <c r="W65" t="s">
        <v>14</v>
      </c>
      <c r="X65">
        <v>22.645114942528739</v>
      </c>
    </row>
    <row r="66" spans="23:24" x14ac:dyDescent="0.3">
      <c r="W66" t="s">
        <v>5</v>
      </c>
      <c r="X66">
        <v>29.461095100864554</v>
      </c>
    </row>
    <row r="67" spans="23:24" x14ac:dyDescent="0.3">
      <c r="W67" t="s">
        <v>1</v>
      </c>
      <c r="X67">
        <v>30.259365994236315</v>
      </c>
    </row>
    <row r="68" spans="23:24" x14ac:dyDescent="0.3">
      <c r="W68" t="s">
        <v>14</v>
      </c>
      <c r="X68">
        <v>28.662824207492797</v>
      </c>
    </row>
    <row r="69" spans="23:24" x14ac:dyDescent="0.3">
      <c r="W69" t="s">
        <v>7</v>
      </c>
      <c r="X69">
        <v>24.82045102236934</v>
      </c>
    </row>
    <row r="70" spans="23:24" x14ac:dyDescent="0.3">
      <c r="W70" t="s">
        <v>4</v>
      </c>
      <c r="X70">
        <v>23.329814464588495</v>
      </c>
    </row>
    <row r="71" spans="23:24" x14ac:dyDescent="0.3">
      <c r="W71" t="s">
        <v>1</v>
      </c>
      <c r="X71">
        <v>22.625538020086083</v>
      </c>
    </row>
    <row r="72" spans="23:24" x14ac:dyDescent="0.3">
      <c r="W72" t="s">
        <v>14</v>
      </c>
      <c r="X72">
        <v>24.03409090909091</v>
      </c>
    </row>
    <row r="73" spans="23:24" x14ac:dyDescent="0.3">
      <c r="W73" t="s">
        <v>5</v>
      </c>
      <c r="X73">
        <v>27.801724137931028</v>
      </c>
    </row>
    <row r="74" spans="23:24" x14ac:dyDescent="0.3">
      <c r="W74" t="s">
        <v>1</v>
      </c>
      <c r="X74">
        <v>27.801724137931028</v>
      </c>
    </row>
    <row r="75" spans="23:24" x14ac:dyDescent="0.3">
      <c r="W75" t="s">
        <v>0</v>
      </c>
      <c r="X75">
        <v>22.863516998892244</v>
      </c>
    </row>
    <row r="76" spans="23:24" x14ac:dyDescent="0.3">
      <c r="W76">
        <v>1</v>
      </c>
      <c r="X76">
        <v>22.831350354369572</v>
      </c>
    </row>
    <row r="77" spans="23:24" x14ac:dyDescent="0.3">
      <c r="W77" t="s">
        <v>6</v>
      </c>
      <c r="X77">
        <v>24.226226736648911</v>
      </c>
    </row>
    <row r="78" spans="23:24" x14ac:dyDescent="0.3">
      <c r="W78" t="s">
        <v>4</v>
      </c>
      <c r="X78">
        <v>25.447732645604994</v>
      </c>
    </row>
    <row r="79" spans="23:24" x14ac:dyDescent="0.3">
      <c r="W79" t="s">
        <v>1</v>
      </c>
      <c r="X79">
        <v>26.703546099290783</v>
      </c>
    </row>
    <row r="80" spans="23:24" x14ac:dyDescent="0.3">
      <c r="W80" t="s">
        <v>14</v>
      </c>
      <c r="X80">
        <v>24.191919191919201</v>
      </c>
    </row>
    <row r="81" spans="23:24" x14ac:dyDescent="0.3">
      <c r="W81" t="s">
        <v>5</v>
      </c>
      <c r="X81">
        <v>23.004720827692829</v>
      </c>
    </row>
    <row r="82" spans="23:24" x14ac:dyDescent="0.3">
      <c r="W82" t="s">
        <v>1</v>
      </c>
      <c r="X82">
        <v>21.925035360678933</v>
      </c>
    </row>
    <row r="83" spans="23:24" x14ac:dyDescent="0.3">
      <c r="W83" t="s">
        <v>14</v>
      </c>
      <c r="X83">
        <v>24.084406294706728</v>
      </c>
    </row>
    <row r="84" spans="23:24" x14ac:dyDescent="0.3">
      <c r="W84" t="s">
        <v>7</v>
      </c>
      <c r="X84">
        <v>20.971515177997127</v>
      </c>
    </row>
    <row r="85" spans="23:24" x14ac:dyDescent="0.3">
      <c r="W85" t="s">
        <v>4</v>
      </c>
      <c r="X85">
        <v>21.315227312450236</v>
      </c>
    </row>
    <row r="86" spans="23:24" x14ac:dyDescent="0.3">
      <c r="W86" t="s">
        <v>1</v>
      </c>
      <c r="X86">
        <v>20.241327300150825</v>
      </c>
    </row>
    <row r="87" spans="23:24" x14ac:dyDescent="0.3">
      <c r="W87" t="s">
        <v>14</v>
      </c>
      <c r="X87">
        <v>22.389127324749648</v>
      </c>
    </row>
    <row r="88" spans="23:24" x14ac:dyDescent="0.3">
      <c r="W88" t="s">
        <v>5</v>
      </c>
      <c r="X88">
        <v>20.284090909090907</v>
      </c>
    </row>
    <row r="89" spans="23:24" x14ac:dyDescent="0.3">
      <c r="W89" t="s">
        <v>1</v>
      </c>
      <c r="X89">
        <v>20.284090909090907</v>
      </c>
    </row>
    <row r="90" spans="23:24" x14ac:dyDescent="0.3">
      <c r="W90">
        <v>2</v>
      </c>
      <c r="X90">
        <v>23.10530405134709</v>
      </c>
    </row>
    <row r="91" spans="23:24" x14ac:dyDescent="0.3">
      <c r="W91" t="s">
        <v>6</v>
      </c>
      <c r="X91">
        <v>24.621835606582898</v>
      </c>
    </row>
    <row r="92" spans="23:24" x14ac:dyDescent="0.3">
      <c r="W92" t="s">
        <v>4</v>
      </c>
      <c r="X92">
        <v>25.357946089480343</v>
      </c>
    </row>
    <row r="93" spans="23:24" x14ac:dyDescent="0.3">
      <c r="W93" t="s">
        <v>1</v>
      </c>
      <c r="X93">
        <v>23.613733905579394</v>
      </c>
    </row>
    <row r="94" spans="23:24" x14ac:dyDescent="0.3">
      <c r="W94" t="s">
        <v>14</v>
      </c>
      <c r="X94">
        <v>27.102158273381288</v>
      </c>
    </row>
    <row r="95" spans="23:24" x14ac:dyDescent="0.3">
      <c r="W95" t="s">
        <v>5</v>
      </c>
      <c r="X95">
        <v>23.885725123685454</v>
      </c>
    </row>
    <row r="96" spans="23:24" x14ac:dyDescent="0.3">
      <c r="W96" t="s">
        <v>1</v>
      </c>
      <c r="X96">
        <v>22.610481586402258</v>
      </c>
    </row>
    <row r="97" spans="23:24" x14ac:dyDescent="0.3">
      <c r="W97" t="s">
        <v>14</v>
      </c>
      <c r="X97">
        <v>25.160968660968653</v>
      </c>
    </row>
    <row r="98" spans="23:24" x14ac:dyDescent="0.3">
      <c r="W98" t="s">
        <v>7</v>
      </c>
      <c r="X98">
        <v>21.588772496111282</v>
      </c>
    </row>
    <row r="99" spans="23:24" x14ac:dyDescent="0.3">
      <c r="W99" t="s">
        <v>4</v>
      </c>
      <c r="X99">
        <v>24.893617021276597</v>
      </c>
    </row>
    <row r="100" spans="23:24" x14ac:dyDescent="0.3">
      <c r="W100" t="s">
        <v>1</v>
      </c>
      <c r="X100">
        <v>24.893617021276597</v>
      </c>
    </row>
    <row r="101" spans="23:24" x14ac:dyDescent="0.3">
      <c r="W101" t="s">
        <v>5</v>
      </c>
      <c r="X101">
        <v>20.48715765438951</v>
      </c>
    </row>
    <row r="102" spans="23:24" x14ac:dyDescent="0.3">
      <c r="W102" t="s">
        <v>1</v>
      </c>
      <c r="X102">
        <v>19.629101283880164</v>
      </c>
    </row>
    <row r="103" spans="23:24" x14ac:dyDescent="0.3">
      <c r="W103" t="s">
        <v>14</v>
      </c>
      <c r="X103">
        <v>20.916185839644186</v>
      </c>
    </row>
    <row r="104" spans="23:24" x14ac:dyDescent="0.3">
      <c r="W104">
        <v>3</v>
      </c>
      <c r="X104">
        <v>22.076464808439209</v>
      </c>
    </row>
    <row r="105" spans="23:24" x14ac:dyDescent="0.3">
      <c r="W105" t="s">
        <v>6</v>
      </c>
      <c r="X105">
        <v>22.50994528942088</v>
      </c>
    </row>
    <row r="106" spans="23:24" x14ac:dyDescent="0.3">
      <c r="W106" t="s">
        <v>4</v>
      </c>
      <c r="X106">
        <v>22.076125541125542</v>
      </c>
    </row>
    <row r="107" spans="23:24" x14ac:dyDescent="0.3">
      <c r="W107" t="s">
        <v>1</v>
      </c>
      <c r="X107">
        <v>23.212857142857146</v>
      </c>
    </row>
    <row r="108" spans="23:24" x14ac:dyDescent="0.3">
      <c r="W108" t="s">
        <v>14</v>
      </c>
      <c r="X108">
        <v>20.939393939393934</v>
      </c>
    </row>
    <row r="109" spans="23:24" x14ac:dyDescent="0.3">
      <c r="W109" t="s">
        <v>5</v>
      </c>
      <c r="X109">
        <v>22.943765037716219</v>
      </c>
    </row>
    <row r="110" spans="23:24" x14ac:dyDescent="0.3">
      <c r="W110" t="s">
        <v>1</v>
      </c>
      <c r="X110">
        <v>21.923295454545453</v>
      </c>
    </row>
    <row r="111" spans="23:24" x14ac:dyDescent="0.3">
      <c r="W111" t="s">
        <v>14</v>
      </c>
      <c r="X111">
        <v>23.964234620886987</v>
      </c>
    </row>
    <row r="112" spans="23:24" x14ac:dyDescent="0.3">
      <c r="W112" t="s">
        <v>7</v>
      </c>
      <c r="X112">
        <v>21.642984327457537</v>
      </c>
    </row>
    <row r="113" spans="23:24" x14ac:dyDescent="0.3">
      <c r="W113" t="s">
        <v>4</v>
      </c>
      <c r="X113">
        <v>21.881356174686488</v>
      </c>
    </row>
    <row r="114" spans="23:24" x14ac:dyDescent="0.3">
      <c r="W114" t="s">
        <v>1</v>
      </c>
      <c r="X114">
        <v>21.593172119487917</v>
      </c>
    </row>
    <row r="115" spans="23:24" x14ac:dyDescent="0.3">
      <c r="W115" t="s">
        <v>14</v>
      </c>
      <c r="X115">
        <v>22.169540229885058</v>
      </c>
    </row>
    <row r="116" spans="23:24" x14ac:dyDescent="0.3">
      <c r="W116" t="s">
        <v>5</v>
      </c>
      <c r="X116">
        <v>21.404612480228582</v>
      </c>
    </row>
    <row r="117" spans="23:24" x14ac:dyDescent="0.3">
      <c r="W117" t="s">
        <v>1</v>
      </c>
      <c r="X117">
        <v>19.050359712230215</v>
      </c>
    </row>
    <row r="118" spans="23:24" x14ac:dyDescent="0.3">
      <c r="W118" t="s">
        <v>14</v>
      </c>
      <c r="X118">
        <v>23.75886524822695</v>
      </c>
    </row>
    <row r="119" spans="23:24" x14ac:dyDescent="0.3">
      <c r="W119">
        <v>4</v>
      </c>
      <c r="X119">
        <v>22.327214626005951</v>
      </c>
    </row>
    <row r="120" spans="23:24" x14ac:dyDescent="0.3">
      <c r="W120" t="s">
        <v>6</v>
      </c>
      <c r="X120">
        <v>22.88385177000054</v>
      </c>
    </row>
    <row r="121" spans="23:24" x14ac:dyDescent="0.3">
      <c r="W121" t="s">
        <v>4</v>
      </c>
      <c r="X121">
        <v>26.444311599431064</v>
      </c>
    </row>
    <row r="122" spans="23:24" x14ac:dyDescent="0.3">
      <c r="W122" t="s">
        <v>1</v>
      </c>
      <c r="X122">
        <v>24.802292263610319</v>
      </c>
    </row>
    <row r="123" spans="23:24" x14ac:dyDescent="0.3">
      <c r="W123" t="s">
        <v>14</v>
      </c>
      <c r="X123">
        <v>28.086330935251809</v>
      </c>
    </row>
    <row r="124" spans="23:24" x14ac:dyDescent="0.3">
      <c r="W124" t="s">
        <v>5</v>
      </c>
      <c r="X124">
        <v>19.323391940570019</v>
      </c>
    </row>
    <row r="125" spans="23:24" x14ac:dyDescent="0.3">
      <c r="W125" t="s">
        <v>1</v>
      </c>
      <c r="X125">
        <v>17.27620396600566</v>
      </c>
    </row>
    <row r="126" spans="23:24" x14ac:dyDescent="0.3">
      <c r="W126" t="s">
        <v>14</v>
      </c>
      <c r="X126">
        <v>21.370579915134375</v>
      </c>
    </row>
    <row r="127" spans="23:24" x14ac:dyDescent="0.3">
      <c r="W127" t="s">
        <v>7</v>
      </c>
      <c r="X127">
        <v>21.770577482011365</v>
      </c>
    </row>
    <row r="128" spans="23:24" x14ac:dyDescent="0.3">
      <c r="W128" t="s">
        <v>4</v>
      </c>
      <c r="X128">
        <v>20.541057834208736</v>
      </c>
    </row>
    <row r="129" spans="23:24" x14ac:dyDescent="0.3">
      <c r="W129" t="s">
        <v>1</v>
      </c>
      <c r="X129">
        <v>17.882689556509298</v>
      </c>
    </row>
    <row r="130" spans="23:24" x14ac:dyDescent="0.3">
      <c r="W130" t="s">
        <v>14</v>
      </c>
      <c r="X130">
        <v>23.199426111908178</v>
      </c>
    </row>
    <row r="131" spans="23:24" x14ac:dyDescent="0.3">
      <c r="W131" t="s">
        <v>5</v>
      </c>
      <c r="X131">
        <v>23.000097129813994</v>
      </c>
    </row>
    <row r="132" spans="23:24" x14ac:dyDescent="0.3">
      <c r="W132" t="s">
        <v>1</v>
      </c>
      <c r="X132">
        <v>24.813753581661892</v>
      </c>
    </row>
    <row r="133" spans="23:24" x14ac:dyDescent="0.3">
      <c r="W133" t="s">
        <v>14</v>
      </c>
      <c r="X133">
        <v>21.1864406779661</v>
      </c>
    </row>
    <row r="134" spans="23:24" x14ac:dyDescent="0.3">
      <c r="W134">
        <v>5</v>
      </c>
      <c r="X134">
        <v>24.363039636980854</v>
      </c>
    </row>
    <row r="135" spans="23:24" x14ac:dyDescent="0.3">
      <c r="W135" t="s">
        <v>6</v>
      </c>
      <c r="X135">
        <v>26.402872077486258</v>
      </c>
    </row>
    <row r="136" spans="23:24" x14ac:dyDescent="0.3">
      <c r="W136" t="s">
        <v>4</v>
      </c>
      <c r="X136">
        <v>27.26188227887944</v>
      </c>
    </row>
    <row r="137" spans="23:24" x14ac:dyDescent="0.3">
      <c r="W137" t="s">
        <v>1</v>
      </c>
      <c r="X137">
        <v>29.579320113314438</v>
      </c>
    </row>
    <row r="138" spans="23:24" x14ac:dyDescent="0.3">
      <c r="W138" t="s">
        <v>14</v>
      </c>
      <c r="X138">
        <v>24.944444444444443</v>
      </c>
    </row>
    <row r="139" spans="23:24" x14ac:dyDescent="0.3">
      <c r="W139" t="s">
        <v>5</v>
      </c>
      <c r="X139">
        <v>25.543861876093068</v>
      </c>
    </row>
    <row r="140" spans="23:24" x14ac:dyDescent="0.3">
      <c r="W140" t="s">
        <v>1</v>
      </c>
      <c r="X140">
        <v>23.92937853107345</v>
      </c>
    </row>
    <row r="141" spans="23:24" x14ac:dyDescent="0.3">
      <c r="W141" t="s">
        <v>14</v>
      </c>
      <c r="X141">
        <v>27.15834522111269</v>
      </c>
    </row>
    <row r="142" spans="23:24" x14ac:dyDescent="0.3">
      <c r="W142" t="s">
        <v>7</v>
      </c>
      <c r="X142">
        <v>22.323207196475462</v>
      </c>
    </row>
    <row r="143" spans="23:24" x14ac:dyDescent="0.3">
      <c r="W143" t="s">
        <v>4</v>
      </c>
      <c r="X143">
        <v>23.567833642047958</v>
      </c>
    </row>
    <row r="144" spans="23:24" x14ac:dyDescent="0.3">
      <c r="W144" t="s">
        <v>1</v>
      </c>
      <c r="X144">
        <v>24.546762589928061</v>
      </c>
    </row>
    <row r="145" spans="23:24" x14ac:dyDescent="0.3">
      <c r="W145" t="s">
        <v>14</v>
      </c>
      <c r="X145">
        <v>22.588904694167852</v>
      </c>
    </row>
    <row r="146" spans="23:24" x14ac:dyDescent="0.3">
      <c r="W146" t="s">
        <v>5</v>
      </c>
      <c r="X146">
        <v>21.078580750902965</v>
      </c>
    </row>
    <row r="147" spans="23:24" x14ac:dyDescent="0.3">
      <c r="W147" t="s">
        <v>1</v>
      </c>
      <c r="X147">
        <v>21.957446808510639</v>
      </c>
    </row>
    <row r="148" spans="23:24" x14ac:dyDescent="0.3">
      <c r="W148" t="s">
        <v>14</v>
      </c>
      <c r="X148">
        <v>20.199714693295288</v>
      </c>
    </row>
    <row r="149" spans="23:24" x14ac:dyDescent="0.3">
      <c r="W149" t="s">
        <v>133</v>
      </c>
      <c r="X149">
        <v>19.74504249291784</v>
      </c>
    </row>
    <row r="150" spans="23:24" x14ac:dyDescent="0.3">
      <c r="W150" t="s">
        <v>7</v>
      </c>
      <c r="X150">
        <v>19.74504249291784</v>
      </c>
    </row>
    <row r="151" spans="23:24" x14ac:dyDescent="0.3">
      <c r="W151" t="s">
        <v>5</v>
      </c>
      <c r="X151">
        <v>19.74504249291784</v>
      </c>
    </row>
    <row r="152" spans="23:24" x14ac:dyDescent="0.3">
      <c r="W152" t="s">
        <v>14</v>
      </c>
      <c r="X152">
        <v>19.74504249291784</v>
      </c>
    </row>
    <row r="153" spans="23:24" x14ac:dyDescent="0.3">
      <c r="W153" t="s">
        <v>2</v>
      </c>
      <c r="X153">
        <v>24.481275778871698</v>
      </c>
    </row>
    <row r="154" spans="23:24" x14ac:dyDescent="0.3">
      <c r="W154">
        <v>1</v>
      </c>
      <c r="X154">
        <v>25.360121731282401</v>
      </c>
    </row>
    <row r="155" spans="23:24" x14ac:dyDescent="0.3">
      <c r="W155" t="s">
        <v>6</v>
      </c>
      <c r="X155">
        <v>28.259531844930457</v>
      </c>
    </row>
    <row r="156" spans="23:24" x14ac:dyDescent="0.3">
      <c r="W156" t="s">
        <v>4</v>
      </c>
      <c r="X156">
        <v>32.175809264171335</v>
      </c>
    </row>
    <row r="157" spans="23:24" x14ac:dyDescent="0.3">
      <c r="W157" t="s">
        <v>1</v>
      </c>
      <c r="X157">
        <v>38.878917378917386</v>
      </c>
    </row>
    <row r="158" spans="23:24" x14ac:dyDescent="0.3">
      <c r="W158" t="s">
        <v>14</v>
      </c>
      <c r="X158">
        <v>25.472701149425287</v>
      </c>
    </row>
    <row r="159" spans="23:24" x14ac:dyDescent="0.3">
      <c r="W159" t="s">
        <v>5</v>
      </c>
      <c r="X159">
        <v>24.34325442568958</v>
      </c>
    </row>
    <row r="160" spans="23:24" x14ac:dyDescent="0.3">
      <c r="W160" t="s">
        <v>1</v>
      </c>
      <c r="X160">
        <v>26.259365994236312</v>
      </c>
    </row>
    <row r="161" spans="23:24" x14ac:dyDescent="0.3">
      <c r="W161" t="s">
        <v>14</v>
      </c>
      <c r="X161">
        <v>22.427142857142851</v>
      </c>
    </row>
    <row r="162" spans="23:24" x14ac:dyDescent="0.3">
      <c r="W162" t="s">
        <v>7</v>
      </c>
      <c r="X162">
        <v>22.460711617634352</v>
      </c>
    </row>
    <row r="163" spans="23:24" x14ac:dyDescent="0.3">
      <c r="W163" t="s">
        <v>4</v>
      </c>
      <c r="X163">
        <v>23.006898656898656</v>
      </c>
    </row>
    <row r="164" spans="23:24" x14ac:dyDescent="0.3">
      <c r="W164" t="s">
        <v>1</v>
      </c>
      <c r="X164">
        <v>25.842857142857145</v>
      </c>
    </row>
    <row r="165" spans="23:24" x14ac:dyDescent="0.3">
      <c r="W165" t="s">
        <v>14</v>
      </c>
      <c r="X165">
        <v>20.170940170940167</v>
      </c>
    </row>
    <row r="166" spans="23:24" x14ac:dyDescent="0.3">
      <c r="W166" t="s">
        <v>5</v>
      </c>
      <c r="X166">
        <v>21.914524578370045</v>
      </c>
    </row>
    <row r="167" spans="23:24" x14ac:dyDescent="0.3">
      <c r="W167" t="s">
        <v>1</v>
      </c>
      <c r="X167">
        <v>26.282420749279549</v>
      </c>
    </row>
    <row r="168" spans="23:24" x14ac:dyDescent="0.3">
      <c r="W168" t="s">
        <v>14</v>
      </c>
      <c r="X168">
        <v>17.546628407460542</v>
      </c>
    </row>
    <row r="169" spans="23:24" x14ac:dyDescent="0.3">
      <c r="W169">
        <v>2</v>
      </c>
      <c r="X169">
        <v>24.09216375300819</v>
      </c>
    </row>
    <row r="170" spans="23:24" x14ac:dyDescent="0.3">
      <c r="W170" t="s">
        <v>6</v>
      </c>
      <c r="X170">
        <v>25.167000333466348</v>
      </c>
    </row>
    <row r="171" spans="23:24" x14ac:dyDescent="0.3">
      <c r="W171" t="s">
        <v>4</v>
      </c>
      <c r="X171">
        <v>26.734598437955999</v>
      </c>
    </row>
    <row r="172" spans="23:24" x14ac:dyDescent="0.3">
      <c r="W172" t="s">
        <v>1</v>
      </c>
      <c r="X172">
        <v>27.015691868758925</v>
      </c>
    </row>
    <row r="173" spans="23:24" x14ac:dyDescent="0.3">
      <c r="W173" t="s">
        <v>14</v>
      </c>
      <c r="X173">
        <v>26.453505007153073</v>
      </c>
    </row>
    <row r="174" spans="23:24" x14ac:dyDescent="0.3">
      <c r="W174" t="s">
        <v>5</v>
      </c>
      <c r="X174">
        <v>23.599402228976697</v>
      </c>
    </row>
    <row r="175" spans="23:24" x14ac:dyDescent="0.3">
      <c r="W175" t="s">
        <v>1</v>
      </c>
      <c r="X175">
        <v>23.367375886524826</v>
      </c>
    </row>
    <row r="176" spans="23:24" x14ac:dyDescent="0.3">
      <c r="W176" t="s">
        <v>14</v>
      </c>
      <c r="X176">
        <v>23.831428571428567</v>
      </c>
    </row>
    <row r="177" spans="23:24" x14ac:dyDescent="0.3">
      <c r="W177" t="s">
        <v>7</v>
      </c>
      <c r="X177">
        <v>23.017327172550026</v>
      </c>
    </row>
    <row r="178" spans="23:24" x14ac:dyDescent="0.3">
      <c r="W178" t="s">
        <v>4</v>
      </c>
      <c r="X178">
        <v>23.007222606759154</v>
      </c>
    </row>
    <row r="179" spans="23:24" x14ac:dyDescent="0.3">
      <c r="W179" t="s">
        <v>1</v>
      </c>
      <c r="X179">
        <v>24.908062234794908</v>
      </c>
    </row>
    <row r="180" spans="23:24" x14ac:dyDescent="0.3">
      <c r="W180" t="s">
        <v>14</v>
      </c>
      <c r="X180">
        <v>21.106382978723399</v>
      </c>
    </row>
    <row r="181" spans="23:24" x14ac:dyDescent="0.3">
      <c r="W181" t="s">
        <v>5</v>
      </c>
      <c r="X181">
        <v>23.027431738340901</v>
      </c>
    </row>
    <row r="182" spans="23:24" x14ac:dyDescent="0.3">
      <c r="W182" t="s">
        <v>1</v>
      </c>
      <c r="X182">
        <v>23.705293276108726</v>
      </c>
    </row>
    <row r="183" spans="23:24" x14ac:dyDescent="0.3">
      <c r="W183" t="s">
        <v>14</v>
      </c>
      <c r="X183">
        <v>22.349570200573073</v>
      </c>
    </row>
    <row r="184" spans="23:24" x14ac:dyDescent="0.3">
      <c r="W184">
        <v>3</v>
      </c>
      <c r="X184">
        <v>24.405451873117148</v>
      </c>
    </row>
    <row r="185" spans="23:24" x14ac:dyDescent="0.3">
      <c r="W185" t="s">
        <v>6</v>
      </c>
      <c r="X185">
        <v>25.304291221896328</v>
      </c>
    </row>
    <row r="186" spans="23:24" x14ac:dyDescent="0.3">
      <c r="W186" t="s">
        <v>4</v>
      </c>
      <c r="X186">
        <v>25.330327794293368</v>
      </c>
    </row>
    <row r="187" spans="23:24" x14ac:dyDescent="0.3">
      <c r="W187" t="s">
        <v>1</v>
      </c>
      <c r="X187">
        <v>24.825648414985583</v>
      </c>
    </row>
    <row r="188" spans="23:24" x14ac:dyDescent="0.3">
      <c r="W188" t="s">
        <v>14</v>
      </c>
      <c r="X188">
        <v>25.835007173601149</v>
      </c>
    </row>
    <row r="189" spans="23:24" x14ac:dyDescent="0.3">
      <c r="W189" t="s">
        <v>5</v>
      </c>
      <c r="X189">
        <v>25.278254649499289</v>
      </c>
    </row>
    <row r="190" spans="23:24" x14ac:dyDescent="0.3">
      <c r="W190" t="s">
        <v>1</v>
      </c>
      <c r="X190">
        <v>22.000000000000007</v>
      </c>
    </row>
    <row r="191" spans="23:24" x14ac:dyDescent="0.3">
      <c r="W191" t="s">
        <v>14</v>
      </c>
      <c r="X191">
        <v>28.556509298998574</v>
      </c>
    </row>
    <row r="192" spans="23:24" x14ac:dyDescent="0.3">
      <c r="W192" t="s">
        <v>7</v>
      </c>
      <c r="X192">
        <v>23.506612524337964</v>
      </c>
    </row>
    <row r="193" spans="23:24" x14ac:dyDescent="0.3">
      <c r="W193" t="s">
        <v>4</v>
      </c>
      <c r="X193">
        <v>25.265758290448765</v>
      </c>
    </row>
    <row r="194" spans="23:24" x14ac:dyDescent="0.3">
      <c r="W194" t="s">
        <v>1</v>
      </c>
      <c r="X194">
        <v>24.197707736389685</v>
      </c>
    </row>
    <row r="195" spans="23:24" x14ac:dyDescent="0.3">
      <c r="W195" t="s">
        <v>14</v>
      </c>
      <c r="X195">
        <v>26.33380884450785</v>
      </c>
    </row>
    <row r="196" spans="23:24" x14ac:dyDescent="0.3">
      <c r="W196" t="s">
        <v>5</v>
      </c>
      <c r="X196">
        <v>21.747466758227162</v>
      </c>
    </row>
    <row r="197" spans="23:24" x14ac:dyDescent="0.3">
      <c r="W197" t="s">
        <v>1</v>
      </c>
      <c r="X197">
        <v>20.688665710186516</v>
      </c>
    </row>
    <row r="198" spans="23:24" x14ac:dyDescent="0.3">
      <c r="W198" t="s">
        <v>14</v>
      </c>
      <c r="X198">
        <v>22.806267806267808</v>
      </c>
    </row>
    <row r="199" spans="23:24" x14ac:dyDescent="0.3">
      <c r="W199">
        <v>4</v>
      </c>
      <c r="X199">
        <v>23.670164227328154</v>
      </c>
    </row>
    <row r="200" spans="23:24" x14ac:dyDescent="0.3">
      <c r="W200" t="s">
        <v>6</v>
      </c>
      <c r="X200">
        <v>23.509280649012808</v>
      </c>
    </row>
    <row r="201" spans="23:24" x14ac:dyDescent="0.3">
      <c r="W201" t="s">
        <v>4</v>
      </c>
      <c r="X201">
        <v>22.898346272231191</v>
      </c>
    </row>
    <row r="202" spans="23:24" x14ac:dyDescent="0.3">
      <c r="W202" t="s">
        <v>1</v>
      </c>
      <c r="X202">
        <v>23.611664295874817</v>
      </c>
    </row>
    <row r="203" spans="23:24" x14ac:dyDescent="0.3">
      <c r="W203" t="s">
        <v>14</v>
      </c>
      <c r="X203">
        <v>22.185028248587564</v>
      </c>
    </row>
    <row r="204" spans="23:24" x14ac:dyDescent="0.3">
      <c r="W204" t="s">
        <v>5</v>
      </c>
      <c r="X204">
        <v>24.120215025794426</v>
      </c>
    </row>
    <row r="205" spans="23:24" x14ac:dyDescent="0.3">
      <c r="W205" t="s">
        <v>1</v>
      </c>
      <c r="X205">
        <v>22.563662374821178</v>
      </c>
    </row>
    <row r="206" spans="23:24" x14ac:dyDescent="0.3">
      <c r="W206" t="s">
        <v>14</v>
      </c>
      <c r="X206">
        <v>25.676767676767675</v>
      </c>
    </row>
    <row r="207" spans="23:24" x14ac:dyDescent="0.3">
      <c r="W207" t="s">
        <v>7</v>
      </c>
      <c r="X207">
        <v>23.831047805643497</v>
      </c>
    </row>
    <row r="208" spans="23:24" x14ac:dyDescent="0.3">
      <c r="W208" t="s">
        <v>4</v>
      </c>
      <c r="X208">
        <v>24.745561972965131</v>
      </c>
    </row>
    <row r="209" spans="23:24" x14ac:dyDescent="0.3">
      <c r="W209" t="s">
        <v>1</v>
      </c>
      <c r="X209">
        <v>22.553802008608322</v>
      </c>
    </row>
    <row r="210" spans="23:24" x14ac:dyDescent="0.3">
      <c r="W210" t="s">
        <v>14</v>
      </c>
      <c r="X210">
        <v>26.93732193732194</v>
      </c>
    </row>
    <row r="211" spans="23:24" x14ac:dyDescent="0.3">
      <c r="W211" t="s">
        <v>5</v>
      </c>
      <c r="X211">
        <v>22.916533638321859</v>
      </c>
    </row>
    <row r="212" spans="23:24" x14ac:dyDescent="0.3">
      <c r="W212" t="s">
        <v>1</v>
      </c>
      <c r="X212">
        <v>18.956276445698158</v>
      </c>
    </row>
    <row r="213" spans="23:24" x14ac:dyDescent="0.3">
      <c r="W213" t="s">
        <v>14</v>
      </c>
      <c r="X213">
        <v>26.876790830945563</v>
      </c>
    </row>
    <row r="214" spans="23:24" x14ac:dyDescent="0.3">
      <c r="W214">
        <v>5</v>
      </c>
      <c r="X214">
        <v>24.878477309622628</v>
      </c>
    </row>
    <row r="215" spans="23:24" x14ac:dyDescent="0.3">
      <c r="W215" t="s">
        <v>6</v>
      </c>
      <c r="X215">
        <v>24.239795129641568</v>
      </c>
    </row>
    <row r="216" spans="23:24" x14ac:dyDescent="0.3">
      <c r="W216" t="s">
        <v>4</v>
      </c>
      <c r="X216">
        <v>24.367658928811029</v>
      </c>
    </row>
    <row r="217" spans="23:24" x14ac:dyDescent="0.3">
      <c r="W217" t="s">
        <v>1</v>
      </c>
      <c r="X217">
        <v>23.977044476327105</v>
      </c>
    </row>
    <row r="218" spans="23:24" x14ac:dyDescent="0.3">
      <c r="W218" t="s">
        <v>14</v>
      </c>
      <c r="X218">
        <v>24.758273381294952</v>
      </c>
    </row>
    <row r="219" spans="23:24" x14ac:dyDescent="0.3">
      <c r="W219" t="s">
        <v>5</v>
      </c>
      <c r="X219">
        <v>24.11193133047211</v>
      </c>
    </row>
    <row r="220" spans="23:24" x14ac:dyDescent="0.3">
      <c r="W220" t="s">
        <v>1</v>
      </c>
      <c r="X220">
        <v>25.520000000000003</v>
      </c>
    </row>
    <row r="221" spans="23:24" x14ac:dyDescent="0.3">
      <c r="W221" t="s">
        <v>14</v>
      </c>
      <c r="X221">
        <v>22.703862660944214</v>
      </c>
    </row>
    <row r="222" spans="23:24" x14ac:dyDescent="0.3">
      <c r="W222" t="s">
        <v>7</v>
      </c>
      <c r="X222">
        <v>25.517159489603685</v>
      </c>
    </row>
    <row r="223" spans="23:24" x14ac:dyDescent="0.3">
      <c r="W223" t="s">
        <v>4</v>
      </c>
      <c r="X223">
        <v>27.777563470632778</v>
      </c>
    </row>
    <row r="224" spans="23:24" x14ac:dyDescent="0.3">
      <c r="W224" t="s">
        <v>1</v>
      </c>
      <c r="X224">
        <v>26.449787835926454</v>
      </c>
    </row>
    <row r="225" spans="18:24" x14ac:dyDescent="0.3">
      <c r="W225" t="s">
        <v>14</v>
      </c>
      <c r="X225">
        <v>29.105339105339102</v>
      </c>
    </row>
    <row r="226" spans="18:24" x14ac:dyDescent="0.3">
      <c r="W226" t="s">
        <v>5</v>
      </c>
      <c r="X226">
        <v>23.256755508574592</v>
      </c>
    </row>
    <row r="227" spans="18:24" x14ac:dyDescent="0.3">
      <c r="W227" t="s">
        <v>1</v>
      </c>
      <c r="X227">
        <v>23.851640513552063</v>
      </c>
    </row>
    <row r="228" spans="18:24" x14ac:dyDescent="0.3">
      <c r="W228" t="s">
        <v>14</v>
      </c>
      <c r="X228">
        <v>22.661870503597122</v>
      </c>
    </row>
    <row r="229" spans="18:24" x14ac:dyDescent="0.3">
      <c r="R229">
        <v>12</v>
      </c>
      <c r="W229">
        <v>12</v>
      </c>
      <c r="X229">
        <v>46.863420378299665</v>
      </c>
    </row>
    <row r="230" spans="18:24" x14ac:dyDescent="0.3">
      <c r="W230" t="s">
        <v>3</v>
      </c>
      <c r="X230">
        <v>47.545753776539172</v>
      </c>
    </row>
    <row r="231" spans="18:24" x14ac:dyDescent="0.3">
      <c r="W231">
        <v>1</v>
      </c>
      <c r="X231">
        <v>50.838898956715987</v>
      </c>
    </row>
    <row r="232" spans="18:24" x14ac:dyDescent="0.3">
      <c r="W232" t="s">
        <v>6</v>
      </c>
      <c r="X232">
        <v>56.984812372033844</v>
      </c>
    </row>
    <row r="233" spans="18:24" x14ac:dyDescent="0.3">
      <c r="W233" t="s">
        <v>4</v>
      </c>
      <c r="X233">
        <v>57.059852216748766</v>
      </c>
    </row>
    <row r="234" spans="18:24" x14ac:dyDescent="0.3">
      <c r="W234" t="s">
        <v>1</v>
      </c>
      <c r="X234">
        <v>52.448275862068961</v>
      </c>
    </row>
    <row r="235" spans="18:24" x14ac:dyDescent="0.3">
      <c r="W235" t="s">
        <v>14</v>
      </c>
      <c r="X235">
        <v>61.671428571428578</v>
      </c>
    </row>
    <row r="236" spans="18:24" x14ac:dyDescent="0.3">
      <c r="W236" t="s">
        <v>5</v>
      </c>
      <c r="X236">
        <v>56.909772527318921</v>
      </c>
    </row>
    <row r="237" spans="18:24" x14ac:dyDescent="0.3">
      <c r="W237" t="s">
        <v>1</v>
      </c>
      <c r="X237">
        <v>60.830924855491332</v>
      </c>
    </row>
    <row r="238" spans="18:24" x14ac:dyDescent="0.3">
      <c r="W238" t="s">
        <v>14</v>
      </c>
      <c r="X238">
        <v>52.988620199146517</v>
      </c>
    </row>
    <row r="239" spans="18:24" x14ac:dyDescent="0.3">
      <c r="W239" t="s">
        <v>7</v>
      </c>
      <c r="X239">
        <v>45.922168224461714</v>
      </c>
    </row>
    <row r="240" spans="18:24" x14ac:dyDescent="0.3">
      <c r="W240" t="s">
        <v>4</v>
      </c>
      <c r="X240">
        <v>44.978971072111079</v>
      </c>
    </row>
    <row r="241" spans="23:24" x14ac:dyDescent="0.3">
      <c r="W241" t="s">
        <v>1</v>
      </c>
      <c r="X241">
        <v>54.568599717114566</v>
      </c>
    </row>
    <row r="242" spans="23:24" x14ac:dyDescent="0.3">
      <c r="W242" t="s">
        <v>14</v>
      </c>
      <c r="X242">
        <v>40.184156749609329</v>
      </c>
    </row>
    <row r="243" spans="23:24" x14ac:dyDescent="0.3">
      <c r="W243" t="s">
        <v>5</v>
      </c>
      <c r="X243">
        <v>47.336963952987659</v>
      </c>
    </row>
    <row r="244" spans="23:24" x14ac:dyDescent="0.3">
      <c r="W244" t="s">
        <v>1</v>
      </c>
      <c r="X244">
        <v>46.462196861626239</v>
      </c>
    </row>
    <row r="245" spans="23:24" x14ac:dyDescent="0.3">
      <c r="W245" t="s">
        <v>14</v>
      </c>
      <c r="X245">
        <v>48.211731044349072</v>
      </c>
    </row>
    <row r="246" spans="23:24" x14ac:dyDescent="0.3">
      <c r="W246">
        <v>2</v>
      </c>
      <c r="X246">
        <v>44.09728248634525</v>
      </c>
    </row>
    <row r="247" spans="23:24" x14ac:dyDescent="0.3">
      <c r="W247" t="s">
        <v>6</v>
      </c>
      <c r="X247">
        <v>50.31543349935491</v>
      </c>
    </row>
    <row r="248" spans="23:24" x14ac:dyDescent="0.3">
      <c r="W248" t="s">
        <v>4</v>
      </c>
      <c r="X248">
        <v>46.792716763005778</v>
      </c>
    </row>
    <row r="249" spans="23:24" x14ac:dyDescent="0.3">
      <c r="W249" t="s">
        <v>1</v>
      </c>
      <c r="X249">
        <v>43.11</v>
      </c>
    </row>
    <row r="250" spans="23:24" x14ac:dyDescent="0.3">
      <c r="W250" t="s">
        <v>14</v>
      </c>
      <c r="X250">
        <v>50.475433526011557</v>
      </c>
    </row>
    <row r="251" spans="23:24" x14ac:dyDescent="0.3">
      <c r="W251" t="s">
        <v>5</v>
      </c>
      <c r="X251">
        <v>53.838150235704042</v>
      </c>
    </row>
    <row r="252" spans="23:24" x14ac:dyDescent="0.3">
      <c r="W252" t="s">
        <v>1</v>
      </c>
      <c r="X252">
        <v>55.803443328550941</v>
      </c>
    </row>
    <row r="253" spans="23:24" x14ac:dyDescent="0.3">
      <c r="W253" t="s">
        <v>14</v>
      </c>
      <c r="X253">
        <v>51.872857142857143</v>
      </c>
    </row>
    <row r="254" spans="23:24" x14ac:dyDescent="0.3">
      <c r="W254" t="s">
        <v>7</v>
      </c>
      <c r="X254">
        <v>37.87913147333559</v>
      </c>
    </row>
    <row r="255" spans="23:24" x14ac:dyDescent="0.3">
      <c r="W255" t="s">
        <v>4</v>
      </c>
      <c r="X255">
        <v>35.332500653082548</v>
      </c>
    </row>
    <row r="256" spans="23:24" x14ac:dyDescent="0.3">
      <c r="W256" t="s">
        <v>1</v>
      </c>
      <c r="X256">
        <v>26.020114942528732</v>
      </c>
    </row>
    <row r="257" spans="23:24" x14ac:dyDescent="0.3">
      <c r="W257" t="s">
        <v>14</v>
      </c>
      <c r="X257">
        <v>44.644886363636367</v>
      </c>
    </row>
    <row r="258" spans="23:24" x14ac:dyDescent="0.3">
      <c r="W258" t="s">
        <v>5</v>
      </c>
      <c r="X258">
        <v>40.425762293588619</v>
      </c>
    </row>
    <row r="259" spans="23:24" x14ac:dyDescent="0.3">
      <c r="W259" t="s">
        <v>1</v>
      </c>
      <c r="X259">
        <v>36.790830945558746</v>
      </c>
    </row>
    <row r="260" spans="23:24" x14ac:dyDescent="0.3">
      <c r="W260" t="s">
        <v>14</v>
      </c>
      <c r="X260">
        <v>44.060693641618499</v>
      </c>
    </row>
    <row r="261" spans="23:24" x14ac:dyDescent="0.3">
      <c r="W261">
        <v>3</v>
      </c>
      <c r="X261">
        <v>45.854337789782022</v>
      </c>
    </row>
    <row r="262" spans="23:24" x14ac:dyDescent="0.3">
      <c r="W262" t="s">
        <v>6</v>
      </c>
      <c r="X262">
        <v>50.456092209741598</v>
      </c>
    </row>
    <row r="263" spans="23:24" x14ac:dyDescent="0.3">
      <c r="W263" t="s">
        <v>4</v>
      </c>
      <c r="X263">
        <v>50.000186953871165</v>
      </c>
    </row>
    <row r="264" spans="23:24" x14ac:dyDescent="0.3">
      <c r="W264" t="s">
        <v>1</v>
      </c>
      <c r="X264">
        <v>50.754285714285722</v>
      </c>
    </row>
    <row r="265" spans="23:24" x14ac:dyDescent="0.3">
      <c r="W265" t="s">
        <v>14</v>
      </c>
      <c r="X265">
        <v>49.246088193456615</v>
      </c>
    </row>
    <row r="266" spans="23:24" x14ac:dyDescent="0.3">
      <c r="W266" t="s">
        <v>5</v>
      </c>
      <c r="X266">
        <v>50.911997465612032</v>
      </c>
    </row>
    <row r="267" spans="23:24" x14ac:dyDescent="0.3">
      <c r="W267" t="s">
        <v>1</v>
      </c>
      <c r="X267">
        <v>56.558865248226944</v>
      </c>
    </row>
    <row r="268" spans="23:24" x14ac:dyDescent="0.3">
      <c r="W268" t="s">
        <v>14</v>
      </c>
      <c r="X268">
        <v>45.265129682997127</v>
      </c>
    </row>
    <row r="269" spans="23:24" x14ac:dyDescent="0.3">
      <c r="W269" t="s">
        <v>7</v>
      </c>
      <c r="X269">
        <v>41.252583369822432</v>
      </c>
    </row>
    <row r="270" spans="23:24" x14ac:dyDescent="0.3">
      <c r="W270" t="s">
        <v>4</v>
      </c>
      <c r="X270">
        <v>37.867504401982522</v>
      </c>
    </row>
    <row r="271" spans="23:24" x14ac:dyDescent="0.3">
      <c r="W271" t="s">
        <v>1</v>
      </c>
      <c r="X271">
        <v>37.528409090909101</v>
      </c>
    </row>
    <row r="272" spans="23:24" x14ac:dyDescent="0.3">
      <c r="W272" t="s">
        <v>14</v>
      </c>
      <c r="X272">
        <v>38.206599713055944</v>
      </c>
    </row>
    <row r="273" spans="23:24" x14ac:dyDescent="0.3">
      <c r="W273" t="s">
        <v>5</v>
      </c>
      <c r="X273">
        <v>44.637662337662334</v>
      </c>
    </row>
    <row r="274" spans="23:24" x14ac:dyDescent="0.3">
      <c r="W274" t="s">
        <v>1</v>
      </c>
      <c r="X274">
        <v>44.675324675324674</v>
      </c>
    </row>
    <row r="275" spans="23:24" x14ac:dyDescent="0.3">
      <c r="W275" t="s">
        <v>14</v>
      </c>
      <c r="X275">
        <v>44.6</v>
      </c>
    </row>
    <row r="276" spans="23:24" x14ac:dyDescent="0.3">
      <c r="W276">
        <v>4</v>
      </c>
      <c r="X276">
        <v>47.254304908303389</v>
      </c>
    </row>
    <row r="277" spans="23:24" x14ac:dyDescent="0.3">
      <c r="W277" t="s">
        <v>6</v>
      </c>
      <c r="X277">
        <v>52.749267597116535</v>
      </c>
    </row>
    <row r="278" spans="23:24" x14ac:dyDescent="0.3">
      <c r="W278" t="s">
        <v>4</v>
      </c>
      <c r="X278">
        <v>47.686392337090219</v>
      </c>
    </row>
    <row r="279" spans="23:24" x14ac:dyDescent="0.3">
      <c r="W279" t="s">
        <v>1</v>
      </c>
      <c r="X279">
        <v>46.597997138769671</v>
      </c>
    </row>
    <row r="280" spans="23:24" x14ac:dyDescent="0.3">
      <c r="W280" t="s">
        <v>14</v>
      </c>
      <c r="X280">
        <v>48.774787535410766</v>
      </c>
    </row>
    <row r="281" spans="23:24" x14ac:dyDescent="0.3">
      <c r="W281" t="s">
        <v>5</v>
      </c>
      <c r="X281">
        <v>57.812142857142852</v>
      </c>
    </row>
    <row r="282" spans="23:24" x14ac:dyDescent="0.3">
      <c r="W282" t="s">
        <v>1</v>
      </c>
      <c r="X282">
        <v>73.36999999999999</v>
      </c>
    </row>
    <row r="283" spans="23:24" x14ac:dyDescent="0.3">
      <c r="W283" t="s">
        <v>14</v>
      </c>
      <c r="X283">
        <v>42.254285714285714</v>
      </c>
    </row>
    <row r="284" spans="23:24" x14ac:dyDescent="0.3">
      <c r="W284" t="s">
        <v>7</v>
      </c>
      <c r="X284">
        <v>39.927687989885854</v>
      </c>
    </row>
    <row r="285" spans="23:24" x14ac:dyDescent="0.3">
      <c r="W285" t="s">
        <v>4</v>
      </c>
      <c r="X285">
        <v>34.02315484804631</v>
      </c>
    </row>
    <row r="286" spans="23:24" x14ac:dyDescent="0.3">
      <c r="W286" t="s">
        <v>14</v>
      </c>
      <c r="X286">
        <v>34.02315484804631</v>
      </c>
    </row>
    <row r="287" spans="23:24" x14ac:dyDescent="0.3">
      <c r="W287" t="s">
        <v>5</v>
      </c>
      <c r="X287">
        <v>42.879954560805622</v>
      </c>
    </row>
    <row r="288" spans="23:24" x14ac:dyDescent="0.3">
      <c r="W288" t="s">
        <v>1</v>
      </c>
      <c r="X288">
        <v>40.894660894660888</v>
      </c>
    </row>
    <row r="289" spans="23:24" x14ac:dyDescent="0.3">
      <c r="W289" t="s">
        <v>14</v>
      </c>
      <c r="X289">
        <v>44.865248226950357</v>
      </c>
    </row>
    <row r="290" spans="23:24" x14ac:dyDescent="0.3">
      <c r="W290">
        <v>5</v>
      </c>
      <c r="X290">
        <v>49.235870485497657</v>
      </c>
    </row>
    <row r="291" spans="23:24" x14ac:dyDescent="0.3">
      <c r="W291" t="s">
        <v>6</v>
      </c>
      <c r="X291">
        <v>56.44571787364589</v>
      </c>
    </row>
    <row r="292" spans="23:24" x14ac:dyDescent="0.3">
      <c r="W292" t="s">
        <v>4</v>
      </c>
      <c r="X292">
        <v>55.702918807810889</v>
      </c>
    </row>
    <row r="293" spans="23:24" x14ac:dyDescent="0.3">
      <c r="W293" t="s">
        <v>1</v>
      </c>
      <c r="X293">
        <v>64.188571428571422</v>
      </c>
    </row>
    <row r="294" spans="23:24" x14ac:dyDescent="0.3">
      <c r="W294" t="s">
        <v>14</v>
      </c>
      <c r="X294">
        <v>47.217266187050363</v>
      </c>
    </row>
    <row r="295" spans="23:24" x14ac:dyDescent="0.3">
      <c r="W295" t="s">
        <v>5</v>
      </c>
      <c r="X295">
        <v>57.188516939480891</v>
      </c>
    </row>
    <row r="296" spans="23:24" x14ac:dyDescent="0.3">
      <c r="W296" t="s">
        <v>1</v>
      </c>
      <c r="X296">
        <v>58.315340909090907</v>
      </c>
    </row>
    <row r="297" spans="23:24" x14ac:dyDescent="0.3">
      <c r="W297" t="s">
        <v>14</v>
      </c>
      <c r="X297">
        <v>56.061692969870869</v>
      </c>
    </row>
    <row r="298" spans="23:24" x14ac:dyDescent="0.3">
      <c r="W298" t="s">
        <v>7</v>
      </c>
      <c r="X298">
        <v>42.026023097349437</v>
      </c>
    </row>
    <row r="299" spans="23:24" x14ac:dyDescent="0.3">
      <c r="W299" t="s">
        <v>4</v>
      </c>
      <c r="X299">
        <v>48.511176817248881</v>
      </c>
    </row>
    <row r="300" spans="23:24" x14ac:dyDescent="0.3">
      <c r="W300" t="s">
        <v>1</v>
      </c>
      <c r="X300">
        <v>52.965616045845273</v>
      </c>
    </row>
    <row r="301" spans="23:24" x14ac:dyDescent="0.3">
      <c r="W301" t="s">
        <v>14</v>
      </c>
      <c r="X301">
        <v>44.056737588652481</v>
      </c>
    </row>
    <row r="302" spans="23:24" x14ac:dyDescent="0.3">
      <c r="W302" t="s">
        <v>5</v>
      </c>
      <c r="X302">
        <v>35.540869377449994</v>
      </c>
    </row>
    <row r="303" spans="23:24" x14ac:dyDescent="0.3">
      <c r="W303" t="s">
        <v>1</v>
      </c>
      <c r="X303">
        <v>33.22254335260115</v>
      </c>
    </row>
    <row r="304" spans="23:24" x14ac:dyDescent="0.3">
      <c r="W304" t="s">
        <v>14</v>
      </c>
      <c r="X304">
        <v>37.859195402298845</v>
      </c>
    </row>
    <row r="305" spans="23:24" x14ac:dyDescent="0.3">
      <c r="W305" t="s">
        <v>0</v>
      </c>
      <c r="X305">
        <v>47.53335464993124</v>
      </c>
    </row>
    <row r="306" spans="23:24" x14ac:dyDescent="0.3">
      <c r="W306">
        <v>1</v>
      </c>
      <c r="X306">
        <v>44.622746681583457</v>
      </c>
    </row>
    <row r="307" spans="23:24" x14ac:dyDescent="0.3">
      <c r="W307" t="s">
        <v>6</v>
      </c>
      <c r="X307">
        <v>54.478585150718303</v>
      </c>
    </row>
    <row r="308" spans="23:24" x14ac:dyDescent="0.3">
      <c r="W308" t="s">
        <v>4</v>
      </c>
      <c r="X308">
        <v>56.152542303896119</v>
      </c>
    </row>
    <row r="309" spans="23:24" x14ac:dyDescent="0.3">
      <c r="W309" t="s">
        <v>1</v>
      </c>
      <c r="X309">
        <v>62.669503546099278</v>
      </c>
    </row>
    <row r="310" spans="23:24" x14ac:dyDescent="0.3">
      <c r="W310" t="s">
        <v>14</v>
      </c>
      <c r="X310">
        <v>49.63558106169296</v>
      </c>
    </row>
    <row r="311" spans="23:24" x14ac:dyDescent="0.3">
      <c r="W311" t="s">
        <v>5</v>
      </c>
      <c r="X311">
        <v>52.804627997540479</v>
      </c>
    </row>
    <row r="312" spans="23:24" x14ac:dyDescent="0.3">
      <c r="W312" t="s">
        <v>1</v>
      </c>
      <c r="X312">
        <v>57.782857142857146</v>
      </c>
    </row>
    <row r="313" spans="23:24" x14ac:dyDescent="0.3">
      <c r="W313" t="s">
        <v>14</v>
      </c>
      <c r="X313">
        <v>47.826398852223818</v>
      </c>
    </row>
    <row r="314" spans="23:24" x14ac:dyDescent="0.3">
      <c r="W314" t="s">
        <v>7</v>
      </c>
      <c r="X314">
        <v>34.766908212448612</v>
      </c>
    </row>
    <row r="315" spans="23:24" x14ac:dyDescent="0.3">
      <c r="W315" t="s">
        <v>4</v>
      </c>
      <c r="X315">
        <v>33.630074213161663</v>
      </c>
    </row>
    <row r="316" spans="23:24" x14ac:dyDescent="0.3">
      <c r="W316" t="s">
        <v>1</v>
      </c>
      <c r="X316">
        <v>27.031250000000007</v>
      </c>
    </row>
    <row r="317" spans="23:24" x14ac:dyDescent="0.3">
      <c r="W317" t="s">
        <v>14</v>
      </c>
      <c r="X317">
        <v>40.228898426323326</v>
      </c>
    </row>
    <row r="318" spans="23:24" x14ac:dyDescent="0.3">
      <c r="W318" t="s">
        <v>5</v>
      </c>
      <c r="X318">
        <v>35.903742211735562</v>
      </c>
    </row>
    <row r="319" spans="23:24" x14ac:dyDescent="0.3">
      <c r="W319" t="s">
        <v>1</v>
      </c>
      <c r="X319">
        <v>42.625538020086076</v>
      </c>
    </row>
    <row r="320" spans="23:24" x14ac:dyDescent="0.3">
      <c r="W320" t="s">
        <v>14</v>
      </c>
      <c r="X320">
        <v>29.181946403385052</v>
      </c>
    </row>
    <row r="321" spans="23:24" x14ac:dyDescent="0.3">
      <c r="W321">
        <v>2</v>
      </c>
      <c r="X321">
        <v>47.573288427048929</v>
      </c>
    </row>
    <row r="322" spans="23:24" x14ac:dyDescent="0.3">
      <c r="W322" t="s">
        <v>6</v>
      </c>
      <c r="X322">
        <v>46.934015699482089</v>
      </c>
    </row>
    <row r="323" spans="23:24" x14ac:dyDescent="0.3">
      <c r="W323" t="s">
        <v>4</v>
      </c>
      <c r="X323">
        <v>47.639110275689227</v>
      </c>
    </row>
    <row r="324" spans="23:24" x14ac:dyDescent="0.3">
      <c r="W324" t="s">
        <v>1</v>
      </c>
      <c r="X324">
        <v>45.168571428571433</v>
      </c>
    </row>
    <row r="325" spans="23:24" x14ac:dyDescent="0.3">
      <c r="W325" t="s">
        <v>14</v>
      </c>
      <c r="X325">
        <v>50.109649122807021</v>
      </c>
    </row>
    <row r="326" spans="23:24" x14ac:dyDescent="0.3">
      <c r="W326" t="s">
        <v>5</v>
      </c>
      <c r="X326">
        <v>46.228921123274944</v>
      </c>
    </row>
    <row r="327" spans="23:24" x14ac:dyDescent="0.3">
      <c r="W327" t="s">
        <v>1</v>
      </c>
      <c r="X327">
        <v>45.573888091822099</v>
      </c>
    </row>
    <row r="328" spans="23:24" x14ac:dyDescent="0.3">
      <c r="W328" t="s">
        <v>14</v>
      </c>
      <c r="X328">
        <v>46.883954154727796</v>
      </c>
    </row>
    <row r="329" spans="23:24" x14ac:dyDescent="0.3">
      <c r="W329" t="s">
        <v>7</v>
      </c>
      <c r="X329">
        <v>48.21256115461577</v>
      </c>
    </row>
    <row r="330" spans="23:24" x14ac:dyDescent="0.3">
      <c r="W330" t="s">
        <v>4</v>
      </c>
      <c r="X330">
        <v>49.171350018266899</v>
      </c>
    </row>
    <row r="331" spans="23:24" x14ac:dyDescent="0.3">
      <c r="W331" t="s">
        <v>1</v>
      </c>
      <c r="X331">
        <v>50.80114449213162</v>
      </c>
    </row>
    <row r="332" spans="23:24" x14ac:dyDescent="0.3">
      <c r="W332" t="s">
        <v>14</v>
      </c>
      <c r="X332">
        <v>48.356452781334532</v>
      </c>
    </row>
    <row r="333" spans="23:24" x14ac:dyDescent="0.3">
      <c r="W333" t="s">
        <v>5</v>
      </c>
      <c r="X333">
        <v>45.336194563662374</v>
      </c>
    </row>
    <row r="334" spans="23:24" x14ac:dyDescent="0.3">
      <c r="W334" t="s">
        <v>1</v>
      </c>
      <c r="X334">
        <v>45.336194563662374</v>
      </c>
    </row>
    <row r="335" spans="23:24" x14ac:dyDescent="0.3">
      <c r="W335">
        <v>3</v>
      </c>
      <c r="X335">
        <v>43.561660976555515</v>
      </c>
    </row>
    <row r="336" spans="23:24" x14ac:dyDescent="0.3">
      <c r="W336" t="s">
        <v>6</v>
      </c>
      <c r="X336">
        <v>47.205800869929405</v>
      </c>
    </row>
    <row r="337" spans="23:24" x14ac:dyDescent="0.3">
      <c r="W337" t="s">
        <v>4</v>
      </c>
      <c r="X337">
        <v>46.459589816124463</v>
      </c>
    </row>
    <row r="338" spans="23:24" x14ac:dyDescent="0.3">
      <c r="W338" t="s">
        <v>1</v>
      </c>
      <c r="X338">
        <v>43.551428571428566</v>
      </c>
    </row>
    <row r="339" spans="23:24" x14ac:dyDescent="0.3">
      <c r="W339" t="s">
        <v>14</v>
      </c>
      <c r="X339">
        <v>49.367751060820368</v>
      </c>
    </row>
    <row r="340" spans="23:24" x14ac:dyDescent="0.3">
      <c r="W340" t="s">
        <v>5</v>
      </c>
      <c r="X340">
        <v>47.952011923734347</v>
      </c>
    </row>
    <row r="341" spans="23:24" x14ac:dyDescent="0.3">
      <c r="W341" t="s">
        <v>1</v>
      </c>
      <c r="X341">
        <v>51.651862464183381</v>
      </c>
    </row>
    <row r="342" spans="23:24" x14ac:dyDescent="0.3">
      <c r="W342" t="s">
        <v>14</v>
      </c>
      <c r="X342">
        <v>44.252161383285305</v>
      </c>
    </row>
    <row r="343" spans="23:24" x14ac:dyDescent="0.3">
      <c r="W343" t="s">
        <v>7</v>
      </c>
      <c r="X343">
        <v>39.917521083181619</v>
      </c>
    </row>
    <row r="344" spans="23:24" x14ac:dyDescent="0.3">
      <c r="W344" t="s">
        <v>4</v>
      </c>
      <c r="X344">
        <v>45.203314121037465</v>
      </c>
    </row>
    <row r="345" spans="23:24" x14ac:dyDescent="0.3">
      <c r="W345" t="s">
        <v>1</v>
      </c>
      <c r="X345">
        <v>46.300000000000004</v>
      </c>
    </row>
    <row r="346" spans="23:24" x14ac:dyDescent="0.3">
      <c r="W346" t="s">
        <v>14</v>
      </c>
      <c r="X346">
        <v>44.106628242074933</v>
      </c>
    </row>
    <row r="347" spans="23:24" x14ac:dyDescent="0.3">
      <c r="W347" t="s">
        <v>5</v>
      </c>
      <c r="X347">
        <v>34.631728045325772</v>
      </c>
    </row>
    <row r="348" spans="23:24" x14ac:dyDescent="0.3">
      <c r="W348" t="s">
        <v>1</v>
      </c>
      <c r="X348">
        <v>34.107648725212456</v>
      </c>
    </row>
    <row r="349" spans="23:24" x14ac:dyDescent="0.3">
      <c r="W349" t="s">
        <v>14</v>
      </c>
      <c r="X349">
        <v>35.155807365439088</v>
      </c>
    </row>
    <row r="350" spans="23:24" x14ac:dyDescent="0.3">
      <c r="W350">
        <v>4</v>
      </c>
      <c r="X350">
        <v>47.973456325331853</v>
      </c>
    </row>
    <row r="351" spans="23:24" x14ac:dyDescent="0.3">
      <c r="W351" t="s">
        <v>6</v>
      </c>
      <c r="X351">
        <v>51.930054723592683</v>
      </c>
    </row>
    <row r="352" spans="23:24" x14ac:dyDescent="0.3">
      <c r="W352" t="s">
        <v>4</v>
      </c>
      <c r="X352">
        <v>54.802421479229992</v>
      </c>
    </row>
    <row r="353" spans="23:24" x14ac:dyDescent="0.3">
      <c r="W353" t="s">
        <v>1</v>
      </c>
      <c r="X353">
        <v>57.082857142857144</v>
      </c>
    </row>
    <row r="354" spans="23:24" x14ac:dyDescent="0.3">
      <c r="W354" t="s">
        <v>14</v>
      </c>
      <c r="X354">
        <v>52.521985815602832</v>
      </c>
    </row>
    <row r="355" spans="23:24" x14ac:dyDescent="0.3">
      <c r="W355" t="s">
        <v>5</v>
      </c>
      <c r="X355">
        <v>49.057687967955374</v>
      </c>
    </row>
    <row r="356" spans="23:24" x14ac:dyDescent="0.3">
      <c r="W356" t="s">
        <v>1</v>
      </c>
      <c r="X356">
        <v>50.731638418079093</v>
      </c>
    </row>
    <row r="357" spans="23:24" x14ac:dyDescent="0.3">
      <c r="W357" t="s">
        <v>14</v>
      </c>
      <c r="X357">
        <v>47.383737517831662</v>
      </c>
    </row>
    <row r="358" spans="23:24" x14ac:dyDescent="0.3">
      <c r="W358" t="s">
        <v>7</v>
      </c>
      <c r="X358">
        <v>44.01685792707103</v>
      </c>
    </row>
    <row r="359" spans="23:24" x14ac:dyDescent="0.3">
      <c r="W359" t="s">
        <v>4</v>
      </c>
      <c r="X359">
        <v>44.17929360021909</v>
      </c>
    </row>
    <row r="360" spans="23:24" x14ac:dyDescent="0.3">
      <c r="W360" t="s">
        <v>1</v>
      </c>
      <c r="X360">
        <v>43.123209169054441</v>
      </c>
    </row>
    <row r="361" spans="23:24" x14ac:dyDescent="0.3">
      <c r="W361" t="s">
        <v>14</v>
      </c>
      <c r="X361">
        <v>45.235378031383739</v>
      </c>
    </row>
    <row r="362" spans="23:24" x14ac:dyDescent="0.3">
      <c r="W362" t="s">
        <v>5</v>
      </c>
      <c r="X362">
        <v>43.854422253922962</v>
      </c>
    </row>
    <row r="363" spans="23:24" x14ac:dyDescent="0.3">
      <c r="W363" t="s">
        <v>1</v>
      </c>
      <c r="X363">
        <v>43.9</v>
      </c>
    </row>
    <row r="364" spans="23:24" x14ac:dyDescent="0.3">
      <c r="W364" t="s">
        <v>14</v>
      </c>
      <c r="X364">
        <v>43.808844507845933</v>
      </c>
    </row>
    <row r="365" spans="23:24" x14ac:dyDescent="0.3">
      <c r="W365">
        <v>5</v>
      </c>
      <c r="X365">
        <v>53.935620839136448</v>
      </c>
    </row>
    <row r="366" spans="23:24" x14ac:dyDescent="0.3">
      <c r="W366" t="s">
        <v>6</v>
      </c>
      <c r="X366">
        <v>69.119675149830826</v>
      </c>
    </row>
    <row r="367" spans="23:24" x14ac:dyDescent="0.3">
      <c r="W367" t="s">
        <v>4</v>
      </c>
      <c r="X367">
        <v>73.091384827430559</v>
      </c>
    </row>
    <row r="368" spans="23:24" x14ac:dyDescent="0.3">
      <c r="W368" t="s">
        <v>1</v>
      </c>
      <c r="X368">
        <v>78.907303370786522</v>
      </c>
    </row>
    <row r="369" spans="23:24" x14ac:dyDescent="0.3">
      <c r="W369" t="s">
        <v>14</v>
      </c>
      <c r="X369">
        <v>67.275466284074597</v>
      </c>
    </row>
    <row r="370" spans="23:24" x14ac:dyDescent="0.3">
      <c r="W370" t="s">
        <v>5</v>
      </c>
      <c r="X370">
        <v>65.147965472231078</v>
      </c>
    </row>
    <row r="371" spans="23:24" x14ac:dyDescent="0.3">
      <c r="W371" t="s">
        <v>1</v>
      </c>
      <c r="X371">
        <v>82.185449358059913</v>
      </c>
    </row>
    <row r="372" spans="23:24" x14ac:dyDescent="0.3">
      <c r="W372" t="s">
        <v>14</v>
      </c>
      <c r="X372">
        <v>48.110481586402258</v>
      </c>
    </row>
    <row r="373" spans="23:24" x14ac:dyDescent="0.3">
      <c r="W373" t="s">
        <v>7</v>
      </c>
      <c r="X373">
        <v>38.751566528442069</v>
      </c>
    </row>
    <row r="374" spans="23:24" x14ac:dyDescent="0.3">
      <c r="W374" t="s">
        <v>4</v>
      </c>
      <c r="X374">
        <v>42.734947506802037</v>
      </c>
    </row>
    <row r="375" spans="23:24" x14ac:dyDescent="0.3">
      <c r="W375" t="s">
        <v>1</v>
      </c>
      <c r="X375">
        <v>33.834048640915597</v>
      </c>
    </row>
    <row r="376" spans="23:24" x14ac:dyDescent="0.3">
      <c r="W376" t="s">
        <v>14</v>
      </c>
      <c r="X376">
        <v>51.635846372688476</v>
      </c>
    </row>
    <row r="377" spans="23:24" x14ac:dyDescent="0.3">
      <c r="W377" t="s">
        <v>5</v>
      </c>
      <c r="X377">
        <v>34.768185550082094</v>
      </c>
    </row>
    <row r="378" spans="23:24" x14ac:dyDescent="0.3">
      <c r="W378" t="s">
        <v>1</v>
      </c>
      <c r="X378">
        <v>25.671428571428567</v>
      </c>
    </row>
    <row r="379" spans="23:24" x14ac:dyDescent="0.3">
      <c r="W379" t="s">
        <v>14</v>
      </c>
      <c r="X379">
        <v>43.864942528735625</v>
      </c>
    </row>
    <row r="380" spans="23:24" x14ac:dyDescent="0.3">
      <c r="W380" t="s">
        <v>2</v>
      </c>
      <c r="X380">
        <v>45.476479178431859</v>
      </c>
    </row>
    <row r="381" spans="23:24" x14ac:dyDescent="0.3">
      <c r="W381">
        <v>1</v>
      </c>
      <c r="X381">
        <v>42.449308255240481</v>
      </c>
    </row>
    <row r="382" spans="23:24" x14ac:dyDescent="0.3">
      <c r="W382" t="s">
        <v>6</v>
      </c>
      <c r="X382">
        <v>45.970117819897908</v>
      </c>
    </row>
    <row r="383" spans="23:24" x14ac:dyDescent="0.3">
      <c r="W383" t="s">
        <v>4</v>
      </c>
      <c r="X383">
        <v>47.364962560521299</v>
      </c>
    </row>
    <row r="384" spans="23:24" x14ac:dyDescent="0.3">
      <c r="W384" t="s">
        <v>1</v>
      </c>
      <c r="X384">
        <v>46.832378223495702</v>
      </c>
    </row>
    <row r="385" spans="23:24" x14ac:dyDescent="0.3">
      <c r="W385" t="s">
        <v>14</v>
      </c>
      <c r="X385">
        <v>47.897546897546896</v>
      </c>
    </row>
    <row r="386" spans="23:24" x14ac:dyDescent="0.3">
      <c r="W386" t="s">
        <v>5</v>
      </c>
      <c r="X386">
        <v>44.575273079274503</v>
      </c>
    </row>
    <row r="387" spans="23:24" x14ac:dyDescent="0.3">
      <c r="W387" t="s">
        <v>1</v>
      </c>
      <c r="X387">
        <v>48.617689015691866</v>
      </c>
    </row>
    <row r="388" spans="23:24" x14ac:dyDescent="0.3">
      <c r="W388" t="s">
        <v>14</v>
      </c>
      <c r="X388">
        <v>40.532857142857139</v>
      </c>
    </row>
    <row r="389" spans="23:24" x14ac:dyDescent="0.3">
      <c r="W389" t="s">
        <v>7</v>
      </c>
      <c r="X389">
        <v>38.928498690583055</v>
      </c>
    </row>
    <row r="390" spans="23:24" x14ac:dyDescent="0.3">
      <c r="W390" t="s">
        <v>4</v>
      </c>
      <c r="X390">
        <v>43.369098712446359</v>
      </c>
    </row>
    <row r="391" spans="23:24" x14ac:dyDescent="0.3">
      <c r="W391" t="s">
        <v>1</v>
      </c>
      <c r="X391">
        <v>41.80257510729615</v>
      </c>
    </row>
    <row r="392" spans="23:24" x14ac:dyDescent="0.3">
      <c r="W392" t="s">
        <v>14</v>
      </c>
      <c r="X392">
        <v>44.935622317596561</v>
      </c>
    </row>
    <row r="393" spans="23:24" x14ac:dyDescent="0.3">
      <c r="W393" t="s">
        <v>5</v>
      </c>
      <c r="X393">
        <v>34.487898668719751</v>
      </c>
    </row>
    <row r="394" spans="23:24" x14ac:dyDescent="0.3">
      <c r="W394" t="s">
        <v>1</v>
      </c>
      <c r="X394">
        <v>35.832127351664255</v>
      </c>
    </row>
    <row r="395" spans="23:24" x14ac:dyDescent="0.3">
      <c r="W395" t="s">
        <v>14</v>
      </c>
      <c r="X395">
        <v>33.143669985775247</v>
      </c>
    </row>
    <row r="396" spans="23:24" x14ac:dyDescent="0.3">
      <c r="W396">
        <v>2</v>
      </c>
      <c r="X396">
        <v>45.824383761317065</v>
      </c>
    </row>
    <row r="397" spans="23:24" x14ac:dyDescent="0.3">
      <c r="W397" t="s">
        <v>6</v>
      </c>
      <c r="X397">
        <v>47.642246951158256</v>
      </c>
    </row>
    <row r="398" spans="23:24" x14ac:dyDescent="0.3">
      <c r="W398" t="s">
        <v>4</v>
      </c>
      <c r="X398">
        <v>49.379493902316511</v>
      </c>
    </row>
    <row r="399" spans="23:24" x14ac:dyDescent="0.3">
      <c r="W399" t="s">
        <v>1</v>
      </c>
      <c r="X399">
        <v>41.845390070921979</v>
      </c>
    </row>
    <row r="400" spans="23:24" x14ac:dyDescent="0.3">
      <c r="W400" t="s">
        <v>14</v>
      </c>
      <c r="X400">
        <v>56.91359773371105</v>
      </c>
    </row>
    <row r="401" spans="23:24" x14ac:dyDescent="0.3">
      <c r="W401" t="s">
        <v>5</v>
      </c>
      <c r="X401">
        <v>45.904999999999994</v>
      </c>
    </row>
    <row r="402" spans="23:24" x14ac:dyDescent="0.3">
      <c r="W402" t="s">
        <v>1</v>
      </c>
      <c r="X402">
        <v>36.799999999999997</v>
      </c>
    </row>
    <row r="403" spans="23:24" x14ac:dyDescent="0.3">
      <c r="W403" t="s">
        <v>14</v>
      </c>
      <c r="X403">
        <v>55.009999999999991</v>
      </c>
    </row>
    <row r="404" spans="23:24" x14ac:dyDescent="0.3">
      <c r="W404" t="s">
        <v>7</v>
      </c>
      <c r="X404">
        <v>44.00652057147586</v>
      </c>
    </row>
    <row r="405" spans="23:24" x14ac:dyDescent="0.3">
      <c r="W405" t="s">
        <v>4</v>
      </c>
      <c r="X405">
        <v>47.080241471358946</v>
      </c>
    </row>
    <row r="406" spans="23:24" x14ac:dyDescent="0.3">
      <c r="W406" t="s">
        <v>1</v>
      </c>
      <c r="X406">
        <v>51.495726495726487</v>
      </c>
    </row>
    <row r="407" spans="23:24" x14ac:dyDescent="0.3">
      <c r="W407" t="s">
        <v>14</v>
      </c>
      <c r="X407">
        <v>42.664756446991412</v>
      </c>
    </row>
    <row r="408" spans="23:24" x14ac:dyDescent="0.3">
      <c r="W408" t="s">
        <v>5</v>
      </c>
      <c r="X408">
        <v>40.932799671592775</v>
      </c>
    </row>
    <row r="409" spans="23:24" x14ac:dyDescent="0.3">
      <c r="W409" t="s">
        <v>1</v>
      </c>
      <c r="X409">
        <v>37.885714285714286</v>
      </c>
    </row>
    <row r="410" spans="23:24" x14ac:dyDescent="0.3">
      <c r="W410" t="s">
        <v>14</v>
      </c>
      <c r="X410">
        <v>43.979885057471265</v>
      </c>
    </row>
    <row r="411" spans="23:24" x14ac:dyDescent="0.3">
      <c r="W411">
        <v>3</v>
      </c>
      <c r="X411">
        <v>45.149715641457817</v>
      </c>
    </row>
    <row r="412" spans="23:24" x14ac:dyDescent="0.3">
      <c r="W412" t="s">
        <v>6</v>
      </c>
      <c r="X412">
        <v>48.067132320991547</v>
      </c>
    </row>
    <row r="413" spans="23:24" x14ac:dyDescent="0.3">
      <c r="W413" t="s">
        <v>4</v>
      </c>
      <c r="X413">
        <v>52.76080028328613</v>
      </c>
    </row>
    <row r="414" spans="23:24" x14ac:dyDescent="0.3">
      <c r="W414" t="s">
        <v>1</v>
      </c>
      <c r="X414">
        <v>58.896600566572246</v>
      </c>
    </row>
    <row r="415" spans="23:24" x14ac:dyDescent="0.3">
      <c r="W415" t="s">
        <v>14</v>
      </c>
      <c r="X415">
        <v>46.625000000000007</v>
      </c>
    </row>
    <row r="416" spans="23:24" x14ac:dyDescent="0.3">
      <c r="W416" t="s">
        <v>5</v>
      </c>
      <c r="X416">
        <v>43.373464358696957</v>
      </c>
    </row>
    <row r="417" spans="23:24" x14ac:dyDescent="0.3">
      <c r="W417" t="s">
        <v>1</v>
      </c>
      <c r="X417">
        <v>41.805084745762713</v>
      </c>
    </row>
    <row r="418" spans="23:24" x14ac:dyDescent="0.3">
      <c r="W418" t="s">
        <v>14</v>
      </c>
      <c r="X418">
        <v>44.941843971631201</v>
      </c>
    </row>
    <row r="419" spans="23:24" x14ac:dyDescent="0.3">
      <c r="W419" t="s">
        <v>7</v>
      </c>
      <c r="X419">
        <v>42.232298961924087</v>
      </c>
    </row>
    <row r="420" spans="23:24" x14ac:dyDescent="0.3">
      <c r="W420" t="s">
        <v>4</v>
      </c>
      <c r="X420">
        <v>47.730344909337646</v>
      </c>
    </row>
    <row r="421" spans="23:24" x14ac:dyDescent="0.3">
      <c r="W421" t="s">
        <v>1</v>
      </c>
      <c r="X421">
        <v>41.337126600284499</v>
      </c>
    </row>
    <row r="422" spans="23:24" x14ac:dyDescent="0.3">
      <c r="W422" t="s">
        <v>14</v>
      </c>
      <c r="X422">
        <v>54.1235632183908</v>
      </c>
    </row>
    <row r="423" spans="23:24" x14ac:dyDescent="0.3">
      <c r="W423" t="s">
        <v>5</v>
      </c>
      <c r="X423">
        <v>36.734253014510529</v>
      </c>
    </row>
    <row r="424" spans="23:24" x14ac:dyDescent="0.3">
      <c r="W424" t="s">
        <v>1</v>
      </c>
      <c r="X424">
        <v>37.954220314735345</v>
      </c>
    </row>
    <row r="425" spans="23:24" x14ac:dyDescent="0.3">
      <c r="W425" t="s">
        <v>14</v>
      </c>
      <c r="X425">
        <v>35.514285714285712</v>
      </c>
    </row>
    <row r="426" spans="23:24" x14ac:dyDescent="0.3">
      <c r="W426">
        <v>4</v>
      </c>
      <c r="X426">
        <v>47.973101038588119</v>
      </c>
    </row>
    <row r="427" spans="23:24" x14ac:dyDescent="0.3">
      <c r="W427" t="s">
        <v>6</v>
      </c>
      <c r="X427">
        <v>51.160060046667446</v>
      </c>
    </row>
    <row r="428" spans="23:24" x14ac:dyDescent="0.3">
      <c r="W428" t="s">
        <v>4</v>
      </c>
      <c r="X428">
        <v>53.45734752353664</v>
      </c>
    </row>
    <row r="429" spans="23:24" x14ac:dyDescent="0.3">
      <c r="W429" t="s">
        <v>1</v>
      </c>
      <c r="X429">
        <v>47.643266475644701</v>
      </c>
    </row>
    <row r="430" spans="23:24" x14ac:dyDescent="0.3">
      <c r="W430" t="s">
        <v>14</v>
      </c>
      <c r="X430">
        <v>59.271428571428572</v>
      </c>
    </row>
    <row r="431" spans="23:24" x14ac:dyDescent="0.3">
      <c r="W431" t="s">
        <v>5</v>
      </c>
      <c r="X431">
        <v>48.862772569798238</v>
      </c>
    </row>
    <row r="432" spans="23:24" x14ac:dyDescent="0.3">
      <c r="W432" t="s">
        <v>1</v>
      </c>
      <c r="X432">
        <v>42.11840228245363</v>
      </c>
    </row>
    <row r="433" spans="23:24" x14ac:dyDescent="0.3">
      <c r="W433" t="s">
        <v>14</v>
      </c>
      <c r="X433">
        <v>55.607142857142854</v>
      </c>
    </row>
    <row r="434" spans="23:24" x14ac:dyDescent="0.3">
      <c r="W434" t="s">
        <v>7</v>
      </c>
      <c r="X434">
        <v>43.723822361149018</v>
      </c>
    </row>
    <row r="435" spans="23:24" x14ac:dyDescent="0.3">
      <c r="W435" t="s">
        <v>4</v>
      </c>
      <c r="X435">
        <v>46.488912732474965</v>
      </c>
    </row>
    <row r="436" spans="23:24" x14ac:dyDescent="0.3">
      <c r="W436" t="s">
        <v>1</v>
      </c>
      <c r="X436">
        <v>44.47782546494993</v>
      </c>
    </row>
    <row r="437" spans="23:24" x14ac:dyDescent="0.3">
      <c r="W437" t="s">
        <v>14</v>
      </c>
      <c r="X437">
        <v>48.5</v>
      </c>
    </row>
    <row r="438" spans="23:24" x14ac:dyDescent="0.3">
      <c r="W438" t="s">
        <v>5</v>
      </c>
      <c r="X438">
        <v>38.193641618497111</v>
      </c>
    </row>
    <row r="439" spans="23:24" x14ac:dyDescent="0.3">
      <c r="W439" t="s">
        <v>1</v>
      </c>
      <c r="X439">
        <v>38.193641618497111</v>
      </c>
    </row>
    <row r="440" spans="23:24" x14ac:dyDescent="0.3">
      <c r="W440">
        <v>5</v>
      </c>
      <c r="X440">
        <v>46.29796492807538</v>
      </c>
    </row>
    <row r="441" spans="23:24" x14ac:dyDescent="0.3">
      <c r="W441" t="s">
        <v>6</v>
      </c>
      <c r="X441">
        <v>48.617531035087964</v>
      </c>
    </row>
    <row r="442" spans="23:24" x14ac:dyDescent="0.3">
      <c r="W442" t="s">
        <v>4</v>
      </c>
      <c r="X442">
        <v>50.996292774100056</v>
      </c>
    </row>
    <row r="443" spans="23:24" x14ac:dyDescent="0.3">
      <c r="W443" t="s">
        <v>1</v>
      </c>
      <c r="X443">
        <v>45.912356321839084</v>
      </c>
    </row>
    <row r="444" spans="23:24" x14ac:dyDescent="0.3">
      <c r="W444" t="s">
        <v>14</v>
      </c>
      <c r="X444">
        <v>56.080229226361034</v>
      </c>
    </row>
    <row r="445" spans="23:24" x14ac:dyDescent="0.3">
      <c r="W445" t="s">
        <v>5</v>
      </c>
      <c r="X445">
        <v>46.238769296075887</v>
      </c>
    </row>
    <row r="446" spans="23:24" x14ac:dyDescent="0.3">
      <c r="W446" t="s">
        <v>1</v>
      </c>
      <c r="X446">
        <v>51.169515669515661</v>
      </c>
    </row>
    <row r="447" spans="23:24" x14ac:dyDescent="0.3">
      <c r="W447" t="s">
        <v>14</v>
      </c>
      <c r="X447">
        <v>41.308022922636106</v>
      </c>
    </row>
    <row r="448" spans="23:24" x14ac:dyDescent="0.3">
      <c r="W448" t="s">
        <v>7</v>
      </c>
      <c r="X448">
        <v>43.978398821062783</v>
      </c>
    </row>
    <row r="449" spans="23:24" x14ac:dyDescent="0.3">
      <c r="W449" t="s">
        <v>4</v>
      </c>
      <c r="X449">
        <v>49.212126646667528</v>
      </c>
    </row>
    <row r="450" spans="23:24" x14ac:dyDescent="0.3">
      <c r="W450" t="s">
        <v>1</v>
      </c>
      <c r="X450">
        <v>45.810616929698703</v>
      </c>
    </row>
    <row r="451" spans="23:24" x14ac:dyDescent="0.3">
      <c r="W451" t="s">
        <v>14</v>
      </c>
      <c r="X451">
        <v>52.61363636363636</v>
      </c>
    </row>
    <row r="452" spans="23:24" x14ac:dyDescent="0.3">
      <c r="W452" t="s">
        <v>5</v>
      </c>
      <c r="X452">
        <v>38.744670995458051</v>
      </c>
    </row>
    <row r="453" spans="23:24" x14ac:dyDescent="0.3">
      <c r="W453" t="s">
        <v>1</v>
      </c>
      <c r="X453">
        <v>36.005747126436781</v>
      </c>
    </row>
    <row r="454" spans="23:24" x14ac:dyDescent="0.3">
      <c r="W454" t="s">
        <v>14</v>
      </c>
      <c r="X454">
        <v>41.483594864479315</v>
      </c>
    </row>
    <row r="455" spans="23:24" x14ac:dyDescent="0.3">
      <c r="W455">
        <v>18</v>
      </c>
      <c r="X455">
        <v>63.787166640563726</v>
      </c>
    </row>
    <row r="456" spans="23:24" x14ac:dyDescent="0.3">
      <c r="W456" t="s">
        <v>3</v>
      </c>
      <c r="X456">
        <v>64.933299511432963</v>
      </c>
    </row>
    <row r="457" spans="23:24" x14ac:dyDescent="0.3">
      <c r="W457">
        <v>1</v>
      </c>
      <c r="X457">
        <v>64.732620217525209</v>
      </c>
    </row>
    <row r="458" spans="23:24" x14ac:dyDescent="0.3">
      <c r="W458" t="s">
        <v>6</v>
      </c>
      <c r="X458">
        <v>74.161117963336849</v>
      </c>
    </row>
    <row r="459" spans="23:24" x14ac:dyDescent="0.3">
      <c r="W459" t="s">
        <v>4</v>
      </c>
      <c r="X459">
        <v>74.679430171278</v>
      </c>
    </row>
    <row r="460" spans="23:24" x14ac:dyDescent="0.3">
      <c r="W460" t="s">
        <v>1</v>
      </c>
      <c r="X460">
        <v>70.170454545454547</v>
      </c>
    </row>
    <row r="461" spans="23:24" x14ac:dyDescent="0.3">
      <c r="W461" t="s">
        <v>14</v>
      </c>
      <c r="X461">
        <v>79.188405797101453</v>
      </c>
    </row>
    <row r="462" spans="23:24" x14ac:dyDescent="0.3">
      <c r="W462" t="s">
        <v>5</v>
      </c>
      <c r="X462">
        <v>73.642805755395685</v>
      </c>
    </row>
    <row r="463" spans="23:24" x14ac:dyDescent="0.3">
      <c r="W463" t="s">
        <v>1</v>
      </c>
      <c r="X463">
        <v>75.985611510791372</v>
      </c>
    </row>
    <row r="464" spans="23:24" x14ac:dyDescent="0.3">
      <c r="W464" t="s">
        <v>14</v>
      </c>
      <c r="X464">
        <v>71.3</v>
      </c>
    </row>
    <row r="465" spans="7:24" x14ac:dyDescent="0.3">
      <c r="W465" t="s">
        <v>7</v>
      </c>
      <c r="X465">
        <v>55.304122471713569</v>
      </c>
    </row>
    <row r="466" spans="7:24" x14ac:dyDescent="0.3">
      <c r="W466" t="s">
        <v>4</v>
      </c>
      <c r="X466">
        <v>60.543241064839442</v>
      </c>
    </row>
    <row r="467" spans="7:24" x14ac:dyDescent="0.3">
      <c r="W467" t="s">
        <v>1</v>
      </c>
      <c r="X467">
        <v>65.396280400572252</v>
      </c>
    </row>
    <row r="468" spans="7:24" x14ac:dyDescent="0.3">
      <c r="W468" t="s">
        <v>14</v>
      </c>
      <c r="X468">
        <v>55.690201729106633</v>
      </c>
    </row>
    <row r="469" spans="7:24" x14ac:dyDescent="0.3">
      <c r="W469" t="s">
        <v>5</v>
      </c>
      <c r="X469">
        <v>50.065003878587689</v>
      </c>
    </row>
    <row r="470" spans="7:24" x14ac:dyDescent="0.3">
      <c r="W470" t="s">
        <v>1</v>
      </c>
      <c r="X470">
        <v>57.095375722543352</v>
      </c>
    </row>
    <row r="471" spans="7:24" x14ac:dyDescent="0.3">
      <c r="W471" t="s">
        <v>14</v>
      </c>
      <c r="X471">
        <v>43.034632034632033</v>
      </c>
    </row>
    <row r="472" spans="7:24" x14ac:dyDescent="0.3">
      <c r="W472">
        <v>2</v>
      </c>
      <c r="X472">
        <v>65.57888793555972</v>
      </c>
    </row>
    <row r="473" spans="7:24" x14ac:dyDescent="0.3">
      <c r="W473" t="s">
        <v>6</v>
      </c>
      <c r="X473">
        <v>73.949919061108858</v>
      </c>
    </row>
    <row r="474" spans="7:24" x14ac:dyDescent="0.3">
      <c r="W474" t="s">
        <v>4</v>
      </c>
      <c r="X474">
        <v>66.414123836503435</v>
      </c>
    </row>
    <row r="475" spans="7:24" x14ac:dyDescent="0.3">
      <c r="W475" t="s">
        <v>1</v>
      </c>
      <c r="X475">
        <v>73.371104815864015</v>
      </c>
    </row>
    <row r="476" spans="7:24" x14ac:dyDescent="0.3">
      <c r="W476" t="s">
        <v>14</v>
      </c>
      <c r="X476">
        <v>59.457142857142856</v>
      </c>
    </row>
    <row r="477" spans="7:24" x14ac:dyDescent="0.3">
      <c r="W477" t="s">
        <v>5</v>
      </c>
      <c r="X477">
        <v>81.48571428571428</v>
      </c>
    </row>
    <row r="478" spans="7:24" x14ac:dyDescent="0.3">
      <c r="W478" t="s">
        <v>1</v>
      </c>
      <c r="X478">
        <v>84.98571428571428</v>
      </c>
    </row>
    <row r="479" spans="7:24" x14ac:dyDescent="0.3">
      <c r="W479" t="s">
        <v>14</v>
      </c>
      <c r="X479">
        <v>77.98571428571428</v>
      </c>
    </row>
    <row r="480" spans="7:24" x14ac:dyDescent="0.3">
      <c r="G480" t="s">
        <v>24</v>
      </c>
      <c r="H480" t="s">
        <v>8</v>
      </c>
      <c r="I480" t="s">
        <v>15</v>
      </c>
      <c r="J480" t="s">
        <v>12</v>
      </c>
      <c r="K480" t="s">
        <v>10</v>
      </c>
      <c r="L480" s="76" t="s">
        <v>9</v>
      </c>
      <c r="M480" s="77">
        <v>24.968314821662624</v>
      </c>
      <c r="W480" t="s">
        <v>7</v>
      </c>
      <c r="X480">
        <v>57.207856810010597</v>
      </c>
    </row>
    <row r="481" spans="7:24" x14ac:dyDescent="0.3">
      <c r="G481" s="73">
        <v>6</v>
      </c>
      <c r="H481" s="73" t="s">
        <v>3</v>
      </c>
      <c r="I481" s="73">
        <v>1</v>
      </c>
      <c r="J481" s="73" t="s">
        <v>6</v>
      </c>
      <c r="K481" s="79" t="s">
        <v>4</v>
      </c>
      <c r="L481" s="80" t="s">
        <v>14</v>
      </c>
      <c r="M481" s="73">
        <v>26.98559077809799</v>
      </c>
      <c r="W481" t="s">
        <v>4</v>
      </c>
      <c r="X481">
        <v>57.580502604284426</v>
      </c>
    </row>
    <row r="482" spans="7:24" x14ac:dyDescent="0.3">
      <c r="G482">
        <v>6</v>
      </c>
      <c r="H482" t="s">
        <v>3</v>
      </c>
      <c r="I482">
        <v>1</v>
      </c>
      <c r="J482" t="s">
        <v>6</v>
      </c>
      <c r="K482" s="75" t="s">
        <v>5</v>
      </c>
      <c r="L482" s="78" t="s">
        <v>1</v>
      </c>
      <c r="M482">
        <v>35.625754490728816</v>
      </c>
      <c r="W482" t="s">
        <v>1</v>
      </c>
      <c r="X482">
        <v>61.381635581061687</v>
      </c>
    </row>
    <row r="483" spans="7:24" x14ac:dyDescent="0.3">
      <c r="G483">
        <v>6</v>
      </c>
      <c r="H483" t="s">
        <v>3</v>
      </c>
      <c r="I483">
        <v>1</v>
      </c>
      <c r="J483" t="s">
        <v>6</v>
      </c>
      <c r="K483" s="75" t="s">
        <v>5</v>
      </c>
      <c r="L483" s="78" t="s">
        <v>14</v>
      </c>
      <c r="M483">
        <v>29.497175141242938</v>
      </c>
      <c r="W483" t="s">
        <v>14</v>
      </c>
      <c r="X483">
        <v>53.779369627507165</v>
      </c>
    </row>
    <row r="484" spans="7:24" x14ac:dyDescent="0.3">
      <c r="G484">
        <v>6</v>
      </c>
      <c r="H484" t="s">
        <v>3</v>
      </c>
      <c r="I484">
        <v>1</v>
      </c>
      <c r="J484" t="s">
        <v>7</v>
      </c>
      <c r="K484" s="75" t="s">
        <v>4</v>
      </c>
      <c r="L484" s="78" t="s">
        <v>1</v>
      </c>
      <c r="M484">
        <v>18.540772532188846</v>
      </c>
      <c r="W484" t="s">
        <v>5</v>
      </c>
      <c r="X484">
        <v>56.835211015736768</v>
      </c>
    </row>
    <row r="485" spans="7:24" x14ac:dyDescent="0.3">
      <c r="G485">
        <v>6</v>
      </c>
      <c r="H485" t="s">
        <v>3</v>
      </c>
      <c r="I485">
        <v>1</v>
      </c>
      <c r="J485" t="s">
        <v>7</v>
      </c>
      <c r="K485" s="75" t="s">
        <v>4</v>
      </c>
      <c r="L485" s="78" t="s">
        <v>14</v>
      </c>
      <c r="M485">
        <v>20.286944045911042</v>
      </c>
      <c r="W485" t="s">
        <v>1</v>
      </c>
      <c r="X485">
        <v>62.795422031473535</v>
      </c>
    </row>
    <row r="486" spans="7:24" x14ac:dyDescent="0.3">
      <c r="G486">
        <v>6</v>
      </c>
      <c r="H486" t="s">
        <v>3</v>
      </c>
      <c r="I486">
        <v>1</v>
      </c>
      <c r="J486" t="s">
        <v>7</v>
      </c>
      <c r="K486" s="75" t="s">
        <v>5</v>
      </c>
      <c r="L486" s="78" t="s">
        <v>1</v>
      </c>
      <c r="M486">
        <v>22.309899569583926</v>
      </c>
      <c r="W486" t="s">
        <v>14</v>
      </c>
      <c r="X486">
        <v>50.875</v>
      </c>
    </row>
    <row r="487" spans="7:24" x14ac:dyDescent="0.3">
      <c r="G487">
        <v>6</v>
      </c>
      <c r="H487" t="s">
        <v>3</v>
      </c>
      <c r="I487">
        <v>1</v>
      </c>
      <c r="J487" t="s">
        <v>7</v>
      </c>
      <c r="K487" s="75" t="s">
        <v>5</v>
      </c>
      <c r="L487" s="78" t="s">
        <v>14</v>
      </c>
      <c r="M487">
        <v>25.579710144927542</v>
      </c>
      <c r="W487">
        <v>3</v>
      </c>
      <c r="X487">
        <v>64.799850381751881</v>
      </c>
    </row>
    <row r="488" spans="7:24" x14ac:dyDescent="0.3">
      <c r="G488">
        <v>6</v>
      </c>
      <c r="H488" t="s">
        <v>3</v>
      </c>
      <c r="I488">
        <v>2</v>
      </c>
      <c r="J488" t="s">
        <v>6</v>
      </c>
      <c r="K488" s="75" t="s">
        <v>4</v>
      </c>
      <c r="L488" s="78" t="s">
        <v>1</v>
      </c>
      <c r="M488">
        <v>25.923186344238974</v>
      </c>
      <c r="W488" t="s">
        <v>6</v>
      </c>
      <c r="X488">
        <v>70.305937395656741</v>
      </c>
    </row>
    <row r="489" spans="7:24" x14ac:dyDescent="0.3">
      <c r="G489">
        <v>6</v>
      </c>
      <c r="H489" t="s">
        <v>3</v>
      </c>
      <c r="I489">
        <v>2</v>
      </c>
      <c r="J489" t="s">
        <v>6</v>
      </c>
      <c r="K489" s="75" t="s">
        <v>4</v>
      </c>
      <c r="L489" s="78" t="s">
        <v>14</v>
      </c>
      <c r="M489">
        <v>23.930735930735924</v>
      </c>
      <c r="W489" t="s">
        <v>4</v>
      </c>
      <c r="X489">
        <v>68.554167765444816</v>
      </c>
    </row>
    <row r="490" spans="7:24" x14ac:dyDescent="0.3">
      <c r="G490">
        <v>6</v>
      </c>
      <c r="H490" t="s">
        <v>3</v>
      </c>
      <c r="I490">
        <v>2</v>
      </c>
      <c r="J490" t="s">
        <v>6</v>
      </c>
      <c r="K490" s="75" t="s">
        <v>5</v>
      </c>
      <c r="L490" s="78" t="s">
        <v>1</v>
      </c>
      <c r="M490">
        <v>20.870239774330045</v>
      </c>
      <c r="W490" t="s">
        <v>1</v>
      </c>
      <c r="X490">
        <v>74.406779661016941</v>
      </c>
    </row>
    <row r="491" spans="7:24" x14ac:dyDescent="0.3">
      <c r="G491">
        <v>6</v>
      </c>
      <c r="H491" t="s">
        <v>3</v>
      </c>
      <c r="I491">
        <v>2</v>
      </c>
      <c r="J491" t="s">
        <v>6</v>
      </c>
      <c r="K491" s="75" t="s">
        <v>5</v>
      </c>
      <c r="L491" s="78" t="s">
        <v>14</v>
      </c>
      <c r="M491">
        <v>26.241379310344819</v>
      </c>
      <c r="W491" t="s">
        <v>14</v>
      </c>
      <c r="X491">
        <v>62.701555869872692</v>
      </c>
    </row>
    <row r="492" spans="7:24" x14ac:dyDescent="0.3">
      <c r="G492">
        <v>6</v>
      </c>
      <c r="H492" t="s">
        <v>3</v>
      </c>
      <c r="I492">
        <v>2</v>
      </c>
      <c r="J492" t="s">
        <v>7</v>
      </c>
      <c r="K492" s="75" t="s">
        <v>4</v>
      </c>
      <c r="L492" s="78" t="s">
        <v>1</v>
      </c>
      <c r="M492">
        <v>24.638728323699425</v>
      </c>
      <c r="W492" t="s">
        <v>5</v>
      </c>
      <c r="X492">
        <v>72.057707025868666</v>
      </c>
    </row>
    <row r="493" spans="7:24" x14ac:dyDescent="0.3">
      <c r="G493">
        <v>6</v>
      </c>
      <c r="H493" t="s">
        <v>3</v>
      </c>
      <c r="I493">
        <v>2</v>
      </c>
      <c r="J493" t="s">
        <v>7</v>
      </c>
      <c r="K493" s="75" t="s">
        <v>4</v>
      </c>
      <c r="L493" s="78" t="s">
        <v>14</v>
      </c>
      <c r="M493">
        <v>19.449275362318847</v>
      </c>
      <c r="W493" t="s">
        <v>1</v>
      </c>
      <c r="X493">
        <v>71.136690647482027</v>
      </c>
    </row>
    <row r="494" spans="7:24" x14ac:dyDescent="0.3">
      <c r="G494">
        <v>6</v>
      </c>
      <c r="H494" t="s">
        <v>3</v>
      </c>
      <c r="I494">
        <v>2</v>
      </c>
      <c r="J494" t="s">
        <v>7</v>
      </c>
      <c r="K494" s="75" t="s">
        <v>5</v>
      </c>
      <c r="L494" s="78" t="s">
        <v>1</v>
      </c>
      <c r="M494">
        <v>22.780141843971631</v>
      </c>
      <c r="W494" t="s">
        <v>14</v>
      </c>
      <c r="X494">
        <v>72.978723404255319</v>
      </c>
    </row>
    <row r="495" spans="7:24" x14ac:dyDescent="0.3">
      <c r="G495">
        <v>6</v>
      </c>
      <c r="H495" t="s">
        <v>3</v>
      </c>
      <c r="I495">
        <v>2</v>
      </c>
      <c r="J495" t="s">
        <v>7</v>
      </c>
      <c r="K495" s="75" t="s">
        <v>5</v>
      </c>
      <c r="L495" s="78" t="s">
        <v>14</v>
      </c>
      <c r="M495">
        <v>25.470332850940665</v>
      </c>
      <c r="W495" t="s">
        <v>7</v>
      </c>
      <c r="X495">
        <v>59.293763367847028</v>
      </c>
    </row>
    <row r="496" spans="7:24" x14ac:dyDescent="0.3">
      <c r="G496">
        <v>6</v>
      </c>
      <c r="H496" t="s">
        <v>3</v>
      </c>
      <c r="I496">
        <v>3</v>
      </c>
      <c r="J496" t="s">
        <v>6</v>
      </c>
      <c r="K496" s="75" t="s">
        <v>4</v>
      </c>
      <c r="L496" s="78" t="s">
        <v>1</v>
      </c>
      <c r="M496">
        <v>23.712446351931337</v>
      </c>
      <c r="W496" t="s">
        <v>4</v>
      </c>
      <c r="X496">
        <v>57.690729905467421</v>
      </c>
    </row>
    <row r="497" spans="7:24" x14ac:dyDescent="0.3">
      <c r="G497">
        <v>6</v>
      </c>
      <c r="H497" t="s">
        <v>3</v>
      </c>
      <c r="I497">
        <v>3</v>
      </c>
      <c r="J497" t="s">
        <v>6</v>
      </c>
      <c r="K497" s="75" t="s">
        <v>4</v>
      </c>
      <c r="L497" s="78" t="s">
        <v>14</v>
      </c>
      <c r="M497">
        <v>23.032716927453773</v>
      </c>
      <c r="W497" t="s">
        <v>1</v>
      </c>
      <c r="X497">
        <v>55.141007194244608</v>
      </c>
    </row>
    <row r="498" spans="7:24" x14ac:dyDescent="0.3">
      <c r="G498">
        <v>6</v>
      </c>
      <c r="H498" t="s">
        <v>3</v>
      </c>
      <c r="I498">
        <v>3</v>
      </c>
      <c r="J498" t="s">
        <v>6</v>
      </c>
      <c r="K498" s="75" t="s">
        <v>5</v>
      </c>
      <c r="L498" s="78" t="s">
        <v>1</v>
      </c>
      <c r="M498">
        <v>34.424855491329481</v>
      </c>
      <c r="W498" t="s">
        <v>14</v>
      </c>
      <c r="X498">
        <v>60.240452616690241</v>
      </c>
    </row>
    <row r="499" spans="7:24" x14ac:dyDescent="0.3">
      <c r="G499">
        <v>6</v>
      </c>
      <c r="H499" t="s">
        <v>3</v>
      </c>
      <c r="I499">
        <v>3</v>
      </c>
      <c r="J499" t="s">
        <v>6</v>
      </c>
      <c r="K499" s="75" t="s">
        <v>5</v>
      </c>
      <c r="L499" s="78" t="s">
        <v>14</v>
      </c>
      <c r="M499">
        <v>31.537911301859804</v>
      </c>
      <c r="W499" t="s">
        <v>5</v>
      </c>
      <c r="X499">
        <v>60.896796830226634</v>
      </c>
    </row>
    <row r="500" spans="7:24" x14ac:dyDescent="0.3">
      <c r="G500">
        <v>6</v>
      </c>
      <c r="H500" t="s">
        <v>3</v>
      </c>
      <c r="I500">
        <v>3</v>
      </c>
      <c r="J500" t="s">
        <v>7</v>
      </c>
      <c r="K500" s="75" t="s">
        <v>4</v>
      </c>
      <c r="L500" s="78" t="s">
        <v>1</v>
      </c>
      <c r="M500">
        <v>19.64639321074965</v>
      </c>
      <c r="W500" t="s">
        <v>1</v>
      </c>
      <c r="X500">
        <v>60.056980056980045</v>
      </c>
    </row>
    <row r="501" spans="7:24" x14ac:dyDescent="0.3">
      <c r="G501">
        <v>6</v>
      </c>
      <c r="H501" t="s">
        <v>3</v>
      </c>
      <c r="I501">
        <v>3</v>
      </c>
      <c r="J501" t="s">
        <v>7</v>
      </c>
      <c r="K501" s="75" t="s">
        <v>4</v>
      </c>
      <c r="L501" s="78" t="s">
        <v>14</v>
      </c>
      <c r="M501">
        <v>19.88636363636364</v>
      </c>
      <c r="W501" t="s">
        <v>14</v>
      </c>
      <c r="X501">
        <v>61.736613603473224</v>
      </c>
    </row>
    <row r="502" spans="7:24" x14ac:dyDescent="0.3">
      <c r="G502">
        <v>6</v>
      </c>
      <c r="H502" t="s">
        <v>3</v>
      </c>
      <c r="I502">
        <v>3</v>
      </c>
      <c r="J502" t="s">
        <v>7</v>
      </c>
      <c r="K502" s="75" t="s">
        <v>5</v>
      </c>
      <c r="L502" s="78" t="s">
        <v>1</v>
      </c>
      <c r="M502">
        <v>23.463203463203456</v>
      </c>
      <c r="W502">
        <v>4</v>
      </c>
      <c r="X502">
        <v>64.633894117695689</v>
      </c>
    </row>
    <row r="503" spans="7:24" x14ac:dyDescent="0.3">
      <c r="G503">
        <v>6</v>
      </c>
      <c r="H503" t="s">
        <v>3</v>
      </c>
      <c r="I503">
        <v>3</v>
      </c>
      <c r="J503" t="s">
        <v>7</v>
      </c>
      <c r="K503" s="75" t="s">
        <v>5</v>
      </c>
      <c r="L503" s="78" t="s">
        <v>14</v>
      </c>
      <c r="M503">
        <v>19.829302987197725</v>
      </c>
      <c r="W503" t="s">
        <v>6</v>
      </c>
      <c r="X503">
        <v>69.819519797530802</v>
      </c>
    </row>
    <row r="504" spans="7:24" x14ac:dyDescent="0.3">
      <c r="G504" s="73">
        <v>6</v>
      </c>
      <c r="H504" s="73" t="s">
        <v>3</v>
      </c>
      <c r="I504" s="73">
        <v>4</v>
      </c>
      <c r="J504" s="73" t="s">
        <v>6</v>
      </c>
      <c r="K504" s="79" t="s">
        <v>4</v>
      </c>
      <c r="L504" s="80" t="s">
        <v>14</v>
      </c>
      <c r="M504" s="73">
        <v>25.909340439493604</v>
      </c>
      <c r="W504" t="s">
        <v>4</v>
      </c>
      <c r="X504">
        <v>66.856897608828945</v>
      </c>
    </row>
    <row r="505" spans="7:24" x14ac:dyDescent="0.3">
      <c r="G505" s="73">
        <v>6</v>
      </c>
      <c r="H505" s="73" t="s">
        <v>3</v>
      </c>
      <c r="I505" s="73">
        <v>4</v>
      </c>
      <c r="J505" s="73" t="s">
        <v>6</v>
      </c>
      <c r="K505" s="79" t="s">
        <v>5</v>
      </c>
      <c r="L505" s="80" t="s">
        <v>1</v>
      </c>
      <c r="M505" s="73">
        <v>28.007204610951014</v>
      </c>
      <c r="W505" t="s">
        <v>1</v>
      </c>
      <c r="X505">
        <v>69.484978540772531</v>
      </c>
    </row>
    <row r="506" spans="7:24" x14ac:dyDescent="0.3">
      <c r="G506">
        <v>6</v>
      </c>
      <c r="H506" t="s">
        <v>3</v>
      </c>
      <c r="I506">
        <v>4</v>
      </c>
      <c r="J506" t="s">
        <v>7</v>
      </c>
      <c r="K506" s="75" t="s">
        <v>4</v>
      </c>
      <c r="L506" s="78" t="s">
        <v>1</v>
      </c>
      <c r="M506">
        <v>19.585121602288979</v>
      </c>
      <c r="W506" t="s">
        <v>14</v>
      </c>
      <c r="X506">
        <v>65.542857142857144</v>
      </c>
    </row>
    <row r="507" spans="7:24" x14ac:dyDescent="0.3">
      <c r="G507">
        <v>6</v>
      </c>
      <c r="H507" t="s">
        <v>3</v>
      </c>
      <c r="I507">
        <v>4</v>
      </c>
      <c r="J507" t="s">
        <v>7</v>
      </c>
      <c r="K507" s="75" t="s">
        <v>4</v>
      </c>
      <c r="L507" s="78" t="s">
        <v>14</v>
      </c>
      <c r="M507">
        <v>23.753623188405797</v>
      </c>
      <c r="W507" t="s">
        <v>5</v>
      </c>
      <c r="X507">
        <v>78.707386363636374</v>
      </c>
    </row>
    <row r="508" spans="7:24" x14ac:dyDescent="0.3">
      <c r="G508">
        <v>6</v>
      </c>
      <c r="H508" t="s">
        <v>3</v>
      </c>
      <c r="I508">
        <v>4</v>
      </c>
      <c r="J508" t="s">
        <v>7</v>
      </c>
      <c r="K508" s="75" t="s">
        <v>5</v>
      </c>
      <c r="L508" s="78" t="s">
        <v>1</v>
      </c>
      <c r="M508">
        <v>25.100864553314118</v>
      </c>
      <c r="W508" t="s">
        <v>1</v>
      </c>
      <c r="X508">
        <v>78.707386363636374</v>
      </c>
    </row>
    <row r="509" spans="7:24" x14ac:dyDescent="0.3">
      <c r="G509">
        <v>6</v>
      </c>
      <c r="H509" t="s">
        <v>3</v>
      </c>
      <c r="I509">
        <v>4</v>
      </c>
      <c r="J509" t="s">
        <v>7</v>
      </c>
      <c r="K509" s="75" t="s">
        <v>5</v>
      </c>
      <c r="L509" s="78" t="s">
        <v>14</v>
      </c>
      <c r="M509">
        <v>24.248964803312631</v>
      </c>
      <c r="W509" t="s">
        <v>7</v>
      </c>
      <c r="X509">
        <v>59.44826843786057</v>
      </c>
    </row>
    <row r="510" spans="7:24" x14ac:dyDescent="0.3">
      <c r="G510">
        <v>6</v>
      </c>
      <c r="H510" t="s">
        <v>3</v>
      </c>
      <c r="I510">
        <v>5</v>
      </c>
      <c r="J510" t="s">
        <v>6</v>
      </c>
      <c r="K510" s="75" t="s">
        <v>4</v>
      </c>
      <c r="L510" s="78" t="s">
        <v>1</v>
      </c>
      <c r="M510">
        <v>21.683381088825222</v>
      </c>
      <c r="W510" t="s">
        <v>4</v>
      </c>
      <c r="X510">
        <v>55.098331635121092</v>
      </c>
    </row>
    <row r="511" spans="7:24" x14ac:dyDescent="0.3">
      <c r="G511">
        <v>6</v>
      </c>
      <c r="H511" t="s">
        <v>3</v>
      </c>
      <c r="I511">
        <v>5</v>
      </c>
      <c r="J511" t="s">
        <v>6</v>
      </c>
      <c r="K511" s="75" t="s">
        <v>4</v>
      </c>
      <c r="L511" s="78" t="s">
        <v>14</v>
      </c>
      <c r="M511">
        <v>22.645114942528739</v>
      </c>
      <c r="W511" t="s">
        <v>1</v>
      </c>
      <c r="X511">
        <v>60.829756795422043</v>
      </c>
    </row>
    <row r="512" spans="7:24" x14ac:dyDescent="0.3">
      <c r="G512">
        <v>6</v>
      </c>
      <c r="H512" t="s">
        <v>3</v>
      </c>
      <c r="I512">
        <v>5</v>
      </c>
      <c r="J512" t="s">
        <v>6</v>
      </c>
      <c r="K512" s="75" t="s">
        <v>5</v>
      </c>
      <c r="L512" s="78" t="s">
        <v>1</v>
      </c>
      <c r="M512">
        <v>30.259365994236315</v>
      </c>
      <c r="W512" t="s">
        <v>14</v>
      </c>
      <c r="X512">
        <v>49.366906474820141</v>
      </c>
    </row>
    <row r="513" spans="7:24" x14ac:dyDescent="0.3">
      <c r="G513">
        <v>6</v>
      </c>
      <c r="H513" t="s">
        <v>3</v>
      </c>
      <c r="I513">
        <v>5</v>
      </c>
      <c r="J513" t="s">
        <v>6</v>
      </c>
      <c r="K513" s="75" t="s">
        <v>5</v>
      </c>
      <c r="L513" s="78" t="s">
        <v>14</v>
      </c>
      <c r="M513">
        <v>28.662824207492797</v>
      </c>
      <c r="W513" t="s">
        <v>5</v>
      </c>
      <c r="X513">
        <v>63.798205240600041</v>
      </c>
    </row>
    <row r="514" spans="7:24" x14ac:dyDescent="0.3">
      <c r="G514" s="73">
        <v>6</v>
      </c>
      <c r="H514" s="73" t="s">
        <v>3</v>
      </c>
      <c r="I514" s="73">
        <v>5</v>
      </c>
      <c r="J514" s="73" t="s">
        <v>7</v>
      </c>
      <c r="K514" s="79" t="s">
        <v>4</v>
      </c>
      <c r="L514" s="80" t="s">
        <v>1</v>
      </c>
      <c r="M514" s="73">
        <v>22.625538020086083</v>
      </c>
      <c r="W514" t="s">
        <v>1</v>
      </c>
      <c r="X514">
        <v>66.438218390804607</v>
      </c>
    </row>
    <row r="515" spans="7:24" x14ac:dyDescent="0.3">
      <c r="G515" s="73">
        <v>6</v>
      </c>
      <c r="H515" s="73" t="s">
        <v>3</v>
      </c>
      <c r="I515" s="73">
        <v>5</v>
      </c>
      <c r="J515" s="73" t="s">
        <v>7</v>
      </c>
      <c r="K515" s="79" t="s">
        <v>4</v>
      </c>
      <c r="L515" s="80" t="s">
        <v>14</v>
      </c>
      <c r="M515" s="73">
        <v>24.03409090909091</v>
      </c>
      <c r="W515" t="s">
        <v>14</v>
      </c>
      <c r="X515">
        <v>61.158192090395481</v>
      </c>
    </row>
    <row r="516" spans="7:24" x14ac:dyDescent="0.3">
      <c r="G516" s="73">
        <v>6</v>
      </c>
      <c r="H516" s="73" t="s">
        <v>3</v>
      </c>
      <c r="I516" s="73">
        <v>5</v>
      </c>
      <c r="J516" s="73" t="s">
        <v>7</v>
      </c>
      <c r="K516" s="79" t="s">
        <v>5</v>
      </c>
      <c r="L516" s="80" t="s">
        <v>1</v>
      </c>
      <c r="M516" s="73">
        <v>27.801724137931028</v>
      </c>
      <c r="W516">
        <v>5</v>
      </c>
      <c r="X516">
        <v>64.921244904632218</v>
      </c>
    </row>
    <row r="517" spans="7:24" x14ac:dyDescent="0.3">
      <c r="W517" t="s">
        <v>6</v>
      </c>
      <c r="X517">
        <v>66.505898101292161</v>
      </c>
    </row>
    <row r="518" spans="7:24" x14ac:dyDescent="0.3">
      <c r="W518" t="s">
        <v>4</v>
      </c>
      <c r="X518">
        <v>73.682497282312198</v>
      </c>
    </row>
    <row r="519" spans="7:24" x14ac:dyDescent="0.3">
      <c r="W519" t="s">
        <v>1</v>
      </c>
      <c r="X519">
        <v>73.427762039660053</v>
      </c>
    </row>
    <row r="520" spans="7:24" x14ac:dyDescent="0.3">
      <c r="W520" t="s">
        <v>14</v>
      </c>
      <c r="X520">
        <v>73.93723252496433</v>
      </c>
    </row>
    <row r="521" spans="7:24" x14ac:dyDescent="0.3">
      <c r="W521" t="s">
        <v>5</v>
      </c>
      <c r="X521">
        <v>59.329298920272123</v>
      </c>
    </row>
    <row r="522" spans="7:24" x14ac:dyDescent="0.3">
      <c r="W522" t="s">
        <v>1</v>
      </c>
      <c r="X522">
        <v>65.952045133991547</v>
      </c>
    </row>
    <row r="523" spans="7:24" x14ac:dyDescent="0.3">
      <c r="W523" t="s">
        <v>14</v>
      </c>
      <c r="X523">
        <v>52.706552706552699</v>
      </c>
    </row>
    <row r="524" spans="7:24" x14ac:dyDescent="0.3">
      <c r="W524" t="s">
        <v>7</v>
      </c>
      <c r="X524">
        <v>63.336591707972261</v>
      </c>
    </row>
    <row r="525" spans="7:24" x14ac:dyDescent="0.3">
      <c r="W525" t="s">
        <v>4</v>
      </c>
      <c r="X525">
        <v>67.385418621403545</v>
      </c>
    </row>
    <row r="526" spans="7:24" x14ac:dyDescent="0.3">
      <c r="W526" t="s">
        <v>1</v>
      </c>
      <c r="X526">
        <v>66.652360515021471</v>
      </c>
    </row>
    <row r="527" spans="7:24" x14ac:dyDescent="0.3">
      <c r="W527" t="s">
        <v>14</v>
      </c>
      <c r="X527">
        <v>68.118476727785605</v>
      </c>
    </row>
    <row r="528" spans="7:24" x14ac:dyDescent="0.3">
      <c r="W528" t="s">
        <v>5</v>
      </c>
      <c r="X528">
        <v>59.287764794540976</v>
      </c>
    </row>
    <row r="529" spans="23:24" x14ac:dyDescent="0.3">
      <c r="W529" t="s">
        <v>1</v>
      </c>
      <c r="X529">
        <v>61.95558739255015</v>
      </c>
    </row>
    <row r="530" spans="23:24" x14ac:dyDescent="0.3">
      <c r="W530" t="s">
        <v>14</v>
      </c>
      <c r="X530">
        <v>56.619942196531795</v>
      </c>
    </row>
    <row r="531" spans="23:24" x14ac:dyDescent="0.3">
      <c r="W531" t="s">
        <v>0</v>
      </c>
      <c r="X531">
        <v>64.451181308223696</v>
      </c>
    </row>
    <row r="532" spans="23:24" x14ac:dyDescent="0.3">
      <c r="W532">
        <v>1</v>
      </c>
      <c r="X532">
        <v>57.123790729191811</v>
      </c>
    </row>
    <row r="533" spans="23:24" x14ac:dyDescent="0.3">
      <c r="W533" t="s">
        <v>6</v>
      </c>
      <c r="X533">
        <v>67.828251243272703</v>
      </c>
    </row>
    <row r="534" spans="23:24" x14ac:dyDescent="0.3">
      <c r="W534" t="s">
        <v>4</v>
      </c>
      <c r="X534">
        <v>70.599519722051909</v>
      </c>
    </row>
    <row r="535" spans="23:24" x14ac:dyDescent="0.3">
      <c r="W535" t="s">
        <v>1</v>
      </c>
      <c r="X535">
        <v>81.871428571428567</v>
      </c>
    </row>
    <row r="536" spans="23:24" x14ac:dyDescent="0.3">
      <c r="W536" t="s">
        <v>14</v>
      </c>
      <c r="X536">
        <v>59.327610872675251</v>
      </c>
    </row>
    <row r="537" spans="23:24" x14ac:dyDescent="0.3">
      <c r="W537" t="s">
        <v>5</v>
      </c>
      <c r="X537">
        <v>62.285714285714278</v>
      </c>
    </row>
    <row r="538" spans="23:24" x14ac:dyDescent="0.3">
      <c r="W538" t="s">
        <v>14</v>
      </c>
      <c r="X538">
        <v>62.285714285714278</v>
      </c>
    </row>
    <row r="539" spans="23:24" x14ac:dyDescent="0.3">
      <c r="W539" t="s">
        <v>7</v>
      </c>
      <c r="X539">
        <v>49.095445343631148</v>
      </c>
    </row>
    <row r="540" spans="23:24" x14ac:dyDescent="0.3">
      <c r="W540" t="s">
        <v>4</v>
      </c>
      <c r="X540">
        <v>48.69348024316109</v>
      </c>
    </row>
    <row r="541" spans="23:24" x14ac:dyDescent="0.3">
      <c r="W541" t="s">
        <v>1</v>
      </c>
      <c r="X541">
        <v>51.161428571428566</v>
      </c>
    </row>
    <row r="542" spans="23:24" x14ac:dyDescent="0.3">
      <c r="W542" t="s">
        <v>14</v>
      </c>
      <c r="X542">
        <v>46.225531914893615</v>
      </c>
    </row>
    <row r="543" spans="23:24" x14ac:dyDescent="0.3">
      <c r="W543" t="s">
        <v>5</v>
      </c>
      <c r="X543">
        <v>49.497410444101206</v>
      </c>
    </row>
    <row r="544" spans="23:24" x14ac:dyDescent="0.3">
      <c r="W544" t="s">
        <v>1</v>
      </c>
      <c r="X544">
        <v>51.155049786628737</v>
      </c>
    </row>
    <row r="545" spans="23:24" x14ac:dyDescent="0.3">
      <c r="W545" t="s">
        <v>14</v>
      </c>
      <c r="X545">
        <v>47.839771101573682</v>
      </c>
    </row>
    <row r="546" spans="23:24" x14ac:dyDescent="0.3">
      <c r="W546">
        <v>2</v>
      </c>
      <c r="X546">
        <v>64.011966625337394</v>
      </c>
    </row>
    <row r="547" spans="23:24" x14ac:dyDescent="0.3">
      <c r="W547" t="s">
        <v>6</v>
      </c>
      <c r="X547">
        <v>66.659708355228588</v>
      </c>
    </row>
    <row r="548" spans="23:24" x14ac:dyDescent="0.3">
      <c r="W548" t="s">
        <v>4</v>
      </c>
      <c r="X548">
        <v>63.770066061106519</v>
      </c>
    </row>
    <row r="549" spans="23:24" x14ac:dyDescent="0.3">
      <c r="W549" t="s">
        <v>1</v>
      </c>
      <c r="X549">
        <v>66.528571428571425</v>
      </c>
    </row>
    <row r="550" spans="23:24" x14ac:dyDescent="0.3">
      <c r="W550" t="s">
        <v>14</v>
      </c>
      <c r="X550">
        <v>61.011560693641606</v>
      </c>
    </row>
    <row r="551" spans="23:24" x14ac:dyDescent="0.3">
      <c r="W551" t="s">
        <v>5</v>
      </c>
      <c r="X551">
        <v>69.549350649350657</v>
      </c>
    </row>
    <row r="552" spans="23:24" x14ac:dyDescent="0.3">
      <c r="W552" t="s">
        <v>1</v>
      </c>
      <c r="X552">
        <v>66.371428571428567</v>
      </c>
    </row>
    <row r="553" spans="23:24" x14ac:dyDescent="0.3">
      <c r="W553" t="s">
        <v>14</v>
      </c>
      <c r="X553">
        <v>72.727272727272734</v>
      </c>
    </row>
    <row r="554" spans="23:24" x14ac:dyDescent="0.3">
      <c r="W554" t="s">
        <v>7</v>
      </c>
      <c r="X554">
        <v>61.364224895446206</v>
      </c>
    </row>
    <row r="555" spans="23:24" x14ac:dyDescent="0.3">
      <c r="W555" t="s">
        <v>4</v>
      </c>
      <c r="X555">
        <v>64.151963121920204</v>
      </c>
    </row>
    <row r="556" spans="23:24" x14ac:dyDescent="0.3">
      <c r="W556" t="s">
        <v>1</v>
      </c>
      <c r="X556">
        <v>65.185185185185176</v>
      </c>
    </row>
    <row r="557" spans="23:24" x14ac:dyDescent="0.3">
      <c r="W557" t="s">
        <v>14</v>
      </c>
      <c r="X557">
        <v>63.118741058655239</v>
      </c>
    </row>
    <row r="558" spans="23:24" x14ac:dyDescent="0.3">
      <c r="W558" t="s">
        <v>5</v>
      </c>
      <c r="X558">
        <v>58.576486668972208</v>
      </c>
    </row>
    <row r="559" spans="23:24" x14ac:dyDescent="0.3">
      <c r="W559" t="s">
        <v>1</v>
      </c>
      <c r="X559">
        <v>57.138728323699418</v>
      </c>
    </row>
    <row r="560" spans="23:24" x14ac:dyDescent="0.3">
      <c r="W560" t="s">
        <v>14</v>
      </c>
      <c r="X560">
        <v>60.014245014245006</v>
      </c>
    </row>
    <row r="561" spans="23:24" x14ac:dyDescent="0.3">
      <c r="W561">
        <v>3</v>
      </c>
      <c r="X561">
        <v>65.188134799345249</v>
      </c>
    </row>
    <row r="562" spans="23:24" x14ac:dyDescent="0.3">
      <c r="W562" t="s">
        <v>6</v>
      </c>
      <c r="X562">
        <v>71.650149743968953</v>
      </c>
    </row>
    <row r="563" spans="23:24" x14ac:dyDescent="0.3">
      <c r="W563" t="s">
        <v>4</v>
      </c>
      <c r="X563">
        <v>70.555555555555543</v>
      </c>
    </row>
    <row r="564" spans="23:24" x14ac:dyDescent="0.3">
      <c r="W564" t="s">
        <v>14</v>
      </c>
      <c r="X564">
        <v>70.555555555555543</v>
      </c>
    </row>
    <row r="565" spans="23:24" x14ac:dyDescent="0.3">
      <c r="W565" t="s">
        <v>5</v>
      </c>
      <c r="X565">
        <v>72.01501447344009</v>
      </c>
    </row>
    <row r="566" spans="23:24" x14ac:dyDescent="0.3">
      <c r="W566" t="s">
        <v>1</v>
      </c>
      <c r="X566">
        <v>78.560004029820675</v>
      </c>
    </row>
    <row r="567" spans="23:24" x14ac:dyDescent="0.3">
      <c r="W567" t="s">
        <v>14</v>
      </c>
      <c r="X567">
        <v>58.925035360678926</v>
      </c>
    </row>
    <row r="568" spans="23:24" x14ac:dyDescent="0.3">
      <c r="W568" t="s">
        <v>7</v>
      </c>
      <c r="X568">
        <v>58.726119854721553</v>
      </c>
    </row>
    <row r="569" spans="23:24" x14ac:dyDescent="0.3">
      <c r="W569" t="s">
        <v>4</v>
      </c>
      <c r="X569">
        <v>56.571428571428569</v>
      </c>
    </row>
    <row r="570" spans="23:24" x14ac:dyDescent="0.3">
      <c r="W570" t="s">
        <v>1</v>
      </c>
      <c r="X570">
        <v>55.585714285714282</v>
      </c>
    </row>
    <row r="571" spans="23:24" x14ac:dyDescent="0.3">
      <c r="W571" t="s">
        <v>14</v>
      </c>
      <c r="X571">
        <v>57.55714285714285</v>
      </c>
    </row>
    <row r="572" spans="23:24" x14ac:dyDescent="0.3">
      <c r="W572" t="s">
        <v>5</v>
      </c>
      <c r="X572">
        <v>60.880811138014529</v>
      </c>
    </row>
    <row r="573" spans="23:24" x14ac:dyDescent="0.3">
      <c r="W573" t="s">
        <v>1</v>
      </c>
      <c r="X573">
        <v>61.733050847457626</v>
      </c>
    </row>
    <row r="574" spans="23:24" x14ac:dyDescent="0.3">
      <c r="W574" t="s">
        <v>14</v>
      </c>
      <c r="X574">
        <v>60.028571428571432</v>
      </c>
    </row>
    <row r="575" spans="23:24" x14ac:dyDescent="0.3">
      <c r="W575">
        <v>4</v>
      </c>
      <c r="X575">
        <v>67.739766779967738</v>
      </c>
    </row>
    <row r="576" spans="23:24" x14ac:dyDescent="0.3">
      <c r="W576" t="s">
        <v>6</v>
      </c>
      <c r="X576">
        <v>74.032183680032418</v>
      </c>
    </row>
    <row r="577" spans="23:24" x14ac:dyDescent="0.3">
      <c r="W577" t="s">
        <v>4</v>
      </c>
      <c r="X577">
        <v>70.592485549132945</v>
      </c>
    </row>
    <row r="578" spans="23:24" x14ac:dyDescent="0.3">
      <c r="W578" t="s">
        <v>14</v>
      </c>
      <c r="X578">
        <v>70.592485549132945</v>
      </c>
    </row>
    <row r="579" spans="23:24" x14ac:dyDescent="0.3">
      <c r="W579" t="s">
        <v>5</v>
      </c>
      <c r="X579">
        <v>74.892108212757293</v>
      </c>
    </row>
    <row r="580" spans="23:24" x14ac:dyDescent="0.3">
      <c r="W580" t="s">
        <v>1</v>
      </c>
      <c r="X580">
        <v>82.234216425514575</v>
      </c>
    </row>
    <row r="581" spans="23:24" x14ac:dyDescent="0.3">
      <c r="W581" t="s">
        <v>14</v>
      </c>
      <c r="X581">
        <v>67.55</v>
      </c>
    </row>
    <row r="582" spans="23:24" x14ac:dyDescent="0.3">
      <c r="W582" t="s">
        <v>7</v>
      </c>
      <c r="X582">
        <v>59.87424565488692</v>
      </c>
    </row>
    <row r="583" spans="23:24" x14ac:dyDescent="0.3">
      <c r="W583" t="s">
        <v>4</v>
      </c>
      <c r="X583">
        <v>58.376657469854891</v>
      </c>
    </row>
    <row r="584" spans="23:24" x14ac:dyDescent="0.3">
      <c r="W584" t="s">
        <v>1</v>
      </c>
      <c r="X584">
        <v>58.432857142857145</v>
      </c>
    </row>
    <row r="585" spans="23:24" x14ac:dyDescent="0.3">
      <c r="W585" t="s">
        <v>14</v>
      </c>
      <c r="X585">
        <v>58.320457796852644</v>
      </c>
    </row>
    <row r="586" spans="23:24" x14ac:dyDescent="0.3">
      <c r="W586" t="s">
        <v>5</v>
      </c>
      <c r="X586">
        <v>61.371833839918949</v>
      </c>
    </row>
    <row r="587" spans="23:24" x14ac:dyDescent="0.3">
      <c r="W587" t="s">
        <v>1</v>
      </c>
      <c r="X587">
        <v>59.88652482269503</v>
      </c>
    </row>
    <row r="588" spans="23:24" x14ac:dyDescent="0.3">
      <c r="W588" t="s">
        <v>14</v>
      </c>
      <c r="X588">
        <v>62.857142857142868</v>
      </c>
    </row>
    <row r="589" spans="23:24" x14ac:dyDescent="0.3">
      <c r="W589">
        <v>5</v>
      </c>
      <c r="X589">
        <v>66.865250600929272</v>
      </c>
    </row>
    <row r="590" spans="23:24" x14ac:dyDescent="0.3">
      <c r="W590" t="s">
        <v>6</v>
      </c>
      <c r="X590">
        <v>74.499666099153757</v>
      </c>
    </row>
    <row r="591" spans="23:24" x14ac:dyDescent="0.3">
      <c r="W591" t="s">
        <v>4</v>
      </c>
      <c r="X591">
        <v>79.43112377324249</v>
      </c>
    </row>
    <row r="592" spans="23:24" x14ac:dyDescent="0.3">
      <c r="W592" t="s">
        <v>1</v>
      </c>
      <c r="X592">
        <v>91.383737517831662</v>
      </c>
    </row>
    <row r="593" spans="23:24" x14ac:dyDescent="0.3">
      <c r="W593" t="s">
        <v>14</v>
      </c>
      <c r="X593">
        <v>67.478510028653304</v>
      </c>
    </row>
    <row r="594" spans="23:24" x14ac:dyDescent="0.3">
      <c r="W594" t="s">
        <v>5</v>
      </c>
      <c r="X594">
        <v>69.568208425065023</v>
      </c>
    </row>
    <row r="595" spans="23:24" x14ac:dyDescent="0.3">
      <c r="W595" t="s">
        <v>1</v>
      </c>
      <c r="X595">
        <v>75.906515580736539</v>
      </c>
    </row>
    <row r="596" spans="23:24" x14ac:dyDescent="0.3">
      <c r="W596" t="s">
        <v>14</v>
      </c>
      <c r="X596">
        <v>63.229901269393508</v>
      </c>
    </row>
    <row r="597" spans="23:24" x14ac:dyDescent="0.3">
      <c r="W597" t="s">
        <v>7</v>
      </c>
      <c r="X597">
        <v>59.230835102704802</v>
      </c>
    </row>
    <row r="598" spans="23:24" x14ac:dyDescent="0.3">
      <c r="W598" t="s">
        <v>4</v>
      </c>
      <c r="X598">
        <v>63.137233037992488</v>
      </c>
    </row>
    <row r="599" spans="23:24" x14ac:dyDescent="0.3">
      <c r="W599" t="s">
        <v>1</v>
      </c>
      <c r="X599">
        <v>66.501416430594901</v>
      </c>
    </row>
    <row r="600" spans="23:24" x14ac:dyDescent="0.3">
      <c r="W600" t="s">
        <v>14</v>
      </c>
      <c r="X600">
        <v>59.773049645390074</v>
      </c>
    </row>
    <row r="601" spans="23:24" x14ac:dyDescent="0.3">
      <c r="W601" t="s">
        <v>5</v>
      </c>
      <c r="X601">
        <v>55.324437167417116</v>
      </c>
    </row>
    <row r="602" spans="23:24" x14ac:dyDescent="0.3">
      <c r="W602" t="s">
        <v>1</v>
      </c>
      <c r="X602">
        <v>58.542857142857144</v>
      </c>
    </row>
    <row r="603" spans="23:24" x14ac:dyDescent="0.3">
      <c r="W603" t="s">
        <v>14</v>
      </c>
      <c r="X603">
        <v>52.106017191977081</v>
      </c>
    </row>
    <row r="604" spans="23:24" x14ac:dyDescent="0.3">
      <c r="W604" t="s">
        <v>2</v>
      </c>
      <c r="X604">
        <v>61.524482217402195</v>
      </c>
    </row>
    <row r="605" spans="23:24" x14ac:dyDescent="0.3">
      <c r="W605">
        <v>1</v>
      </c>
      <c r="X605">
        <v>67.53515296492894</v>
      </c>
    </row>
    <row r="606" spans="23:24" x14ac:dyDescent="0.3">
      <c r="W606" t="s">
        <v>6</v>
      </c>
      <c r="X606">
        <v>69.379587497147327</v>
      </c>
    </row>
    <row r="607" spans="23:24" x14ac:dyDescent="0.3">
      <c r="W607" t="s">
        <v>4</v>
      </c>
      <c r="X607">
        <v>55.106990014265335</v>
      </c>
    </row>
    <row r="608" spans="23:24" x14ac:dyDescent="0.3">
      <c r="W608" t="s">
        <v>14</v>
      </c>
      <c r="X608">
        <v>55.106990014265335</v>
      </c>
    </row>
    <row r="609" spans="23:24" x14ac:dyDescent="0.3">
      <c r="W609" t="s">
        <v>5</v>
      </c>
      <c r="X609">
        <v>74.137119991441324</v>
      </c>
    </row>
    <row r="610" spans="23:24" x14ac:dyDescent="0.3">
      <c r="W610" t="s">
        <v>1</v>
      </c>
      <c r="X610">
        <v>80.364025208274683</v>
      </c>
    </row>
    <row r="611" spans="23:24" x14ac:dyDescent="0.3">
      <c r="W611" t="s">
        <v>14</v>
      </c>
      <c r="X611">
        <v>61.683309557774614</v>
      </c>
    </row>
    <row r="612" spans="23:24" x14ac:dyDescent="0.3">
      <c r="W612" t="s">
        <v>7</v>
      </c>
      <c r="X612">
        <v>63.846283900492168</v>
      </c>
    </row>
    <row r="613" spans="23:24" x14ac:dyDescent="0.3">
      <c r="W613" t="s">
        <v>4</v>
      </c>
      <c r="X613">
        <v>63.846283900492168</v>
      </c>
    </row>
    <row r="614" spans="23:24" x14ac:dyDescent="0.3">
      <c r="W614" t="s">
        <v>1</v>
      </c>
      <c r="X614">
        <v>71.509971509971507</v>
      </c>
    </row>
    <row r="615" spans="23:24" x14ac:dyDescent="0.3">
      <c r="W615" t="s">
        <v>14</v>
      </c>
      <c r="X615">
        <v>56.182596291012828</v>
      </c>
    </row>
    <row r="616" spans="23:24" x14ac:dyDescent="0.3">
      <c r="W616">
        <v>2</v>
      </c>
      <c r="X616">
        <v>58.634014617367306</v>
      </c>
    </row>
    <row r="617" spans="23:24" x14ac:dyDescent="0.3">
      <c r="W617" t="s">
        <v>6</v>
      </c>
      <c r="X617">
        <v>61.858207704923927</v>
      </c>
    </row>
    <row r="618" spans="23:24" x14ac:dyDescent="0.3">
      <c r="W618" t="s">
        <v>4</v>
      </c>
      <c r="X618">
        <v>62.928867223164218</v>
      </c>
    </row>
    <row r="619" spans="23:24" x14ac:dyDescent="0.3">
      <c r="W619" t="s">
        <v>1</v>
      </c>
      <c r="X619">
        <v>61.02272727272728</v>
      </c>
    </row>
    <row r="620" spans="23:24" x14ac:dyDescent="0.3">
      <c r="W620" t="s">
        <v>14</v>
      </c>
      <c r="X620">
        <v>64.835007173601156</v>
      </c>
    </row>
    <row r="621" spans="23:24" x14ac:dyDescent="0.3">
      <c r="W621" t="s">
        <v>5</v>
      </c>
      <c r="X621">
        <v>60.787548186683644</v>
      </c>
    </row>
    <row r="622" spans="23:24" x14ac:dyDescent="0.3">
      <c r="W622" t="s">
        <v>1</v>
      </c>
      <c r="X622">
        <v>48.458213256484157</v>
      </c>
    </row>
    <row r="623" spans="23:24" x14ac:dyDescent="0.3">
      <c r="W623" t="s">
        <v>14</v>
      </c>
      <c r="X623">
        <v>73.11688311688313</v>
      </c>
    </row>
    <row r="624" spans="23:24" x14ac:dyDescent="0.3">
      <c r="W624" t="s">
        <v>7</v>
      </c>
      <c r="X624">
        <v>52.185628442254043</v>
      </c>
    </row>
    <row r="625" spans="23:24" x14ac:dyDescent="0.3">
      <c r="W625" t="s">
        <v>4</v>
      </c>
      <c r="X625">
        <v>60.058487874465051</v>
      </c>
    </row>
    <row r="626" spans="23:24" x14ac:dyDescent="0.3">
      <c r="W626" t="s">
        <v>1</v>
      </c>
      <c r="X626">
        <v>60.058487874465051</v>
      </c>
    </row>
    <row r="627" spans="23:24" x14ac:dyDescent="0.3">
      <c r="W627" t="s">
        <v>5</v>
      </c>
      <c r="X627">
        <v>44.312769010043034</v>
      </c>
    </row>
    <row r="628" spans="23:24" x14ac:dyDescent="0.3">
      <c r="W628" t="s">
        <v>1</v>
      </c>
      <c r="X628">
        <v>44.312769010043034</v>
      </c>
    </row>
    <row r="629" spans="23:24" x14ac:dyDescent="0.3">
      <c r="W629">
        <v>3</v>
      </c>
      <c r="X629">
        <v>63.261307422329942</v>
      </c>
    </row>
    <row r="630" spans="23:24" x14ac:dyDescent="0.3">
      <c r="W630" t="s">
        <v>6</v>
      </c>
      <c r="X630">
        <v>65.630802356307896</v>
      </c>
    </row>
    <row r="631" spans="23:24" x14ac:dyDescent="0.3">
      <c r="W631" t="s">
        <v>4</v>
      </c>
      <c r="X631">
        <v>67.53729522769936</v>
      </c>
    </row>
    <row r="632" spans="23:24" x14ac:dyDescent="0.3">
      <c r="W632" t="s">
        <v>1</v>
      </c>
      <c r="X632">
        <v>66.734104046242777</v>
      </c>
    </row>
    <row r="633" spans="23:24" x14ac:dyDescent="0.3">
      <c r="W633" t="s">
        <v>14</v>
      </c>
      <c r="X633">
        <v>68.340486409155929</v>
      </c>
    </row>
    <row r="634" spans="23:24" x14ac:dyDescent="0.3">
      <c r="W634" t="s">
        <v>5</v>
      </c>
      <c r="X634">
        <v>63.724309484916425</v>
      </c>
    </row>
    <row r="635" spans="23:24" x14ac:dyDescent="0.3">
      <c r="W635" t="s">
        <v>1</v>
      </c>
      <c r="X635">
        <v>62.875536480686691</v>
      </c>
    </row>
    <row r="636" spans="23:24" x14ac:dyDescent="0.3">
      <c r="W636" t="s">
        <v>14</v>
      </c>
      <c r="X636">
        <v>64.573082489146159</v>
      </c>
    </row>
    <row r="637" spans="23:24" x14ac:dyDescent="0.3">
      <c r="W637" t="s">
        <v>7</v>
      </c>
      <c r="X637">
        <v>60.101980843692679</v>
      </c>
    </row>
    <row r="638" spans="23:24" x14ac:dyDescent="0.3">
      <c r="W638" t="s">
        <v>4</v>
      </c>
      <c r="X638">
        <v>66.292439372325248</v>
      </c>
    </row>
    <row r="639" spans="23:24" x14ac:dyDescent="0.3">
      <c r="W639" t="s">
        <v>14</v>
      </c>
      <c r="X639">
        <v>66.292439372325248</v>
      </c>
    </row>
    <row r="640" spans="23:24" x14ac:dyDescent="0.3">
      <c r="W640" t="s">
        <v>5</v>
      </c>
      <c r="X640">
        <v>57.006751579376399</v>
      </c>
    </row>
    <row r="641" spans="23:24" x14ac:dyDescent="0.3">
      <c r="W641" t="s">
        <v>1</v>
      </c>
      <c r="X641">
        <v>52.547788873038513</v>
      </c>
    </row>
    <row r="642" spans="23:24" x14ac:dyDescent="0.3">
      <c r="W642" t="s">
        <v>14</v>
      </c>
      <c r="X642">
        <v>61.465714285714292</v>
      </c>
    </row>
    <row r="643" spans="23:24" x14ac:dyDescent="0.3">
      <c r="W643">
        <v>4</v>
      </c>
      <c r="X643">
        <v>60.050897059118633</v>
      </c>
    </row>
    <row r="644" spans="23:24" x14ac:dyDescent="0.3">
      <c r="W644" t="s">
        <v>6</v>
      </c>
      <c r="X644">
        <v>72.077151405649374</v>
      </c>
    </row>
    <row r="645" spans="23:24" x14ac:dyDescent="0.3">
      <c r="W645" t="s">
        <v>4</v>
      </c>
      <c r="X645">
        <v>68.572704388458817</v>
      </c>
    </row>
    <row r="646" spans="23:24" x14ac:dyDescent="0.3">
      <c r="W646" t="s">
        <v>1</v>
      </c>
      <c r="X646">
        <v>74.295874822190598</v>
      </c>
    </row>
    <row r="647" spans="23:24" x14ac:dyDescent="0.3">
      <c r="W647" t="s">
        <v>14</v>
      </c>
      <c r="X647">
        <v>62.849533954727022</v>
      </c>
    </row>
    <row r="648" spans="23:24" x14ac:dyDescent="0.3">
      <c r="W648" t="s">
        <v>5</v>
      </c>
      <c r="X648">
        <v>75.581598422839917</v>
      </c>
    </row>
    <row r="649" spans="23:24" x14ac:dyDescent="0.3">
      <c r="W649" t="s">
        <v>1</v>
      </c>
      <c r="X649">
        <v>80.374100719424462</v>
      </c>
    </row>
    <row r="650" spans="23:24" x14ac:dyDescent="0.3">
      <c r="W650" t="s">
        <v>14</v>
      </c>
      <c r="X650">
        <v>70.789096126255373</v>
      </c>
    </row>
    <row r="651" spans="23:24" x14ac:dyDescent="0.3">
      <c r="W651" t="s">
        <v>7</v>
      </c>
      <c r="X651">
        <v>48.024642712587884</v>
      </c>
    </row>
    <row r="652" spans="23:24" x14ac:dyDescent="0.3">
      <c r="W652" t="s">
        <v>4</v>
      </c>
      <c r="X652">
        <v>50.966460011524866</v>
      </c>
    </row>
    <row r="653" spans="23:24" x14ac:dyDescent="0.3">
      <c r="W653" t="s">
        <v>1</v>
      </c>
      <c r="X653">
        <v>40.880512091038398</v>
      </c>
    </row>
    <row r="654" spans="23:24" x14ac:dyDescent="0.3">
      <c r="W654" t="s">
        <v>14</v>
      </c>
      <c r="X654">
        <v>61.052407932011334</v>
      </c>
    </row>
    <row r="655" spans="23:24" x14ac:dyDescent="0.3">
      <c r="W655" t="s">
        <v>5</v>
      </c>
      <c r="X655">
        <v>45.082825413650895</v>
      </c>
    </row>
    <row r="656" spans="23:24" x14ac:dyDescent="0.3">
      <c r="W656" t="s">
        <v>1</v>
      </c>
      <c r="X656">
        <v>40.604046242774565</v>
      </c>
    </row>
    <row r="657" spans="23:24" x14ac:dyDescent="0.3">
      <c r="W657" t="s">
        <v>14</v>
      </c>
      <c r="X657">
        <v>49.561604584527224</v>
      </c>
    </row>
    <row r="658" spans="23:24" x14ac:dyDescent="0.3">
      <c r="W658">
        <v>5</v>
      </c>
      <c r="X658">
        <v>55.793108884692657</v>
      </c>
    </row>
    <row r="659" spans="23:24" x14ac:dyDescent="0.3">
      <c r="W659" t="s">
        <v>6</v>
      </c>
      <c r="X659">
        <v>62.198031425146326</v>
      </c>
    </row>
    <row r="660" spans="23:24" x14ac:dyDescent="0.3">
      <c r="W660" t="s">
        <v>4</v>
      </c>
      <c r="X660">
        <v>69.303338171262695</v>
      </c>
    </row>
    <row r="661" spans="23:24" x14ac:dyDescent="0.3">
      <c r="W661" t="s">
        <v>1</v>
      </c>
      <c r="X661">
        <v>69.303338171262695</v>
      </c>
    </row>
    <row r="662" spans="23:24" x14ac:dyDescent="0.3">
      <c r="W662" t="s">
        <v>5</v>
      </c>
      <c r="X662">
        <v>55.092724679029956</v>
      </c>
    </row>
    <row r="663" spans="23:24" x14ac:dyDescent="0.3">
      <c r="W663" t="s">
        <v>1</v>
      </c>
      <c r="X663">
        <v>55.092724679029956</v>
      </c>
    </row>
    <row r="664" spans="23:24" x14ac:dyDescent="0.3">
      <c r="W664" t="s">
        <v>7</v>
      </c>
      <c r="X664">
        <v>49.388186344238974</v>
      </c>
    </row>
    <row r="665" spans="23:24" x14ac:dyDescent="0.3">
      <c r="W665" t="s">
        <v>4</v>
      </c>
      <c r="X665">
        <v>53.93</v>
      </c>
    </row>
    <row r="666" spans="23:24" x14ac:dyDescent="0.3">
      <c r="W666" t="s">
        <v>1</v>
      </c>
      <c r="X666">
        <v>53.93</v>
      </c>
    </row>
    <row r="667" spans="23:24" x14ac:dyDescent="0.3">
      <c r="W667" t="s">
        <v>5</v>
      </c>
      <c r="X667">
        <v>44.846372688477956</v>
      </c>
    </row>
    <row r="668" spans="23:24" x14ac:dyDescent="0.3">
      <c r="W668" t="s">
        <v>1</v>
      </c>
      <c r="X668">
        <v>44.846372688477956</v>
      </c>
    </row>
    <row r="669" spans="23:24" x14ac:dyDescent="0.3">
      <c r="W669" t="s">
        <v>16</v>
      </c>
      <c r="X669">
        <v>65.359661495063477</v>
      </c>
    </row>
    <row r="670" spans="23:24" x14ac:dyDescent="0.3">
      <c r="W670" t="s">
        <v>7</v>
      </c>
      <c r="X670">
        <v>65.359661495063477</v>
      </c>
    </row>
    <row r="671" spans="23:24" x14ac:dyDescent="0.3">
      <c r="W671" t="s">
        <v>5</v>
      </c>
      <c r="X671">
        <v>65.359661495063477</v>
      </c>
    </row>
    <row r="672" spans="23:24" x14ac:dyDescent="0.3">
      <c r="W672" t="s">
        <v>1</v>
      </c>
      <c r="X672">
        <v>65.359661495063477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D4EA-81D1-408F-81D0-B6E931066E54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all!!</vt:lpstr>
      <vt:lpstr>Sheet3</vt:lpstr>
      <vt:lpstr>Sheet2</vt:lpstr>
      <vt:lpstr>Sheet1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Harlee Rush</dc:creator>
  <cp:lastModifiedBy>Rush, Harlee</cp:lastModifiedBy>
  <cp:lastPrinted>2024-11-01T15:16:06Z</cp:lastPrinted>
  <dcterms:created xsi:type="dcterms:W3CDTF">2022-11-22T03:51:28Z</dcterms:created>
  <dcterms:modified xsi:type="dcterms:W3CDTF">2026-03-04T17:47:53Z</dcterms:modified>
</cp:coreProperties>
</file>