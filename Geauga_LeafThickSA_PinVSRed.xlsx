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suprod-my.sharepoint.com/personal/hrush4_kent_edu/Documents/Desktop/Ch2_GPD/"/>
    </mc:Choice>
  </mc:AlternateContent>
  <xr:revisionPtr revIDLastSave="17" documentId="13_ncr:1_{D749A702-1B7D-49E4-B46E-B8F9C722D991}" xr6:coauthVersionLast="47" xr6:coauthVersionMax="47" xr10:uidLastSave="{6142F72D-425F-4655-B6BA-F95E952C5732}"/>
  <bookViews>
    <workbookView minimized="1" xWindow="12960" yWindow="396" windowWidth="10428" windowHeight="7680" xr2:uid="{EBE1B9F3-1067-495B-A583-2C7CED9DC594}"/>
  </bookViews>
  <sheets>
    <sheet name="Data" sheetId="1" r:id="rId1"/>
    <sheet name="PivotThickSA" sheetId="2" r:id="rId2"/>
    <sheet name="PivotSAWeight" sheetId="5" r:id="rId3"/>
  </sheet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2" i="1"/>
  <c r="E11" i="5"/>
  <c r="E10" i="5"/>
  <c r="N11" i="5"/>
  <c r="N10" i="5"/>
  <c r="I10" i="5"/>
  <c r="I11" i="5"/>
  <c r="P13" i="2"/>
  <c r="P12" i="2"/>
  <c r="J13" i="2"/>
  <c r="J12" i="2"/>
  <c r="E13" i="2"/>
  <c r="E12" i="2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99" i="1"/>
  <c r="F98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6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2" i="1"/>
</calcChain>
</file>

<file path=xl/sharedStrings.xml><?xml version="1.0" encoding="utf-8"?>
<sst xmlns="http://schemas.openxmlformats.org/spreadsheetml/2006/main" count="295" uniqueCount="27">
  <si>
    <t>Species</t>
  </si>
  <si>
    <t>LeafNum</t>
  </si>
  <si>
    <t>Rep</t>
  </si>
  <si>
    <t>Thick/SA</t>
  </si>
  <si>
    <t>a</t>
  </si>
  <si>
    <t>b</t>
  </si>
  <si>
    <t>c</t>
  </si>
  <si>
    <t>Pin</t>
  </si>
  <si>
    <t>Red</t>
  </si>
  <si>
    <t>Row Labels</t>
  </si>
  <si>
    <t>Grand Total</t>
  </si>
  <si>
    <t>Average of Thickness(mm)</t>
  </si>
  <si>
    <t>StdDev of Thickness(mm)2</t>
  </si>
  <si>
    <t>Average of SA(cm^2)</t>
  </si>
  <si>
    <t>StdDev of SA(cm^2)2</t>
  </si>
  <si>
    <t>Average of Thick/SA</t>
  </si>
  <si>
    <t>StdDev of Thick/SA2</t>
  </si>
  <si>
    <t>SE</t>
  </si>
  <si>
    <t>Average of Weight (g)</t>
  </si>
  <si>
    <t>StdDev of SA(cm^2)</t>
  </si>
  <si>
    <t>StdDev of Weight (g)</t>
  </si>
  <si>
    <t>Average of Weight:SA</t>
  </si>
  <si>
    <t>StdDev of Weight:SA</t>
  </si>
  <si>
    <t>Weight</t>
  </si>
  <si>
    <t>SA</t>
  </si>
  <si>
    <t>Thickness</t>
  </si>
  <si>
    <t>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</si>
</sst>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8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1" xfId="0" applyBorder="1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PivotThickSA!$C$11</c:f>
              <c:strCache>
                <c:ptCount val="1"/>
                <c:pt idx="0">
                  <c:v>Average of Thickness(mm)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PivotThickSA!$E$12:$E$13</c:f>
                <c:numCache>
                  <c:formatCode>General</c:formatCode>
                  <c:ptCount val="2"/>
                  <c:pt idx="0">
                    <c:v>4.7028960905400969E-3</c:v>
                  </c:pt>
                  <c:pt idx="1">
                    <c:v>5.7943816544185397E-3</c:v>
                  </c:pt>
                </c:numCache>
              </c:numRef>
            </c:plus>
            <c:minus>
              <c:numRef>
                <c:f>PivotThickSA!$E$12:$E$13</c:f>
                <c:numCache>
                  <c:formatCode>General</c:formatCode>
                  <c:ptCount val="2"/>
                  <c:pt idx="0">
                    <c:v>4.7028960905400969E-3</c:v>
                  </c:pt>
                  <c:pt idx="1">
                    <c:v>5.7943816544185397E-3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PivotThickSA!$B$12:$B$13</c:f>
              <c:strCache>
                <c:ptCount val="2"/>
                <c:pt idx="0">
                  <c:v>Pin</c:v>
                </c:pt>
                <c:pt idx="1">
                  <c:v>Red</c:v>
                </c:pt>
              </c:strCache>
            </c:strRef>
          </c:cat>
          <c:val>
            <c:numRef>
              <c:f>PivotThickSA!$C$12:$C$13</c:f>
              <c:numCache>
                <c:formatCode>General</c:formatCode>
                <c:ptCount val="2"/>
                <c:pt idx="0">
                  <c:v>0.13016666666666671</c:v>
                </c:pt>
                <c:pt idx="1">
                  <c:v>0.18383333333333335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51-4632-BAF5-9D290B082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3639264"/>
        <c:axId val="1293641664"/>
      </c:barChart>
      <c:catAx>
        <c:axId val="1293639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Leaf species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41664"/>
        <c:crosses val="autoZero"/>
        <c:auto val="1"/>
        <c:lblAlgn val="ctr"/>
        <c:lblOffset val="100"/>
        <c:noMultiLvlLbl val="0"/>
      </c:catAx>
      <c:valAx>
        <c:axId val="12936416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Thickness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3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PivotThickSA!$N$11</c:f>
              <c:strCache>
                <c:ptCount val="1"/>
                <c:pt idx="0">
                  <c:v>Average of Thick/SA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PivotThickSA!$P$12:$P$13</c:f>
                <c:numCache>
                  <c:formatCode>General</c:formatCode>
                  <c:ptCount val="2"/>
                  <c:pt idx="0">
                    <c:v>4.8443561317878251E-4</c:v>
                  </c:pt>
                  <c:pt idx="1">
                    <c:v>4.6369826619430647E-4</c:v>
                  </c:pt>
                </c:numCache>
              </c:numRef>
            </c:plus>
            <c:minus>
              <c:numRef>
                <c:f>PivotThickSA!$P$12:$P$13</c:f>
                <c:numCache>
                  <c:formatCode>General</c:formatCode>
                  <c:ptCount val="2"/>
                  <c:pt idx="0">
                    <c:v>4.8443561317878251E-4</c:v>
                  </c:pt>
                  <c:pt idx="1">
                    <c:v>4.6369826619430647E-4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PivotThickSA!$M$12:$M$13</c:f>
              <c:strCache>
                <c:ptCount val="2"/>
                <c:pt idx="0">
                  <c:v>Pin</c:v>
                </c:pt>
                <c:pt idx="1">
                  <c:v>Red</c:v>
                </c:pt>
              </c:strCache>
            </c:strRef>
          </c:cat>
          <c:val>
            <c:numRef>
              <c:f>PivotThickSA!$N$12:$N$13</c:f>
              <c:numCache>
                <c:formatCode>General</c:formatCode>
                <c:ptCount val="2"/>
                <c:pt idx="0">
                  <c:v>4.9024771211915027E-3</c:v>
                </c:pt>
                <c:pt idx="1">
                  <c:v>4.4094683615964973E-3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02-42FA-B178-5B045E470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3636864"/>
        <c:axId val="1293637344"/>
      </c:barChart>
      <c:catAx>
        <c:axId val="1293636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Leaf species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37344"/>
        <c:crosses val="autoZero"/>
        <c:auto val="1"/>
        <c:lblAlgn val="ctr"/>
        <c:lblOffset val="100"/>
        <c:noMultiLvlLbl val="0"/>
      </c:catAx>
      <c:valAx>
        <c:axId val="12936373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Thickness</a:t>
                </a:r>
                <a:r>
                  <a:rPr lang="en-US" baseline="0"/>
                  <a:t> (mm) : Surface Area (cm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36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PivotThickSA!$H$11</c:f>
              <c:strCache>
                <c:ptCount val="1"/>
                <c:pt idx="0">
                  <c:v>Average of SA(cm^2)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PivotThickSA!$J$12:$J$13</c:f>
                <c:numCache>
                  <c:formatCode>General</c:formatCode>
                  <c:ptCount val="2"/>
                  <c:pt idx="0">
                    <c:v>2.7488574105311838</c:v>
                  </c:pt>
                  <c:pt idx="1">
                    <c:v>3.7787687309145146</c:v>
                  </c:pt>
                </c:numCache>
              </c:numRef>
            </c:plus>
            <c:minus>
              <c:numRef>
                <c:f>PivotThickSA!$J$12:$J$13</c:f>
                <c:numCache>
                  <c:formatCode>General</c:formatCode>
                  <c:ptCount val="2"/>
                  <c:pt idx="0">
                    <c:v>2.7488574105311838</c:v>
                  </c:pt>
                  <c:pt idx="1">
                    <c:v>3.7787687309145146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PivotThickSA!$G$12:$G$13</c:f>
              <c:strCache>
                <c:ptCount val="2"/>
                <c:pt idx="0">
                  <c:v>Pin</c:v>
                </c:pt>
                <c:pt idx="1">
                  <c:v>Red</c:v>
                </c:pt>
              </c:strCache>
            </c:strRef>
          </c:cat>
          <c:val>
            <c:numRef>
              <c:f>PivotThickSA!$H$12:$H$13</c:f>
              <c:numCache>
                <c:formatCode>General</c:formatCode>
                <c:ptCount val="2"/>
                <c:pt idx="0">
                  <c:v>30.60595</c:v>
                </c:pt>
                <c:pt idx="1">
                  <c:v>48.255649999999996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9C-4920-A4C8-80E6FE81F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4982943"/>
        <c:axId val="924987743"/>
      </c:barChart>
      <c:catAx>
        <c:axId val="924982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Leaf Species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987743"/>
        <c:crosses val="autoZero"/>
        <c:auto val="1"/>
        <c:lblAlgn val="ctr"/>
        <c:lblOffset val="100"/>
        <c:noMultiLvlLbl val="0"/>
      </c:catAx>
      <c:valAx>
        <c:axId val="9249877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Average of SA(cm</a:t>
                </a:r>
                <a:r>
                  <a:rPr lang="en-US" sz="1000" b="0" i="0" u="none" strike="noStrike" baseline="30000">
                    <a:effectLst/>
                  </a:rPr>
                  <a:t>2</a:t>
                </a:r>
                <a:r>
                  <a:rPr lang="en-US" sz="1000" b="0" i="0" u="none" strike="noStrike" baseline="0">
                    <a:effectLst/>
                  </a:rPr>
                  <a:t>)</a:t>
                </a:r>
                <a:r>
                  <a:rPr lang="en-US" sz="1000" b="0" i="0" u="none" strike="noStrike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982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PivotSAWeight!$C$9</c:f>
              <c:strCache>
                <c:ptCount val="1"/>
                <c:pt idx="0">
                  <c:v>Average of SA(cm^2)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PivotSAWeight!$E$10:$E$11</c:f>
                <c:numCache>
                  <c:formatCode>General</c:formatCode>
                  <c:ptCount val="2"/>
                  <c:pt idx="0">
                    <c:v>2.7488574105311838</c:v>
                  </c:pt>
                  <c:pt idx="1">
                    <c:v>3.7787687309145146</c:v>
                  </c:pt>
                </c:numCache>
              </c:numRef>
            </c:plus>
            <c:minus>
              <c:numRef>
                <c:f>PivotSAWeight!$E$10:$E$11</c:f>
                <c:numCache>
                  <c:formatCode>General</c:formatCode>
                  <c:ptCount val="2"/>
                  <c:pt idx="0">
                    <c:v>2.7488574105311838</c:v>
                  </c:pt>
                  <c:pt idx="1">
                    <c:v>3.7787687309145146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PivotSAWeight!$B$10:$B$11</c:f>
              <c:strCache>
                <c:ptCount val="2"/>
                <c:pt idx="0">
                  <c:v>Pin</c:v>
                </c:pt>
                <c:pt idx="1">
                  <c:v>Red</c:v>
                </c:pt>
              </c:strCache>
            </c:strRef>
          </c:cat>
          <c:val>
            <c:numRef>
              <c:f>PivotSAWeight!$C$10:$C$11</c:f>
              <c:numCache>
                <c:formatCode>General</c:formatCode>
                <c:ptCount val="2"/>
                <c:pt idx="0">
                  <c:v>30.60595</c:v>
                </c:pt>
                <c:pt idx="1">
                  <c:v>48.255649999999996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B1-40B2-B04B-4C29FBC6C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1074864"/>
        <c:axId val="1731076304"/>
      </c:barChart>
      <c:catAx>
        <c:axId val="1731074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Leaf Species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76304"/>
        <c:crosses val="autoZero"/>
        <c:auto val="1"/>
        <c:lblAlgn val="ctr"/>
        <c:lblOffset val="100"/>
        <c:noMultiLvlLbl val="0"/>
      </c:catAx>
      <c:valAx>
        <c:axId val="17310763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Surface Area (cm2)</a:t>
                </a:r>
              </a:p>
            </c:rich>
          </c:tx>
          <c:layout>
            <c:manualLayout>
              <c:xMode val="edge"/>
              <c:yMode val="edge"/>
              <c:x val="3.0542829376648619E-2"/>
              <c:y val="0.198823272090988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74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44001453529734"/>
          <c:y val="5.0925925925925923E-2"/>
          <c:w val="0.82475904023256474"/>
          <c:h val="0.743873578302712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PivotSAWeight!$G$9</c:f>
              <c:strCache>
                <c:ptCount val="1"/>
                <c:pt idx="0">
                  <c:v>Average of Weight (g)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PivotSAWeight!$I$10:$I$11</c:f>
                <c:numCache>
                  <c:formatCode>General</c:formatCode>
                  <c:ptCount val="2"/>
                  <c:pt idx="0">
                    <c:v>2.4286612654655777E-2</c:v>
                  </c:pt>
                  <c:pt idx="1">
                    <c:v>3.1093279098299426E-2</c:v>
                  </c:pt>
                </c:numCache>
              </c:numRef>
            </c:plus>
            <c:minus>
              <c:numRef>
                <c:f>PivotSAWeight!$I$10:$I$11</c:f>
                <c:numCache>
                  <c:formatCode>General</c:formatCode>
                  <c:ptCount val="2"/>
                  <c:pt idx="0">
                    <c:v>2.4286612654655777E-2</c:v>
                  </c:pt>
                  <c:pt idx="1">
                    <c:v>3.1093279098299426E-2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PivotSAWeight!$F$10:$F$11</c:f>
              <c:strCache>
                <c:ptCount val="2"/>
                <c:pt idx="0">
                  <c:v>Pin</c:v>
                </c:pt>
                <c:pt idx="1">
                  <c:v>Red</c:v>
                </c:pt>
              </c:strCache>
            </c:strRef>
          </c:cat>
          <c:val>
            <c:numRef>
              <c:f>PivotSAWeight!$G$10:$G$11</c:f>
              <c:numCache>
                <c:formatCode>General</c:formatCode>
                <c:ptCount val="2"/>
                <c:pt idx="0">
                  <c:v>0.17301000000000008</c:v>
                </c:pt>
                <c:pt idx="1">
                  <c:v>0.36247000000000007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2-40EF-B3B5-0B7C038C5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1087824"/>
        <c:axId val="1731091184"/>
      </c:barChart>
      <c:catAx>
        <c:axId val="1731087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Leaf Species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91184"/>
        <c:crosses val="autoZero"/>
        <c:auto val="1"/>
        <c:lblAlgn val="ctr"/>
        <c:lblOffset val="100"/>
        <c:noMultiLvlLbl val="0"/>
      </c:catAx>
      <c:valAx>
        <c:axId val="17310911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Weight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8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PivotSAWeight!$L$9</c:f>
              <c:strCache>
                <c:ptCount val="1"/>
                <c:pt idx="0">
                  <c:v>Average of Weight:SA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PivotSAWeight!$N$10:$N$11</c:f>
                <c:numCache>
                  <c:formatCode>General</c:formatCode>
                  <c:ptCount val="2"/>
                  <c:pt idx="0">
                    <c:v>2.1593136079242885E-4</c:v>
                  </c:pt>
                  <c:pt idx="1">
                    <c:v>2.1102536741305248E-4</c:v>
                  </c:pt>
                </c:numCache>
              </c:numRef>
            </c:plus>
            <c:minus>
              <c:numRef>
                <c:f>PivotSAWeight!$N$10:$N$11</c:f>
                <c:numCache>
                  <c:formatCode>General</c:formatCode>
                  <c:ptCount val="2"/>
                  <c:pt idx="0">
                    <c:v>2.1593136079242885E-4</c:v>
                  </c:pt>
                  <c:pt idx="1">
                    <c:v>2.1102536741305248E-4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PivotSAWeight!$K$10:$K$11</c:f>
              <c:strCache>
                <c:ptCount val="2"/>
                <c:pt idx="0">
                  <c:v>Pin</c:v>
                </c:pt>
                <c:pt idx="1">
                  <c:v>Red</c:v>
                </c:pt>
              </c:strCache>
            </c:strRef>
          </c:cat>
          <c:val>
            <c:numRef>
              <c:f>PivotSAWeight!$L$10:$L$11</c:f>
              <c:numCache>
                <c:formatCode>General</c:formatCode>
                <c:ptCount val="2"/>
                <c:pt idx="0">
                  <c:v>5.4215260654852278E-3</c:v>
                </c:pt>
                <c:pt idx="1">
                  <c:v>7.4615024702971329E-3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E6-4C1D-978C-CBC4E5655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1104624"/>
        <c:axId val="1731106064"/>
      </c:barChart>
      <c:catAx>
        <c:axId val="1731104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Leaf</a:t>
                </a:r>
                <a:r>
                  <a:rPr lang="en-US" baseline="0"/>
                  <a:t> Species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106064"/>
        <c:crosses val="autoZero"/>
        <c:auto val="1"/>
        <c:lblAlgn val="ctr"/>
        <c:lblOffset val="100"/>
        <c:noMultiLvlLbl val="0"/>
      </c:catAx>
      <c:valAx>
        <c:axId val="17311060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Weight (g) : Surface Area (cm2)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104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1261110</xdr:colOff>
      <xdr:row>14</xdr:row>
      <xdr:rowOff>161924</xdr:rowOff>
    </xdr:from>
    <xdr:to>
      <xdr:col>4</xdr:col>
      <xdr:colOff>822960</xdr:colOff>
      <xdr:row>30</xdr:row>
      <xdr:rowOff>7619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38CDD5-BED2-7252-F165-BD6541C55F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3810</xdr:colOff>
      <xdr:row>15</xdr:row>
      <xdr:rowOff>1904</xdr:rowOff>
    </xdr:from>
    <xdr:to>
      <xdr:col>16</xdr:col>
      <xdr:colOff>228600</xdr:colOff>
      <xdr:row>29</xdr:row>
      <xdr:rowOff>182879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FD57D1-DBA1-BD98-8382-1258EE2A05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388620</xdr:colOff>
      <xdr:row>14</xdr:row>
      <xdr:rowOff>133350</xdr:rowOff>
    </xdr:from>
    <xdr:to>
      <xdr:col>10</xdr:col>
      <xdr:colOff>243840</xdr:colOff>
      <xdr:row>29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FA7EF3-6651-3B21-2A44-3C3C978C82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535305</xdr:colOff>
      <xdr:row>12</xdr:row>
      <xdr:rowOff>104775</xdr:rowOff>
    </xdr:from>
    <xdr:to>
      <xdr:col>4</xdr:col>
      <xdr:colOff>243840</xdr:colOff>
      <xdr:row>26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3AFFDF-BD17-BE9C-113A-71268FE5CF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190500</xdr:colOff>
      <xdr:row>11</xdr:row>
      <xdr:rowOff>95250</xdr:rowOff>
    </xdr:from>
    <xdr:to>
      <xdr:col>9</xdr:col>
      <xdr:colOff>194310</xdr:colOff>
      <xdr:row>25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092937-C237-573D-7272-87E3D55A6A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605790</xdr:colOff>
      <xdr:row>11</xdr:row>
      <xdr:rowOff>106680</xdr:rowOff>
    </xdr:from>
    <xdr:to>
      <xdr:col>16</xdr:col>
      <xdr:colOff>586740</xdr:colOff>
      <xdr:row>25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7538DD-D9F5-3E5A-B54B-941E862CE1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lee Rush" refreshedDate="45461.489324652779" createdVersion="8" refreshedVersion="8" minRefreshableVersion="3" recordCount="120" xr:uid="{A08D0AEB-127A-48ED-9823-414DBBCC30BF}">
  <cacheSource type="worksheet">
    <worksheetSource ref="A1:F121" sheet="Data"/>
  </cacheSource>
  <cacheFields count="6">
    <cacheField name="Species" numFmtId="0">
      <sharedItems count="2">
        <s v="Pin"/>
        <s v="Red"/>
      </sharedItems>
    </cacheField>
    <cacheField name="LeafNum" numFmtId="0">
      <sharedItems containsSemiMixedTypes="0" containsString="0" containsNumber="1" containsInteger="1" minValue="1" maxValue="20"/>
    </cacheField>
    <cacheField name="Rep" numFmtId="0">
      <sharedItems/>
    </cacheField>
    <cacheField name="Thickness(mm)" numFmtId="0">
      <sharedItems containsSemiMixedTypes="0" containsString="0" containsNumber="1" minValue="0.1" maxValue="0.22"/>
    </cacheField>
    <cacheField name="SA(cm^2)" numFmtId="0">
      <sharedItems containsSemiMixedTypes="0" containsString="0" containsNumber="1" minValue="12.254" maxValue="76.355000000000004"/>
    </cacheField>
    <cacheField name="Thick/SA" numFmtId="0">
      <sharedItems containsSemiMixedTypes="0" containsString="0" containsNumber="1" minValue="2.2326744462967374E-3" maxValue="1.224090093030847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lee Rush" refreshedDate="45464.496526273149" createdVersion="8" refreshedVersion="8" minRefreshableVersion="3" recordCount="120" xr:uid="{BD567ABF-0735-4C94-BEAF-7470C3F06E15}">
  <cacheSource type="worksheet">
    <worksheetSource ref="A1:H121" sheet="Data"/>
  </cacheSource>
  <cacheFields count="8">
    <cacheField name="Species" numFmtId="0">
      <sharedItems count="2">
        <s v="Pin"/>
        <s v="Red"/>
      </sharedItems>
    </cacheField>
    <cacheField name="LeafNum" numFmtId="0">
      <sharedItems containsSemiMixedTypes="0" containsString="0" containsNumber="1" containsInteger="1" minValue="1" maxValue="20"/>
    </cacheField>
    <cacheField name="Rep" numFmtId="0">
      <sharedItems/>
    </cacheField>
    <cacheField name="Thickness(mm)" numFmtId="0">
      <sharedItems containsSemiMixedTypes="0" containsString="0" containsNumber="1" minValue="0.1" maxValue="0.22"/>
    </cacheField>
    <cacheField name="SA(cm^2)" numFmtId="0">
      <sharedItems containsSemiMixedTypes="0" containsString="0" containsNumber="1" minValue="12.254" maxValue="76.355000000000004"/>
    </cacheField>
    <cacheField name="Thick/SA" numFmtId="0">
      <sharedItems containsSemiMixedTypes="0" containsString="0" containsNumber="1" minValue="2.2326744462967374E-3" maxValue="1.224090093030847E-2"/>
    </cacheField>
    <cacheField name="Weight (g)" numFmtId="0">
      <sharedItems containsSemiMixedTypes="0" containsString="0" containsNumber="1" minValue="5.7599999999999998E-2" maxValue="0.6038"/>
    </cacheField>
    <cacheField name="Weight:SA" numFmtId="0">
      <sharedItems containsSemiMixedTypes="0" containsString="0" containsNumber="1" minValue="4.3234074632491513E-3" maxValue="9.278809951900174E-3" count="40">
        <n v="5.6213796735123745E-3"/>
        <n v="4.6598958777844162E-3"/>
        <n v="4.6467931345980122E-3"/>
        <n v="5.2797536114981298E-3"/>
        <n v="5.1200617375560227E-3"/>
        <n v="4.7187617969044922E-3"/>
        <n v="5.9955588452997779E-3"/>
        <n v="6.3888551657156727E-3"/>
        <n v="4.8438345846964952E-3"/>
        <n v="4.3396368567769159E-3"/>
        <n v="5.4108786016271717E-3"/>
        <n v="6.0358450568510306E-3"/>
        <n v="4.3234074632491513E-3"/>
        <n v="5.3795076657309438E-3"/>
        <n v="5.5818508242206633E-3"/>
        <n v="5.0682730923694783E-3"/>
        <n v="4.7383215098380409E-3"/>
        <n v="5.7168914702635243E-3"/>
        <n v="5.7732077205882356E-3"/>
        <n v="8.7878066206239589E-3"/>
        <n v="7.0286975717439304E-3"/>
        <n v="7.3469495740515365E-3"/>
        <n v="9.0526454968157082E-3"/>
        <n v="6.9468085106382969E-3"/>
        <n v="6.8276299410479843E-3"/>
        <n v="6.0116595073200661E-3"/>
        <n v="7.9662642114944338E-3"/>
        <n v="7.3679989306242484E-3"/>
        <n v="6.383302400584173E-3"/>
        <n v="7.4263452641831016E-3"/>
        <n v="8.5590289107877037E-3"/>
        <n v="8.0258050407304143E-3"/>
        <n v="7.1376260492366627E-3"/>
        <n v="6.2785672189116619E-3"/>
        <n v="6.6536850613564558E-3"/>
        <n v="8.8934172701138972E-3"/>
        <n v="9.278809951900174E-3"/>
        <n v="8.2975473901715918E-3"/>
        <n v="6.5867060992752437E-3"/>
        <n v="7.1605550049554005E-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n v="1"/>
    <s v="a"/>
    <n v="0.14000000000000001"/>
    <n v="22.788"/>
    <n v="6.1435843426364762E-3"/>
  </r>
  <r>
    <x v="0"/>
    <n v="1"/>
    <s v="b"/>
    <n v="0.16"/>
    <n v="22.788"/>
    <n v="7.0212392487274001E-3"/>
  </r>
  <r>
    <x v="0"/>
    <n v="1"/>
    <s v="c"/>
    <n v="0.16"/>
    <n v="22.788"/>
    <n v="7.0212392487274001E-3"/>
  </r>
  <r>
    <x v="0"/>
    <n v="2"/>
    <s v="a"/>
    <n v="0.11"/>
    <n v="46.868000000000002"/>
    <n v="2.3470171545617478E-3"/>
  </r>
  <r>
    <x v="0"/>
    <n v="2"/>
    <s v="b"/>
    <n v="0.14000000000000001"/>
    <n v="46.868000000000002"/>
    <n v="2.9871127421694974E-3"/>
  </r>
  <r>
    <x v="0"/>
    <n v="2"/>
    <s v="c"/>
    <n v="0.11"/>
    <n v="46.868000000000002"/>
    <n v="2.3470171545617478E-3"/>
  </r>
  <r>
    <x v="0"/>
    <n v="3"/>
    <s v="a"/>
    <n v="0.12"/>
    <n v="27.675000000000001"/>
    <n v="4.3360433604336043E-3"/>
  </r>
  <r>
    <x v="0"/>
    <n v="3"/>
    <s v="b"/>
    <n v="0.1"/>
    <n v="27.675000000000001"/>
    <n v="3.6133694670280039E-3"/>
  </r>
  <r>
    <x v="0"/>
    <n v="3"/>
    <s v="c"/>
    <n v="0.1"/>
    <n v="27.675000000000001"/>
    <n v="3.6133694670280039E-3"/>
  </r>
  <r>
    <x v="0"/>
    <n v="4"/>
    <s v="a"/>
    <n v="0.15"/>
    <n v="27.274000000000001"/>
    <n v="5.4997433453105515E-3"/>
  </r>
  <r>
    <x v="0"/>
    <n v="4"/>
    <s v="b"/>
    <n v="0.14000000000000001"/>
    <n v="27.274000000000001"/>
    <n v="5.1330937889565156E-3"/>
  </r>
  <r>
    <x v="0"/>
    <n v="4"/>
    <s v="c"/>
    <n v="0.15"/>
    <n v="27.274000000000001"/>
    <n v="5.4997433453105515E-3"/>
  </r>
  <r>
    <x v="0"/>
    <n v="5"/>
    <s v="a"/>
    <n v="0.15"/>
    <n v="33.691000000000003"/>
    <n v="4.4522275978748031E-3"/>
  </r>
  <r>
    <x v="0"/>
    <n v="5"/>
    <s v="b"/>
    <n v="0.13"/>
    <n v="33.691000000000003"/>
    <n v="3.8585972514914961E-3"/>
  </r>
  <r>
    <x v="0"/>
    <n v="5"/>
    <s v="c"/>
    <n v="0.12"/>
    <n v="33.691000000000003"/>
    <n v="3.5617820782998422E-3"/>
  </r>
  <r>
    <x v="0"/>
    <n v="6"/>
    <s v="a"/>
    <n v="0.12"/>
    <n v="18.542999999999999"/>
    <n v="6.4714447500404462E-3"/>
  </r>
  <r>
    <x v="0"/>
    <n v="6"/>
    <s v="b"/>
    <n v="0.13"/>
    <n v="18.542999999999999"/>
    <n v="7.0107318125438179E-3"/>
  </r>
  <r>
    <x v="0"/>
    <n v="6"/>
    <s v="c"/>
    <n v="0.13"/>
    <n v="18.542999999999999"/>
    <n v="7.0107318125438179E-3"/>
  </r>
  <r>
    <x v="0"/>
    <n v="7"/>
    <s v="a"/>
    <n v="0.11"/>
    <n v="25.669"/>
    <n v="4.2853247107405819E-3"/>
  </r>
  <r>
    <x v="0"/>
    <n v="7"/>
    <s v="b"/>
    <n v="0.13"/>
    <n v="25.669"/>
    <n v="5.0644746581479608E-3"/>
  </r>
  <r>
    <x v="0"/>
    <n v="7"/>
    <s v="c"/>
    <n v="0.12"/>
    <n v="25.669"/>
    <n v="4.6748996844442709E-3"/>
  </r>
  <r>
    <x v="0"/>
    <n v="8"/>
    <s v="a"/>
    <n v="0.15"/>
    <n v="32.948"/>
    <n v="4.552628384120432E-3"/>
  </r>
  <r>
    <x v="0"/>
    <n v="8"/>
    <s v="b"/>
    <n v="0.16"/>
    <n v="32.948"/>
    <n v="4.8561369430617941E-3"/>
  </r>
  <r>
    <x v="0"/>
    <n v="8"/>
    <s v="c"/>
    <n v="0.16"/>
    <n v="32.948"/>
    <n v="4.8561369430617941E-3"/>
  </r>
  <r>
    <x v="0"/>
    <n v="9"/>
    <s v="a"/>
    <n v="0.16"/>
    <n v="42.487000000000002"/>
    <n v="3.7658577917951373E-3"/>
  </r>
  <r>
    <x v="0"/>
    <n v="9"/>
    <s v="b"/>
    <n v="0.15"/>
    <n v="42.487000000000002"/>
    <n v="3.530491679807941E-3"/>
  </r>
  <r>
    <x v="0"/>
    <n v="9"/>
    <s v="c"/>
    <n v="0.17"/>
    <n v="42.487000000000002"/>
    <n v="4.0012239037823336E-3"/>
  </r>
  <r>
    <x v="0"/>
    <n v="10"/>
    <s v="a"/>
    <n v="0.11"/>
    <n v="13.273"/>
    <n v="8.2875009417614706E-3"/>
  </r>
  <r>
    <x v="0"/>
    <n v="10"/>
    <s v="b"/>
    <n v="0.11"/>
    <n v="13.273"/>
    <n v="8.2875009417614706E-3"/>
  </r>
  <r>
    <x v="0"/>
    <n v="10"/>
    <s v="c"/>
    <n v="0.11"/>
    <n v="13.273"/>
    <n v="8.2875009417614706E-3"/>
  </r>
  <r>
    <x v="0"/>
    <n v="11"/>
    <s v="a"/>
    <n v="0.13"/>
    <n v="28.146999999999998"/>
    <n v="4.6186094432799233E-3"/>
  </r>
  <r>
    <x v="0"/>
    <n v="11"/>
    <s v="b"/>
    <n v="0.11"/>
    <n v="28.146999999999998"/>
    <n v="3.9080541443137816E-3"/>
  </r>
  <r>
    <x v="0"/>
    <n v="11"/>
    <s v="c"/>
    <n v="0.11"/>
    <n v="28.146999999999998"/>
    <n v="3.9080541443137816E-3"/>
  </r>
  <r>
    <x v="0"/>
    <n v="12"/>
    <s v="a"/>
    <n v="0.12"/>
    <n v="25.945"/>
    <n v="4.6251686259394876E-3"/>
  </r>
  <r>
    <x v="0"/>
    <n v="12"/>
    <s v="b"/>
    <n v="0.12"/>
    <n v="25.945"/>
    <n v="4.6251686259394876E-3"/>
  </r>
  <r>
    <x v="0"/>
    <n v="12"/>
    <s v="c"/>
    <n v="0.12"/>
    <n v="25.945"/>
    <n v="4.6251686259394876E-3"/>
  </r>
  <r>
    <x v="0"/>
    <n v="13"/>
    <s v="a"/>
    <n v="0.11"/>
    <n v="26.53"/>
    <n v="4.1462495288352805E-3"/>
  </r>
  <r>
    <x v="0"/>
    <n v="13"/>
    <s v="b"/>
    <n v="0.12"/>
    <n v="26.53"/>
    <n v="4.5231813041839422E-3"/>
  </r>
  <r>
    <x v="0"/>
    <n v="13"/>
    <s v="c"/>
    <n v="0.11"/>
    <n v="26.53"/>
    <n v="4.1462495288352805E-3"/>
  </r>
  <r>
    <x v="0"/>
    <n v="14"/>
    <s v="a"/>
    <n v="0.13"/>
    <n v="37.048000000000002"/>
    <n v="3.5089613474411576E-3"/>
  </r>
  <r>
    <x v="0"/>
    <n v="14"/>
    <s v="b"/>
    <n v="0.11"/>
    <n v="37.048000000000002"/>
    <n v="2.9691211401425177E-3"/>
  </r>
  <r>
    <x v="0"/>
    <n v="14"/>
    <s v="c"/>
    <n v="0.11"/>
    <n v="37.048000000000002"/>
    <n v="2.9691211401425177E-3"/>
  </r>
  <r>
    <x v="0"/>
    <n v="15"/>
    <s v="a"/>
    <n v="0.15"/>
    <n v="12.254"/>
    <n v="1.224090093030847E-2"/>
  </r>
  <r>
    <x v="0"/>
    <n v="15"/>
    <s v="b"/>
    <n v="0.14000000000000001"/>
    <n v="12.254"/>
    <n v="1.1424840868287907E-2"/>
  </r>
  <r>
    <x v="0"/>
    <n v="15"/>
    <s v="c"/>
    <n v="0.14000000000000001"/>
    <n v="12.254"/>
    <n v="1.1424840868287907E-2"/>
  </r>
  <r>
    <x v="0"/>
    <n v="16"/>
    <s v="a"/>
    <n v="0.11"/>
    <n v="24.9"/>
    <n v="4.4176706827309242E-3"/>
  </r>
  <r>
    <x v="0"/>
    <n v="16"/>
    <s v="b"/>
    <n v="0.11"/>
    <n v="24.9"/>
    <n v="4.4176706827309242E-3"/>
  </r>
  <r>
    <x v="0"/>
    <n v="16"/>
    <s v="c"/>
    <n v="0.11"/>
    <n v="24.9"/>
    <n v="4.4176706827309242E-3"/>
  </r>
  <r>
    <x v="0"/>
    <n v="17"/>
    <s v="a"/>
    <n v="0.13"/>
    <n v="22.413"/>
    <n v="5.8002052380315E-3"/>
  </r>
  <r>
    <x v="0"/>
    <n v="17"/>
    <s v="b"/>
    <n v="0.12"/>
    <n v="22.413"/>
    <n v="5.3540356043367682E-3"/>
  </r>
  <r>
    <x v="0"/>
    <n v="17"/>
    <s v="c"/>
    <n v="0.15"/>
    <n v="22.413"/>
    <n v="6.6925445054209611E-3"/>
  </r>
  <r>
    <x v="0"/>
    <n v="18"/>
    <s v="a"/>
    <n v="0.11"/>
    <n v="41.665999999999997"/>
    <n v="2.6400422406758512E-3"/>
  </r>
  <r>
    <x v="0"/>
    <n v="18"/>
    <s v="b"/>
    <n v="0.12"/>
    <n v="41.665999999999997"/>
    <n v="2.8800460807372921E-3"/>
  </r>
  <r>
    <x v="0"/>
    <n v="18"/>
    <s v="c"/>
    <n v="0.13"/>
    <n v="41.665999999999997"/>
    <n v="3.120049920798733E-3"/>
  </r>
  <r>
    <x v="0"/>
    <n v="19"/>
    <s v="a"/>
    <n v="0.1"/>
    <n v="34.816000000000003"/>
    <n v="2.8722426470588233E-3"/>
  </r>
  <r>
    <x v="0"/>
    <n v="19"/>
    <s v="b"/>
    <n v="0.13"/>
    <n v="34.816000000000003"/>
    <n v="3.7339154411764703E-3"/>
  </r>
  <r>
    <x v="0"/>
    <n v="19"/>
    <s v="c"/>
    <n v="0.14000000000000001"/>
    <n v="34.816000000000003"/>
    <n v="4.0211397058823534E-3"/>
  </r>
  <r>
    <x v="0"/>
    <n v="20"/>
    <s v="a"/>
    <n v="0.15"/>
    <n v="67.183999999999997"/>
    <n v="2.2326744462967374E-3"/>
  </r>
  <r>
    <x v="0"/>
    <n v="20"/>
    <s v="b"/>
    <n v="0.19"/>
    <n v="67.183999999999997"/>
    <n v="2.8280542986425339E-3"/>
  </r>
  <r>
    <x v="0"/>
    <n v="20"/>
    <s v="c"/>
    <n v="0.18"/>
    <n v="67.183999999999997"/>
    <n v="2.6792093355560848E-3"/>
  </r>
  <r>
    <x v="1"/>
    <n v="1"/>
    <s v="a"/>
    <n v="0.19"/>
    <n v="45.3"/>
    <n v="4.1942604856512146E-3"/>
  </r>
  <r>
    <x v="1"/>
    <n v="1"/>
    <s v="b"/>
    <n v="0.21"/>
    <n v="45.3"/>
    <n v="4.6357615894039739E-3"/>
  </r>
  <r>
    <x v="1"/>
    <n v="1"/>
    <s v="c"/>
    <n v="0.19"/>
    <n v="45.3"/>
    <n v="4.1942604856512146E-3"/>
  </r>
  <r>
    <x v="1"/>
    <n v="2"/>
    <s v="a"/>
    <n v="0.13"/>
    <n v="37.798000000000002"/>
    <n v="3.4393354145721994E-3"/>
  </r>
  <r>
    <x v="1"/>
    <n v="2"/>
    <s v="b"/>
    <n v="0.14000000000000001"/>
    <n v="37.798000000000002"/>
    <n v="3.7038996772315999E-3"/>
  </r>
  <r>
    <x v="1"/>
    <n v="2"/>
    <s v="c"/>
    <n v="0.12"/>
    <n v="37.798000000000002"/>
    <n v="3.1747711519127995E-3"/>
  </r>
  <r>
    <x v="1"/>
    <n v="3"/>
    <s v="a"/>
    <n v="0.2"/>
    <n v="45.378999999999998"/>
    <n v="4.4073249741069659E-3"/>
  </r>
  <r>
    <x v="1"/>
    <n v="3"/>
    <s v="b"/>
    <n v="0.21"/>
    <n v="45.378999999999998"/>
    <n v="4.6276912228123144E-3"/>
  </r>
  <r>
    <x v="1"/>
    <n v="3"/>
    <s v="c"/>
    <n v="0.19"/>
    <n v="45.378999999999998"/>
    <n v="4.1869587254016174E-3"/>
  </r>
  <r>
    <x v="1"/>
    <n v="4"/>
    <s v="a"/>
    <n v="0.21"/>
    <n v="18.8"/>
    <n v="1.1170212765957446E-2"/>
  </r>
  <r>
    <x v="1"/>
    <n v="4"/>
    <s v="b"/>
    <n v="0.18"/>
    <n v="18.8"/>
    <n v="9.5744680851063829E-3"/>
  </r>
  <r>
    <x v="1"/>
    <n v="4"/>
    <s v="c"/>
    <n v="0.19"/>
    <n v="18.8"/>
    <n v="1.0106382978723403E-2"/>
  </r>
  <r>
    <x v="1"/>
    <n v="5"/>
    <s v="a"/>
    <n v="0.21"/>
    <n v="42.576999999999998"/>
    <n v="4.9322404114897711E-3"/>
  </r>
  <r>
    <x v="1"/>
    <n v="5"/>
    <s v="b"/>
    <n v="0.17"/>
    <n v="42.576999999999998"/>
    <n v="3.9927660473964817E-3"/>
  </r>
  <r>
    <x v="1"/>
    <n v="5"/>
    <s v="c"/>
    <n v="0.18"/>
    <n v="42.576999999999998"/>
    <n v="4.2276346384198041E-3"/>
  </r>
  <r>
    <x v="1"/>
    <n v="6"/>
    <s v="a"/>
    <n v="0.12"/>
    <n v="45.628"/>
    <n v="2.6299640571578855E-3"/>
  </r>
  <r>
    <x v="1"/>
    <n v="6"/>
    <s v="b"/>
    <n v="0.17"/>
    <n v="45.628"/>
    <n v="3.7257824143070049E-3"/>
  </r>
  <r>
    <x v="1"/>
    <n v="6"/>
    <s v="c"/>
    <n v="0.16"/>
    <n v="45.628"/>
    <n v="3.5066187428771808E-3"/>
  </r>
  <r>
    <x v="1"/>
    <n v="7"/>
    <s v="a"/>
    <n v="0.2"/>
    <n v="51.103000000000002"/>
    <n v="3.9136645598105788E-3"/>
  </r>
  <r>
    <x v="1"/>
    <n v="7"/>
    <s v="b"/>
    <n v="0.16"/>
    <n v="51.103000000000002"/>
    <n v="3.1309316478484628E-3"/>
  </r>
  <r>
    <x v="1"/>
    <n v="7"/>
    <s v="c"/>
    <n v="0.18"/>
    <n v="51.103000000000002"/>
    <n v="3.5222981038295206E-3"/>
  </r>
  <r>
    <x v="1"/>
    <n v="8"/>
    <s v="a"/>
    <n v="0.22"/>
    <n v="74.81"/>
    <n v="2.9407833177382704E-3"/>
  </r>
  <r>
    <x v="1"/>
    <n v="8"/>
    <s v="b"/>
    <n v="0.19"/>
    <n v="74.81"/>
    <n v="2.5397674107739605E-3"/>
  </r>
  <r>
    <x v="1"/>
    <n v="8"/>
    <s v="c"/>
    <n v="0.2"/>
    <n v="74.81"/>
    <n v="2.6734393797620639E-3"/>
  </r>
  <r>
    <x v="1"/>
    <n v="9"/>
    <s v="a"/>
    <n v="0.2"/>
    <n v="32.866999999999997"/>
    <n v="6.0851309824443978E-3"/>
  </r>
  <r>
    <x v="1"/>
    <n v="9"/>
    <s v="b"/>
    <n v="0.18"/>
    <n v="32.866999999999997"/>
    <n v="5.4766178841999576E-3"/>
  </r>
  <r>
    <x v="1"/>
    <n v="9"/>
    <s v="c"/>
    <n v="0.19"/>
    <n v="32.866999999999997"/>
    <n v="5.7808744333221777E-3"/>
  </r>
  <r>
    <x v="1"/>
    <n v="10"/>
    <s v="a"/>
    <n v="0.21"/>
    <n v="20.535"/>
    <n v="1.022644265887509E-2"/>
  </r>
  <r>
    <x v="1"/>
    <n v="10"/>
    <s v="b"/>
    <n v="0.16"/>
    <n v="20.535"/>
    <n v="7.7915753591429266E-3"/>
  </r>
  <r>
    <x v="1"/>
    <n v="10"/>
    <s v="c"/>
    <n v="0.18"/>
    <n v="20.535"/>
    <n v="8.7655222790357923E-3"/>
  </r>
  <r>
    <x v="1"/>
    <n v="11"/>
    <s v="a"/>
    <n v="0.21"/>
    <n v="61.292000000000002"/>
    <n v="3.4262220191868431E-3"/>
  </r>
  <r>
    <x v="1"/>
    <n v="11"/>
    <s v="b"/>
    <n v="0.19"/>
    <n v="61.292000000000002"/>
    <n v="3.0999151602166676E-3"/>
  </r>
  <r>
    <x v="1"/>
    <n v="11"/>
    <s v="c"/>
    <n v="0.2"/>
    <n v="61.292000000000002"/>
    <n v="3.2630685897017558E-3"/>
  </r>
  <r>
    <x v="1"/>
    <n v="12"/>
    <s v="a"/>
    <n v="0.19"/>
    <n v="36.582000000000001"/>
    <n v="5.1938111639604177E-3"/>
  </r>
  <r>
    <x v="1"/>
    <n v="12"/>
    <s v="b"/>
    <n v="0.18"/>
    <n v="36.582000000000001"/>
    <n v="4.9204526816467109E-3"/>
  </r>
  <r>
    <x v="1"/>
    <n v="12"/>
    <s v="c"/>
    <n v="0.19"/>
    <n v="36.582000000000001"/>
    <n v="5.1938111639604177E-3"/>
  </r>
  <r>
    <x v="1"/>
    <n v="13"/>
    <s v="a"/>
    <n v="0.21"/>
    <n v="71.004000000000005"/>
    <n v="2.9575798546560752E-3"/>
  </r>
  <r>
    <x v="1"/>
    <n v="13"/>
    <s v="b"/>
    <n v="0.22"/>
    <n v="71.004000000000005"/>
    <n v="3.098416990592079E-3"/>
  </r>
  <r>
    <x v="1"/>
    <n v="13"/>
    <s v="c"/>
    <n v="0.21"/>
    <n v="71.004000000000005"/>
    <n v="2.9575798546560752E-3"/>
  </r>
  <r>
    <x v="1"/>
    <n v="14"/>
    <s v="a"/>
    <n v="0.19"/>
    <n v="76.355000000000004"/>
    <n v="2.4883766616462574E-3"/>
  </r>
  <r>
    <x v="1"/>
    <n v="14"/>
    <s v="b"/>
    <n v="0.18"/>
    <n v="76.355000000000004"/>
    <n v="2.3574094689280331E-3"/>
  </r>
  <r>
    <x v="1"/>
    <n v="14"/>
    <s v="c"/>
    <n v="0.18"/>
    <n v="76.355000000000004"/>
    <n v="2.3574094689280331E-3"/>
  </r>
  <r>
    <x v="1"/>
    <n v="15"/>
    <s v="a"/>
    <n v="0.17"/>
    <n v="54.436"/>
    <n v="3.1229333529282097E-3"/>
  </r>
  <r>
    <x v="1"/>
    <n v="15"/>
    <s v="b"/>
    <n v="0.15"/>
    <n v="54.436"/>
    <n v="2.7555294290543021E-3"/>
  </r>
  <r>
    <x v="1"/>
    <n v="15"/>
    <s v="c"/>
    <n v="0.17"/>
    <n v="54.436"/>
    <n v="3.1229333529282097E-3"/>
  </r>
  <r>
    <x v="1"/>
    <n v="16"/>
    <s v="a"/>
    <n v="0.2"/>
    <n v="54.962000000000003"/>
    <n v="3.6388777700957025E-3"/>
  </r>
  <r>
    <x v="1"/>
    <n v="16"/>
    <s v="b"/>
    <n v="0.21"/>
    <n v="54.962000000000003"/>
    <n v="3.8208216586004874E-3"/>
  </r>
  <r>
    <x v="1"/>
    <n v="16"/>
    <s v="c"/>
    <n v="0.21"/>
    <n v="54.962000000000003"/>
    <n v="3.8208216586004874E-3"/>
  </r>
  <r>
    <x v="1"/>
    <n v="17"/>
    <s v="a"/>
    <n v="0.17"/>
    <n v="65.072999999999993"/>
    <n v="2.6124506323667272E-3"/>
  </r>
  <r>
    <x v="1"/>
    <n v="17"/>
    <s v="b"/>
    <n v="0.17"/>
    <n v="65.072999999999993"/>
    <n v="2.6124506323667272E-3"/>
  </r>
  <r>
    <x v="1"/>
    <n v="17"/>
    <s v="c"/>
    <n v="0.19"/>
    <n v="65.072999999999993"/>
    <n v="2.9197977655863417E-3"/>
  </r>
  <r>
    <x v="1"/>
    <n v="18"/>
    <s v="a"/>
    <n v="0.22"/>
    <n v="55.655000000000001"/>
    <n v="3.9529242655646389E-3"/>
  </r>
  <r>
    <x v="1"/>
    <n v="18"/>
    <s v="b"/>
    <n v="0.2"/>
    <n v="55.655000000000001"/>
    <n v="3.5935675141496723E-3"/>
  </r>
  <r>
    <x v="1"/>
    <n v="18"/>
    <s v="c"/>
    <n v="0.2"/>
    <n v="55.655000000000001"/>
    <n v="3.5935675141496723E-3"/>
  </r>
  <r>
    <x v="1"/>
    <n v="19"/>
    <s v="a"/>
    <n v="0.2"/>
    <n v="54.777000000000001"/>
    <n v="3.6511674607955895E-3"/>
  </r>
  <r>
    <x v="1"/>
    <n v="19"/>
    <s v="b"/>
    <n v="0.21"/>
    <n v="54.777000000000001"/>
    <n v="3.8337258338353684E-3"/>
  </r>
  <r>
    <x v="1"/>
    <n v="19"/>
    <s v="c"/>
    <n v="0.17"/>
    <n v="54.777000000000001"/>
    <n v="3.1034923416762513E-3"/>
  </r>
  <r>
    <x v="1"/>
    <n v="20"/>
    <s v="a"/>
    <n v="0.15"/>
    <n v="20.18"/>
    <n v="7.4331020812685826E-3"/>
  </r>
  <r>
    <x v="1"/>
    <n v="20"/>
    <s v="b"/>
    <n v="0.13"/>
    <n v="20.18"/>
    <n v="6.4420218037661058E-3"/>
  </r>
  <r>
    <x v="1"/>
    <n v="20"/>
    <s v="c"/>
    <n v="0.12"/>
    <n v="20.18"/>
    <n v="5.9464816650148661E-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n v="1"/>
    <s v="a"/>
    <n v="0.14000000000000001"/>
    <n v="22.788"/>
    <n v="6.1435843426364762E-3"/>
    <n v="0.12809999999999999"/>
    <x v="0"/>
  </r>
  <r>
    <x v="0"/>
    <n v="1"/>
    <s v="b"/>
    <n v="0.16"/>
    <n v="22.788"/>
    <n v="7.0212392487274001E-3"/>
    <n v="0.12809999999999999"/>
    <x v="0"/>
  </r>
  <r>
    <x v="0"/>
    <n v="1"/>
    <s v="c"/>
    <n v="0.16"/>
    <n v="22.788"/>
    <n v="7.0212392487274001E-3"/>
    <n v="0.12809999999999999"/>
    <x v="0"/>
  </r>
  <r>
    <x v="0"/>
    <n v="2"/>
    <s v="a"/>
    <n v="0.11"/>
    <n v="46.868000000000002"/>
    <n v="2.3470171545617478E-3"/>
    <n v="0.21840000000000001"/>
    <x v="1"/>
  </r>
  <r>
    <x v="0"/>
    <n v="2"/>
    <s v="b"/>
    <n v="0.14000000000000001"/>
    <n v="46.868000000000002"/>
    <n v="2.9871127421694974E-3"/>
    <n v="0.21840000000000001"/>
    <x v="1"/>
  </r>
  <r>
    <x v="0"/>
    <n v="2"/>
    <s v="c"/>
    <n v="0.11"/>
    <n v="46.868000000000002"/>
    <n v="2.3470171545617478E-3"/>
    <n v="0.21840000000000001"/>
    <x v="1"/>
  </r>
  <r>
    <x v="0"/>
    <n v="3"/>
    <s v="a"/>
    <n v="0.12"/>
    <n v="27.675000000000001"/>
    <n v="4.3360433604336043E-3"/>
    <n v="0.12859999999999999"/>
    <x v="2"/>
  </r>
  <r>
    <x v="0"/>
    <n v="3"/>
    <s v="b"/>
    <n v="0.1"/>
    <n v="27.675000000000001"/>
    <n v="3.6133694670280039E-3"/>
    <n v="0.12859999999999999"/>
    <x v="2"/>
  </r>
  <r>
    <x v="0"/>
    <n v="3"/>
    <s v="c"/>
    <n v="0.1"/>
    <n v="27.675000000000001"/>
    <n v="3.6133694670280039E-3"/>
    <n v="0.12859999999999999"/>
    <x v="2"/>
  </r>
  <r>
    <x v="0"/>
    <n v="4"/>
    <s v="a"/>
    <n v="0.15"/>
    <n v="27.274000000000001"/>
    <n v="5.4997433453105515E-3"/>
    <n v="0.14399999999999999"/>
    <x v="3"/>
  </r>
  <r>
    <x v="0"/>
    <n v="4"/>
    <s v="b"/>
    <n v="0.14000000000000001"/>
    <n v="27.274000000000001"/>
    <n v="5.1330937889565156E-3"/>
    <n v="0.14399999999999999"/>
    <x v="3"/>
  </r>
  <r>
    <x v="0"/>
    <n v="4"/>
    <s v="c"/>
    <n v="0.15"/>
    <n v="27.274000000000001"/>
    <n v="5.4997433453105515E-3"/>
    <n v="0.14399999999999999"/>
    <x v="3"/>
  </r>
  <r>
    <x v="0"/>
    <n v="5"/>
    <s v="a"/>
    <n v="0.15"/>
    <n v="33.691000000000003"/>
    <n v="4.4522275978748031E-3"/>
    <n v="0.17249999999999999"/>
    <x v="4"/>
  </r>
  <r>
    <x v="0"/>
    <n v="5"/>
    <s v="b"/>
    <n v="0.13"/>
    <n v="33.691000000000003"/>
    <n v="3.8585972514914961E-3"/>
    <n v="0.17249999999999999"/>
    <x v="4"/>
  </r>
  <r>
    <x v="0"/>
    <n v="5"/>
    <s v="c"/>
    <n v="0.12"/>
    <n v="33.691000000000003"/>
    <n v="3.5617820782998422E-3"/>
    <n v="0.17249999999999999"/>
    <x v="4"/>
  </r>
  <r>
    <x v="0"/>
    <n v="6"/>
    <s v="a"/>
    <n v="0.12"/>
    <n v="18.542999999999999"/>
    <n v="6.4714447500404462E-3"/>
    <n v="8.7499999999999994E-2"/>
    <x v="5"/>
  </r>
  <r>
    <x v="0"/>
    <n v="6"/>
    <s v="b"/>
    <n v="0.13"/>
    <n v="18.542999999999999"/>
    <n v="7.0107318125438179E-3"/>
    <n v="8.7499999999999994E-2"/>
    <x v="5"/>
  </r>
  <r>
    <x v="0"/>
    <n v="6"/>
    <s v="c"/>
    <n v="0.13"/>
    <n v="18.542999999999999"/>
    <n v="7.0107318125438179E-3"/>
    <n v="8.7499999999999994E-2"/>
    <x v="5"/>
  </r>
  <r>
    <x v="0"/>
    <n v="7"/>
    <s v="a"/>
    <n v="0.11"/>
    <n v="25.669"/>
    <n v="4.2853247107405819E-3"/>
    <n v="0.15390000000000001"/>
    <x v="6"/>
  </r>
  <r>
    <x v="0"/>
    <n v="7"/>
    <s v="b"/>
    <n v="0.13"/>
    <n v="25.669"/>
    <n v="5.0644746581479608E-3"/>
    <n v="0.15390000000000001"/>
    <x v="6"/>
  </r>
  <r>
    <x v="0"/>
    <n v="7"/>
    <s v="c"/>
    <n v="0.12"/>
    <n v="25.669"/>
    <n v="4.6748996844442709E-3"/>
    <n v="0.15390000000000001"/>
    <x v="6"/>
  </r>
  <r>
    <x v="0"/>
    <n v="8"/>
    <s v="a"/>
    <n v="0.15"/>
    <n v="32.948"/>
    <n v="4.552628384120432E-3"/>
    <n v="0.21049999999999999"/>
    <x v="7"/>
  </r>
  <r>
    <x v="0"/>
    <n v="8"/>
    <s v="b"/>
    <n v="0.16"/>
    <n v="32.948"/>
    <n v="4.8561369430617941E-3"/>
    <n v="0.21049999999999999"/>
    <x v="7"/>
  </r>
  <r>
    <x v="0"/>
    <n v="8"/>
    <s v="c"/>
    <n v="0.16"/>
    <n v="32.948"/>
    <n v="4.8561369430617941E-3"/>
    <n v="0.21049999999999999"/>
    <x v="7"/>
  </r>
  <r>
    <x v="0"/>
    <n v="9"/>
    <s v="a"/>
    <n v="0.16"/>
    <n v="42.487000000000002"/>
    <n v="3.7658577917951373E-3"/>
    <n v="0.20580000000000001"/>
    <x v="8"/>
  </r>
  <r>
    <x v="0"/>
    <n v="9"/>
    <s v="b"/>
    <n v="0.15"/>
    <n v="42.487000000000002"/>
    <n v="3.530491679807941E-3"/>
    <n v="0.20580000000000001"/>
    <x v="8"/>
  </r>
  <r>
    <x v="0"/>
    <n v="9"/>
    <s v="c"/>
    <n v="0.17"/>
    <n v="42.487000000000002"/>
    <n v="4.0012239037823336E-3"/>
    <n v="0.20580000000000001"/>
    <x v="8"/>
  </r>
  <r>
    <x v="0"/>
    <n v="10"/>
    <s v="a"/>
    <n v="0.11"/>
    <n v="13.273"/>
    <n v="8.2875009417614706E-3"/>
    <n v="5.7599999999999998E-2"/>
    <x v="9"/>
  </r>
  <r>
    <x v="0"/>
    <n v="10"/>
    <s v="b"/>
    <n v="0.11"/>
    <n v="13.273"/>
    <n v="8.2875009417614706E-3"/>
    <n v="5.7599999999999998E-2"/>
    <x v="9"/>
  </r>
  <r>
    <x v="0"/>
    <n v="10"/>
    <s v="c"/>
    <n v="0.11"/>
    <n v="13.273"/>
    <n v="8.2875009417614706E-3"/>
    <n v="5.7599999999999998E-2"/>
    <x v="9"/>
  </r>
  <r>
    <x v="0"/>
    <n v="11"/>
    <s v="a"/>
    <n v="0.13"/>
    <n v="28.146999999999998"/>
    <n v="4.6186094432799233E-3"/>
    <n v="0.15229999999999999"/>
    <x v="10"/>
  </r>
  <r>
    <x v="0"/>
    <n v="11"/>
    <s v="b"/>
    <n v="0.11"/>
    <n v="28.146999999999998"/>
    <n v="3.9080541443137816E-3"/>
    <n v="0.15229999999999999"/>
    <x v="10"/>
  </r>
  <r>
    <x v="0"/>
    <n v="11"/>
    <s v="c"/>
    <n v="0.11"/>
    <n v="28.146999999999998"/>
    <n v="3.9080541443137816E-3"/>
    <n v="0.15229999999999999"/>
    <x v="10"/>
  </r>
  <r>
    <x v="0"/>
    <n v="12"/>
    <s v="a"/>
    <n v="0.12"/>
    <n v="25.945"/>
    <n v="4.6251686259394876E-3"/>
    <n v="0.15659999999999999"/>
    <x v="11"/>
  </r>
  <r>
    <x v="0"/>
    <n v="12"/>
    <s v="b"/>
    <n v="0.12"/>
    <n v="25.945"/>
    <n v="4.6251686259394876E-3"/>
    <n v="0.15659999999999999"/>
    <x v="11"/>
  </r>
  <r>
    <x v="0"/>
    <n v="12"/>
    <s v="c"/>
    <n v="0.12"/>
    <n v="25.945"/>
    <n v="4.6251686259394876E-3"/>
    <n v="0.15659999999999999"/>
    <x v="11"/>
  </r>
  <r>
    <x v="0"/>
    <n v="13"/>
    <s v="a"/>
    <n v="0.11"/>
    <n v="26.53"/>
    <n v="4.1462495288352805E-3"/>
    <n v="0.1147"/>
    <x v="12"/>
  </r>
  <r>
    <x v="0"/>
    <n v="13"/>
    <s v="b"/>
    <n v="0.12"/>
    <n v="26.53"/>
    <n v="4.5231813041839422E-3"/>
    <n v="0.1147"/>
    <x v="12"/>
  </r>
  <r>
    <x v="0"/>
    <n v="13"/>
    <s v="c"/>
    <n v="0.11"/>
    <n v="26.53"/>
    <n v="4.1462495288352805E-3"/>
    <n v="0.1147"/>
    <x v="12"/>
  </r>
  <r>
    <x v="0"/>
    <n v="14"/>
    <s v="a"/>
    <n v="0.13"/>
    <n v="37.048000000000002"/>
    <n v="3.5089613474411576E-3"/>
    <n v="0.1993"/>
    <x v="13"/>
  </r>
  <r>
    <x v="0"/>
    <n v="14"/>
    <s v="b"/>
    <n v="0.11"/>
    <n v="37.048000000000002"/>
    <n v="2.9691211401425177E-3"/>
    <n v="0.1993"/>
    <x v="13"/>
  </r>
  <r>
    <x v="0"/>
    <n v="14"/>
    <s v="c"/>
    <n v="0.11"/>
    <n v="37.048000000000002"/>
    <n v="2.9691211401425177E-3"/>
    <n v="0.1993"/>
    <x v="13"/>
  </r>
  <r>
    <x v="0"/>
    <n v="15"/>
    <s v="a"/>
    <n v="0.15"/>
    <n v="12.254"/>
    <n v="1.224090093030847E-2"/>
    <n v="6.8400000000000002E-2"/>
    <x v="14"/>
  </r>
  <r>
    <x v="0"/>
    <n v="15"/>
    <s v="b"/>
    <n v="0.14000000000000001"/>
    <n v="12.254"/>
    <n v="1.1424840868287907E-2"/>
    <n v="6.8400000000000002E-2"/>
    <x v="14"/>
  </r>
  <r>
    <x v="0"/>
    <n v="15"/>
    <s v="c"/>
    <n v="0.14000000000000001"/>
    <n v="12.254"/>
    <n v="1.1424840868287907E-2"/>
    <n v="6.8400000000000002E-2"/>
    <x v="14"/>
  </r>
  <r>
    <x v="0"/>
    <n v="16"/>
    <s v="a"/>
    <n v="0.11"/>
    <n v="24.9"/>
    <n v="4.4176706827309242E-3"/>
    <n v="0.12620000000000001"/>
    <x v="15"/>
  </r>
  <r>
    <x v="0"/>
    <n v="16"/>
    <s v="b"/>
    <n v="0.11"/>
    <n v="24.9"/>
    <n v="4.4176706827309242E-3"/>
    <n v="0.12620000000000001"/>
    <x v="15"/>
  </r>
  <r>
    <x v="0"/>
    <n v="16"/>
    <s v="c"/>
    <n v="0.11"/>
    <n v="24.9"/>
    <n v="4.4176706827309242E-3"/>
    <n v="0.12620000000000001"/>
    <x v="15"/>
  </r>
  <r>
    <x v="0"/>
    <n v="17"/>
    <s v="a"/>
    <n v="0.13"/>
    <n v="22.413"/>
    <n v="5.8002052380315E-3"/>
    <n v="0.1062"/>
    <x v="16"/>
  </r>
  <r>
    <x v="0"/>
    <n v="17"/>
    <s v="b"/>
    <n v="0.12"/>
    <n v="22.413"/>
    <n v="5.3540356043367682E-3"/>
    <n v="0.1062"/>
    <x v="16"/>
  </r>
  <r>
    <x v="0"/>
    <n v="17"/>
    <s v="c"/>
    <n v="0.15"/>
    <n v="22.413"/>
    <n v="6.6925445054209611E-3"/>
    <n v="0.1062"/>
    <x v="16"/>
  </r>
  <r>
    <x v="0"/>
    <n v="18"/>
    <s v="a"/>
    <n v="0.11"/>
    <n v="41.665999999999997"/>
    <n v="2.6400422406758512E-3"/>
    <n v="0.2382"/>
    <x v="17"/>
  </r>
  <r>
    <x v="0"/>
    <n v="18"/>
    <s v="b"/>
    <n v="0.12"/>
    <n v="41.665999999999997"/>
    <n v="2.8800460807372921E-3"/>
    <n v="0.2382"/>
    <x v="17"/>
  </r>
  <r>
    <x v="0"/>
    <n v="18"/>
    <s v="c"/>
    <n v="0.13"/>
    <n v="41.665999999999997"/>
    <n v="3.120049920798733E-3"/>
    <n v="0.2382"/>
    <x v="17"/>
  </r>
  <r>
    <x v="0"/>
    <n v="19"/>
    <s v="a"/>
    <n v="0.1"/>
    <n v="34.816000000000003"/>
    <n v="2.8722426470588233E-3"/>
    <n v="0.20100000000000001"/>
    <x v="18"/>
  </r>
  <r>
    <x v="0"/>
    <n v="19"/>
    <s v="b"/>
    <n v="0.13"/>
    <n v="34.816000000000003"/>
    <n v="3.7339154411764703E-3"/>
    <n v="0.20100000000000001"/>
    <x v="18"/>
  </r>
  <r>
    <x v="0"/>
    <n v="19"/>
    <s v="c"/>
    <n v="0.14000000000000001"/>
    <n v="34.816000000000003"/>
    <n v="4.0211397058823534E-3"/>
    <n v="0.20100000000000001"/>
    <x v="18"/>
  </r>
  <r>
    <x v="0"/>
    <n v="20"/>
    <s v="a"/>
    <n v="0.15"/>
    <n v="67.183999999999997"/>
    <n v="2.2326744462967374E-3"/>
    <n v="0.59040000000000004"/>
    <x v="19"/>
  </r>
  <r>
    <x v="0"/>
    <n v="20"/>
    <s v="b"/>
    <n v="0.19"/>
    <n v="67.183999999999997"/>
    <n v="2.8280542986425339E-3"/>
    <n v="0.59040000000000004"/>
    <x v="19"/>
  </r>
  <r>
    <x v="0"/>
    <n v="20"/>
    <s v="c"/>
    <n v="0.18"/>
    <n v="67.183999999999997"/>
    <n v="2.6792093355560848E-3"/>
    <n v="0.59040000000000004"/>
    <x v="19"/>
  </r>
  <r>
    <x v="1"/>
    <n v="1"/>
    <s v="a"/>
    <n v="0.19"/>
    <n v="45.3"/>
    <n v="4.1942604856512146E-3"/>
    <n v="0.31840000000000002"/>
    <x v="20"/>
  </r>
  <r>
    <x v="1"/>
    <n v="1"/>
    <s v="b"/>
    <n v="0.21"/>
    <n v="45.3"/>
    <n v="4.6357615894039739E-3"/>
    <n v="0.31840000000000002"/>
    <x v="20"/>
  </r>
  <r>
    <x v="1"/>
    <n v="1"/>
    <s v="c"/>
    <n v="0.19"/>
    <n v="45.3"/>
    <n v="4.1942604856512146E-3"/>
    <n v="0.31840000000000002"/>
    <x v="20"/>
  </r>
  <r>
    <x v="1"/>
    <n v="2"/>
    <s v="a"/>
    <n v="0.13"/>
    <n v="37.798000000000002"/>
    <n v="3.4393354145721994E-3"/>
    <n v="0.2777"/>
    <x v="21"/>
  </r>
  <r>
    <x v="1"/>
    <n v="2"/>
    <s v="b"/>
    <n v="0.14000000000000001"/>
    <n v="37.798000000000002"/>
    <n v="3.7038996772315999E-3"/>
    <n v="0.2777"/>
    <x v="21"/>
  </r>
  <r>
    <x v="1"/>
    <n v="2"/>
    <s v="c"/>
    <n v="0.12"/>
    <n v="37.798000000000002"/>
    <n v="3.1747711519127995E-3"/>
    <n v="0.2777"/>
    <x v="21"/>
  </r>
  <r>
    <x v="1"/>
    <n v="3"/>
    <s v="a"/>
    <n v="0.2"/>
    <n v="45.378999999999998"/>
    <n v="4.4073249741069659E-3"/>
    <n v="0.4108"/>
    <x v="22"/>
  </r>
  <r>
    <x v="1"/>
    <n v="3"/>
    <s v="b"/>
    <n v="0.21"/>
    <n v="45.378999999999998"/>
    <n v="4.6276912228123144E-3"/>
    <n v="0.4108"/>
    <x v="22"/>
  </r>
  <r>
    <x v="1"/>
    <n v="3"/>
    <s v="c"/>
    <n v="0.19"/>
    <n v="45.378999999999998"/>
    <n v="4.1869587254016174E-3"/>
    <n v="0.4108"/>
    <x v="22"/>
  </r>
  <r>
    <x v="1"/>
    <n v="4"/>
    <s v="a"/>
    <n v="0.21"/>
    <n v="18.8"/>
    <n v="1.1170212765957446E-2"/>
    <n v="0.13059999999999999"/>
    <x v="23"/>
  </r>
  <r>
    <x v="1"/>
    <n v="4"/>
    <s v="b"/>
    <n v="0.18"/>
    <n v="18.8"/>
    <n v="9.5744680851063829E-3"/>
    <n v="0.13059999999999999"/>
    <x v="23"/>
  </r>
  <r>
    <x v="1"/>
    <n v="4"/>
    <s v="c"/>
    <n v="0.19"/>
    <n v="18.8"/>
    <n v="1.0106382978723403E-2"/>
    <n v="0.13059999999999999"/>
    <x v="23"/>
  </r>
  <r>
    <x v="1"/>
    <n v="5"/>
    <s v="a"/>
    <n v="0.21"/>
    <n v="42.576999999999998"/>
    <n v="4.9322404114897711E-3"/>
    <n v="0.29070000000000001"/>
    <x v="24"/>
  </r>
  <r>
    <x v="1"/>
    <n v="5"/>
    <s v="b"/>
    <n v="0.17"/>
    <n v="42.576999999999998"/>
    <n v="3.9927660473964817E-3"/>
    <n v="0.29070000000000001"/>
    <x v="24"/>
  </r>
  <r>
    <x v="1"/>
    <n v="5"/>
    <s v="c"/>
    <n v="0.18"/>
    <n v="42.576999999999998"/>
    <n v="4.2276346384198041E-3"/>
    <n v="0.29070000000000001"/>
    <x v="24"/>
  </r>
  <r>
    <x v="1"/>
    <n v="6"/>
    <s v="a"/>
    <n v="0.12"/>
    <n v="45.628"/>
    <n v="2.6299640571578855E-3"/>
    <n v="0.27429999999999999"/>
    <x v="25"/>
  </r>
  <r>
    <x v="1"/>
    <n v="6"/>
    <s v="b"/>
    <n v="0.17"/>
    <n v="45.628"/>
    <n v="3.7257824143070049E-3"/>
    <n v="0.27429999999999999"/>
    <x v="25"/>
  </r>
  <r>
    <x v="1"/>
    <n v="6"/>
    <s v="c"/>
    <n v="0.16"/>
    <n v="45.628"/>
    <n v="3.5066187428771808E-3"/>
    <n v="0.27429999999999999"/>
    <x v="25"/>
  </r>
  <r>
    <x v="1"/>
    <n v="7"/>
    <s v="a"/>
    <n v="0.2"/>
    <n v="51.103000000000002"/>
    <n v="3.9136645598105788E-3"/>
    <n v="0.40710000000000002"/>
    <x v="26"/>
  </r>
  <r>
    <x v="1"/>
    <n v="7"/>
    <s v="b"/>
    <n v="0.16"/>
    <n v="51.103000000000002"/>
    <n v="3.1309316478484628E-3"/>
    <n v="0.40710000000000002"/>
    <x v="26"/>
  </r>
  <r>
    <x v="1"/>
    <n v="7"/>
    <s v="c"/>
    <n v="0.18"/>
    <n v="51.103000000000002"/>
    <n v="3.5222981038295206E-3"/>
    <n v="0.40710000000000002"/>
    <x v="26"/>
  </r>
  <r>
    <x v="1"/>
    <n v="8"/>
    <s v="a"/>
    <n v="0.22"/>
    <n v="74.81"/>
    <n v="2.9407833177382704E-3"/>
    <n v="0.55120000000000002"/>
    <x v="27"/>
  </r>
  <r>
    <x v="1"/>
    <n v="8"/>
    <s v="b"/>
    <n v="0.19"/>
    <n v="74.81"/>
    <n v="2.5397674107739605E-3"/>
    <n v="0.55120000000000002"/>
    <x v="27"/>
  </r>
  <r>
    <x v="1"/>
    <n v="8"/>
    <s v="c"/>
    <n v="0.2"/>
    <n v="74.81"/>
    <n v="2.6734393797620639E-3"/>
    <n v="0.55120000000000002"/>
    <x v="27"/>
  </r>
  <r>
    <x v="1"/>
    <n v="9"/>
    <s v="a"/>
    <n v="0.2"/>
    <n v="32.866999999999997"/>
    <n v="6.0851309824443978E-3"/>
    <n v="0.20979999999999999"/>
    <x v="28"/>
  </r>
  <r>
    <x v="1"/>
    <n v="9"/>
    <s v="b"/>
    <n v="0.18"/>
    <n v="32.866999999999997"/>
    <n v="5.4766178841999576E-3"/>
    <n v="0.20979999999999999"/>
    <x v="28"/>
  </r>
  <r>
    <x v="1"/>
    <n v="9"/>
    <s v="c"/>
    <n v="0.19"/>
    <n v="32.866999999999997"/>
    <n v="5.7808744333221777E-3"/>
    <n v="0.20979999999999999"/>
    <x v="28"/>
  </r>
  <r>
    <x v="1"/>
    <n v="10"/>
    <s v="a"/>
    <n v="0.21"/>
    <n v="20.535"/>
    <n v="1.022644265887509E-2"/>
    <n v="0.1525"/>
    <x v="29"/>
  </r>
  <r>
    <x v="1"/>
    <n v="10"/>
    <s v="b"/>
    <n v="0.16"/>
    <n v="20.535"/>
    <n v="7.7915753591429266E-3"/>
    <n v="0.1525"/>
    <x v="29"/>
  </r>
  <r>
    <x v="1"/>
    <n v="10"/>
    <s v="c"/>
    <n v="0.18"/>
    <n v="20.535"/>
    <n v="8.7655222790357923E-3"/>
    <n v="0.1525"/>
    <x v="29"/>
  </r>
  <r>
    <x v="1"/>
    <n v="11"/>
    <s v="a"/>
    <n v="0.21"/>
    <n v="61.292000000000002"/>
    <n v="3.4262220191868431E-3"/>
    <n v="0.52459999999999996"/>
    <x v="30"/>
  </r>
  <r>
    <x v="1"/>
    <n v="11"/>
    <s v="b"/>
    <n v="0.19"/>
    <n v="61.292000000000002"/>
    <n v="3.0999151602166676E-3"/>
    <n v="0.52459999999999996"/>
    <x v="30"/>
  </r>
  <r>
    <x v="1"/>
    <n v="11"/>
    <s v="c"/>
    <n v="0.2"/>
    <n v="61.292000000000002"/>
    <n v="3.2630685897017558E-3"/>
    <n v="0.52459999999999996"/>
    <x v="30"/>
  </r>
  <r>
    <x v="1"/>
    <n v="12"/>
    <s v="a"/>
    <n v="0.19"/>
    <n v="36.582000000000001"/>
    <n v="5.1938111639604177E-3"/>
    <n v="0.29360000000000003"/>
    <x v="31"/>
  </r>
  <r>
    <x v="1"/>
    <n v="12"/>
    <s v="b"/>
    <n v="0.18"/>
    <n v="36.582000000000001"/>
    <n v="4.9204526816467109E-3"/>
    <n v="0.29360000000000003"/>
    <x v="31"/>
  </r>
  <r>
    <x v="1"/>
    <n v="12"/>
    <s v="c"/>
    <n v="0.19"/>
    <n v="36.582000000000001"/>
    <n v="5.1938111639604177E-3"/>
    <n v="0.29360000000000003"/>
    <x v="31"/>
  </r>
  <r>
    <x v="1"/>
    <n v="13"/>
    <s v="a"/>
    <n v="0.21"/>
    <n v="71.004000000000005"/>
    <n v="2.9575798546560752E-3"/>
    <n v="0.50680000000000003"/>
    <x v="32"/>
  </r>
  <r>
    <x v="1"/>
    <n v="13"/>
    <s v="b"/>
    <n v="0.22"/>
    <n v="71.004000000000005"/>
    <n v="3.098416990592079E-3"/>
    <n v="0.50680000000000003"/>
    <x v="32"/>
  </r>
  <r>
    <x v="1"/>
    <n v="13"/>
    <s v="c"/>
    <n v="0.21"/>
    <n v="71.004000000000005"/>
    <n v="2.9575798546560752E-3"/>
    <n v="0.50680000000000003"/>
    <x v="32"/>
  </r>
  <r>
    <x v="1"/>
    <n v="14"/>
    <s v="a"/>
    <n v="0.19"/>
    <n v="76.355000000000004"/>
    <n v="2.4883766616462574E-3"/>
    <n v="0.47939999999999999"/>
    <x v="33"/>
  </r>
  <r>
    <x v="1"/>
    <n v="14"/>
    <s v="b"/>
    <n v="0.18"/>
    <n v="76.355000000000004"/>
    <n v="2.3574094689280331E-3"/>
    <n v="0.47939999999999999"/>
    <x v="33"/>
  </r>
  <r>
    <x v="1"/>
    <n v="14"/>
    <s v="c"/>
    <n v="0.18"/>
    <n v="76.355000000000004"/>
    <n v="2.3574094689280331E-3"/>
    <n v="0.47939999999999999"/>
    <x v="33"/>
  </r>
  <r>
    <x v="1"/>
    <n v="15"/>
    <s v="a"/>
    <n v="0.17"/>
    <n v="54.436"/>
    <n v="3.1229333529282097E-3"/>
    <n v="0.36220000000000002"/>
    <x v="34"/>
  </r>
  <r>
    <x v="1"/>
    <n v="15"/>
    <s v="b"/>
    <n v="0.15"/>
    <n v="54.436"/>
    <n v="2.7555294290543021E-3"/>
    <n v="0.36220000000000002"/>
    <x v="34"/>
  </r>
  <r>
    <x v="1"/>
    <n v="15"/>
    <s v="c"/>
    <n v="0.17"/>
    <n v="54.436"/>
    <n v="3.1229333529282097E-3"/>
    <n v="0.36220000000000002"/>
    <x v="34"/>
  </r>
  <r>
    <x v="1"/>
    <n v="16"/>
    <s v="a"/>
    <n v="0.2"/>
    <n v="54.962000000000003"/>
    <n v="3.6388777700957025E-3"/>
    <n v="0.48880000000000001"/>
    <x v="35"/>
  </r>
  <r>
    <x v="1"/>
    <n v="16"/>
    <s v="b"/>
    <n v="0.21"/>
    <n v="54.962000000000003"/>
    <n v="3.8208216586004874E-3"/>
    <n v="0.48880000000000001"/>
    <x v="35"/>
  </r>
  <r>
    <x v="1"/>
    <n v="16"/>
    <s v="c"/>
    <n v="0.21"/>
    <n v="54.962000000000003"/>
    <n v="3.8208216586004874E-3"/>
    <n v="0.48880000000000001"/>
    <x v="35"/>
  </r>
  <r>
    <x v="1"/>
    <n v="17"/>
    <s v="a"/>
    <n v="0.17"/>
    <n v="65.072999999999993"/>
    <n v="2.6124506323667272E-3"/>
    <n v="0.6038"/>
    <x v="36"/>
  </r>
  <r>
    <x v="1"/>
    <n v="17"/>
    <s v="b"/>
    <n v="0.17"/>
    <n v="65.072999999999993"/>
    <n v="2.6124506323667272E-3"/>
    <n v="0.6038"/>
    <x v="36"/>
  </r>
  <r>
    <x v="1"/>
    <n v="17"/>
    <s v="c"/>
    <n v="0.19"/>
    <n v="65.072999999999993"/>
    <n v="2.9197977655863417E-3"/>
    <n v="0.6038"/>
    <x v="36"/>
  </r>
  <r>
    <x v="1"/>
    <n v="18"/>
    <s v="a"/>
    <n v="0.22"/>
    <n v="55.655000000000001"/>
    <n v="3.9529242655646389E-3"/>
    <n v="0.46179999999999999"/>
    <x v="37"/>
  </r>
  <r>
    <x v="1"/>
    <n v="18"/>
    <s v="b"/>
    <n v="0.2"/>
    <n v="55.655000000000001"/>
    <n v="3.5935675141496723E-3"/>
    <n v="0.46179999999999999"/>
    <x v="37"/>
  </r>
  <r>
    <x v="1"/>
    <n v="18"/>
    <s v="c"/>
    <n v="0.2"/>
    <n v="55.655000000000001"/>
    <n v="3.5935675141496723E-3"/>
    <n v="0.46179999999999999"/>
    <x v="37"/>
  </r>
  <r>
    <x v="1"/>
    <n v="19"/>
    <s v="a"/>
    <n v="0.2"/>
    <n v="54.777000000000001"/>
    <n v="3.6511674607955895E-3"/>
    <n v="0.36080000000000001"/>
    <x v="38"/>
  </r>
  <r>
    <x v="1"/>
    <n v="19"/>
    <s v="b"/>
    <n v="0.21"/>
    <n v="54.777000000000001"/>
    <n v="3.8337258338353684E-3"/>
    <n v="0.36080000000000001"/>
    <x v="38"/>
  </r>
  <r>
    <x v="1"/>
    <n v="19"/>
    <s v="c"/>
    <n v="0.17"/>
    <n v="54.777000000000001"/>
    <n v="3.1034923416762513E-3"/>
    <n v="0.36080000000000001"/>
    <x v="38"/>
  </r>
  <r>
    <x v="1"/>
    <n v="20"/>
    <s v="a"/>
    <n v="0.15"/>
    <n v="20.18"/>
    <n v="7.4331020812685826E-3"/>
    <n v="0.14449999999999999"/>
    <x v="39"/>
  </r>
  <r>
    <x v="1"/>
    <n v="20"/>
    <s v="b"/>
    <n v="0.13"/>
    <n v="20.18"/>
    <n v="6.4420218037661058E-3"/>
    <n v="0.14449999999999999"/>
    <x v="39"/>
  </r>
  <r>
    <x v="1"/>
    <n v="20"/>
    <s v="c"/>
    <n v="0.12"/>
    <n v="20.18"/>
    <n v="5.9464816650148661E-3"/>
    <n v="0.14449999999999999"/>
    <x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60826B-7585-46AB-91BB-6037D8A58BD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6" firstHeaderRow="0" firstDataRow="1" firstDataCol="1"/>
  <pivotFields count="6"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dataField="1"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Thickness(mm)" fld="3" subtotal="average" baseField="0" baseItem="0"/>
    <dataField name="StdDev of Thickness(mm)2" fld="3" subtotal="stdDev" baseField="0" baseItem="0"/>
    <dataField name="Average of SA(cm^2)" fld="4" subtotal="average" baseField="0" baseItem="0"/>
    <dataField name="StdDev of SA(cm^2)2" fld="4" subtotal="stdDev" baseField="0" baseItem="0"/>
    <dataField name="Average of Thick/SA" fld="5" subtotal="average" baseField="0" baseItem="0"/>
    <dataField name="StdDev of Thick/SA2" fld="5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D06DAB-D90C-495D-A32A-FFA1C2E8714F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6" firstHeaderRow="0" firstDataRow="1" firstDataCol="1"/>
  <pivotFields count="8"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dataField="1" showAll="0"/>
    <pivotField showAll="0"/>
    <pivotField dataField="1" showAll="0"/>
    <pivotField showAll="0">
      <items count="41">
        <item x="12"/>
        <item x="9"/>
        <item x="2"/>
        <item x="1"/>
        <item x="5"/>
        <item x="16"/>
        <item x="8"/>
        <item x="15"/>
        <item x="4"/>
        <item x="3"/>
        <item x="13"/>
        <item x="10"/>
        <item x="14"/>
        <item x="0"/>
        <item x="17"/>
        <item x="18"/>
        <item x="6"/>
        <item x="25"/>
        <item x="11"/>
        <item x="33"/>
        <item x="28"/>
        <item x="7"/>
        <item x="38"/>
        <item x="34"/>
        <item x="24"/>
        <item x="23"/>
        <item x="20"/>
        <item x="32"/>
        <item x="39"/>
        <item x="21"/>
        <item x="27"/>
        <item x="29"/>
        <item x="26"/>
        <item x="31"/>
        <item x="37"/>
        <item x="30"/>
        <item x="19"/>
        <item x="35"/>
        <item x="22"/>
        <item x="36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Thickness(mm)" fld="3" subtotal="average" baseField="0" baseItem="1"/>
    <dataField name="Average of SA(cm^2)" fld="4" subtotal="average" baseField="0" baseItem="1"/>
    <dataField name="Average of Weight (g)" fld="6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DD2A5-A91C-472D-9444-1EFCC3BB3589}">
  <dimension ref="A1:I121"/>
  <sheetViews>
    <sheetView tabSelected="1" zoomScale="150" zoomScaleNormal="150" workbookViewId="0">
      <selection activeCell="C4" sqref="C4"/>
    </sheetView>
  </sheetViews>
  <sheetFormatPr defaultRowHeight="14.4" x14ac:dyDescent="0.3"/>
  <cols>
    <col min="1" max="1" width="8.33203125" bestFit="1" customWidth="1"/>
    <col min="2" max="2" width="9.33203125" bestFit="1" customWidth="1"/>
    <col min="3" max="3" width="4.5546875" bestFit="1" customWidth="1"/>
    <col min="4" max="4" width="15.33203125" bestFit="1" customWidth="1"/>
    <col min="5" max="5" width="9.88671875" bestFit="1" customWidth="1"/>
    <col min="6" max="6" width="11" bestFit="1" customWidth="1"/>
    <col min="7" max="7" width="10.5546875" bestFit="1" customWidth="1"/>
    <col min="8" max="8" width="11" bestFit="1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25</v>
      </c>
      <c r="E1" s="1" t="s">
        <v>24</v>
      </c>
      <c r="F1" s="1" t="s">
        <v>3</v>
      </c>
      <c r="G1" s="1" t="s">
        <v>23</v>
      </c>
      <c r="H1" s="1" t="s">
        <v>26</v>
      </c>
    </row>
    <row r="2" spans="1:8" x14ac:dyDescent="0.3">
      <c r="A2" t="s">
        <v>7</v>
      </c>
      <c r="B2">
        <v>1</v>
      </c>
      <c r="C2" t="s">
        <v>4</v>
      </c>
      <c r="D2">
        <v>0.14000000000000001</v>
      </c>
      <c r="E2">
        <v>22.788</v>
      </c>
      <c r="F2">
        <f>D2/E2</f>
        <v>6.1435843426364762E-3</v>
      </c>
      <c r="G2">
        <v>0.12809999999999999</v>
      </c>
      <c r="H2">
        <f>E2/G2</f>
        <v>177.89227166276348</v>
      </c>
    </row>
    <row r="3" spans="1:8" x14ac:dyDescent="0.3">
      <c r="A3" t="s">
        <v>7</v>
      </c>
      <c r="B3">
        <v>1</v>
      </c>
      <c r="C3" t="s">
        <v>5</v>
      </c>
      <c r="D3">
        <v>0.16</v>
      </c>
      <c r="E3">
        <v>22.788</v>
      </c>
      <c r="F3">
        <f t="shared" ref="F3:F61" si="0">D3/E3</f>
        <v>7.0212392487274001E-3</v>
      </c>
      <c r="G3">
        <v>0.12809999999999999</v>
      </c>
      <c r="H3">
        <f t="shared" ref="H3:H66" si="1">E3/G3</f>
        <v>177.89227166276348</v>
      </c>
    </row>
    <row r="4" spans="1:8" x14ac:dyDescent="0.3">
      <c r="A4" t="s">
        <v>7</v>
      </c>
      <c r="B4">
        <v>1</v>
      </c>
      <c r="C4" t="s">
        <v>6</v>
      </c>
      <c r="D4">
        <v>0.16</v>
      </c>
      <c r="E4">
        <v>22.788</v>
      </c>
      <c r="F4">
        <f t="shared" si="0"/>
        <v>7.0212392487274001E-3</v>
      </c>
      <c r="G4">
        <v>0.12809999999999999</v>
      </c>
      <c r="H4">
        <f t="shared" si="1"/>
        <v>177.89227166276348</v>
      </c>
    </row>
    <row r="5" spans="1:8" x14ac:dyDescent="0.3">
      <c r="A5" t="s">
        <v>7</v>
      </c>
      <c r="B5">
        <v>2</v>
      </c>
      <c r="C5" t="s">
        <v>4</v>
      </c>
      <c r="D5">
        <v>0.11</v>
      </c>
      <c r="E5">
        <v>46.868000000000002</v>
      </c>
      <c r="F5">
        <f t="shared" si="0"/>
        <v>2.3470171545617478E-3</v>
      </c>
      <c r="G5">
        <v>0.21840000000000001</v>
      </c>
      <c r="H5">
        <f t="shared" si="1"/>
        <v>214.59706959706961</v>
      </c>
    </row>
    <row r="6" spans="1:8" x14ac:dyDescent="0.3">
      <c r="A6" t="s">
        <v>7</v>
      </c>
      <c r="B6">
        <v>2</v>
      </c>
      <c r="C6" t="s">
        <v>5</v>
      </c>
      <c r="D6">
        <v>0.14000000000000001</v>
      </c>
      <c r="E6">
        <v>46.868000000000002</v>
      </c>
      <c r="F6">
        <f t="shared" si="0"/>
        <v>2.9871127421694974E-3</v>
      </c>
      <c r="G6">
        <v>0.21840000000000001</v>
      </c>
      <c r="H6">
        <f t="shared" si="1"/>
        <v>214.59706959706961</v>
      </c>
    </row>
    <row r="7" spans="1:8" x14ac:dyDescent="0.3">
      <c r="A7" t="s">
        <v>7</v>
      </c>
      <c r="B7">
        <v>2</v>
      </c>
      <c r="C7" t="s">
        <v>6</v>
      </c>
      <c r="D7">
        <v>0.11</v>
      </c>
      <c r="E7">
        <v>46.868000000000002</v>
      </c>
      <c r="F7">
        <f t="shared" si="0"/>
        <v>2.3470171545617478E-3</v>
      </c>
      <c r="G7">
        <v>0.21840000000000001</v>
      </c>
      <c r="H7">
        <f t="shared" si="1"/>
        <v>214.59706959706961</v>
      </c>
    </row>
    <row r="8" spans="1:8" x14ac:dyDescent="0.3">
      <c r="A8" t="s">
        <v>7</v>
      </c>
      <c r="B8">
        <v>3</v>
      </c>
      <c r="C8" t="s">
        <v>4</v>
      </c>
      <c r="D8">
        <v>0.12</v>
      </c>
      <c r="E8">
        <v>27.675000000000001</v>
      </c>
      <c r="F8">
        <f t="shared" si="0"/>
        <v>4.3360433604336043E-3</v>
      </c>
      <c r="G8">
        <v>0.12859999999999999</v>
      </c>
      <c r="H8">
        <f t="shared" si="1"/>
        <v>215.20217729393471</v>
      </c>
    </row>
    <row r="9" spans="1:8" x14ac:dyDescent="0.3">
      <c r="A9" t="s">
        <v>7</v>
      </c>
      <c r="B9">
        <v>3</v>
      </c>
      <c r="C9" t="s">
        <v>5</v>
      </c>
      <c r="D9">
        <v>0.1</v>
      </c>
      <c r="E9">
        <v>27.675000000000001</v>
      </c>
      <c r="F9">
        <f t="shared" si="0"/>
        <v>3.6133694670280039E-3</v>
      </c>
      <c r="G9">
        <v>0.12859999999999999</v>
      </c>
      <c r="H9">
        <f t="shared" si="1"/>
        <v>215.20217729393471</v>
      </c>
    </row>
    <row r="10" spans="1:8" x14ac:dyDescent="0.3">
      <c r="A10" t="s">
        <v>7</v>
      </c>
      <c r="B10">
        <v>3</v>
      </c>
      <c r="C10" t="s">
        <v>6</v>
      </c>
      <c r="D10">
        <v>0.1</v>
      </c>
      <c r="E10">
        <v>27.675000000000001</v>
      </c>
      <c r="F10">
        <f t="shared" si="0"/>
        <v>3.6133694670280039E-3</v>
      </c>
      <c r="G10">
        <v>0.12859999999999999</v>
      </c>
      <c r="H10">
        <f t="shared" si="1"/>
        <v>215.20217729393471</v>
      </c>
    </row>
    <row r="11" spans="1:8" x14ac:dyDescent="0.3">
      <c r="A11" t="s">
        <v>7</v>
      </c>
      <c r="B11">
        <v>4</v>
      </c>
      <c r="C11" t="s">
        <v>4</v>
      </c>
      <c r="D11">
        <v>0.15</v>
      </c>
      <c r="E11">
        <v>27.274000000000001</v>
      </c>
      <c r="F11">
        <f t="shared" si="0"/>
        <v>5.4997433453105515E-3</v>
      </c>
      <c r="G11">
        <v>0.14399999999999999</v>
      </c>
      <c r="H11">
        <f t="shared" si="1"/>
        <v>189.4027777777778</v>
      </c>
    </row>
    <row r="12" spans="1:8" x14ac:dyDescent="0.3">
      <c r="A12" t="s">
        <v>7</v>
      </c>
      <c r="B12">
        <v>4</v>
      </c>
      <c r="C12" t="s">
        <v>5</v>
      </c>
      <c r="D12">
        <v>0.14000000000000001</v>
      </c>
      <c r="E12">
        <v>27.274000000000001</v>
      </c>
      <c r="F12">
        <f t="shared" si="0"/>
        <v>5.1330937889565156E-3</v>
      </c>
      <c r="G12">
        <v>0.14399999999999999</v>
      </c>
      <c r="H12">
        <f t="shared" si="1"/>
        <v>189.4027777777778</v>
      </c>
    </row>
    <row r="13" spans="1:8" x14ac:dyDescent="0.3">
      <c r="A13" t="s">
        <v>7</v>
      </c>
      <c r="B13">
        <v>4</v>
      </c>
      <c r="C13" t="s">
        <v>6</v>
      </c>
      <c r="D13">
        <v>0.15</v>
      </c>
      <c r="E13">
        <v>27.274000000000001</v>
      </c>
      <c r="F13">
        <f t="shared" si="0"/>
        <v>5.4997433453105515E-3</v>
      </c>
      <c r="G13">
        <v>0.14399999999999999</v>
      </c>
      <c r="H13">
        <f t="shared" si="1"/>
        <v>189.4027777777778</v>
      </c>
    </row>
    <row r="14" spans="1:8" x14ac:dyDescent="0.3">
      <c r="A14" t="s">
        <v>7</v>
      </c>
      <c r="B14">
        <v>5</v>
      </c>
      <c r="C14" t="s">
        <v>4</v>
      </c>
      <c r="D14">
        <v>0.15</v>
      </c>
      <c r="E14">
        <v>33.691000000000003</v>
      </c>
      <c r="F14">
        <f t="shared" si="0"/>
        <v>4.4522275978748031E-3</v>
      </c>
      <c r="G14">
        <v>0.17249999999999999</v>
      </c>
      <c r="H14">
        <f t="shared" si="1"/>
        <v>195.31014492753627</v>
      </c>
    </row>
    <row r="15" spans="1:8" x14ac:dyDescent="0.3">
      <c r="A15" t="s">
        <v>7</v>
      </c>
      <c r="B15">
        <v>5</v>
      </c>
      <c r="C15" t="s">
        <v>5</v>
      </c>
      <c r="D15">
        <v>0.13</v>
      </c>
      <c r="E15">
        <v>33.691000000000003</v>
      </c>
      <c r="F15">
        <f t="shared" si="0"/>
        <v>3.8585972514914961E-3</v>
      </c>
      <c r="G15">
        <v>0.17249999999999999</v>
      </c>
      <c r="H15">
        <f t="shared" si="1"/>
        <v>195.31014492753627</v>
      </c>
    </row>
    <row r="16" spans="1:8" x14ac:dyDescent="0.3">
      <c r="A16" t="s">
        <v>7</v>
      </c>
      <c r="B16">
        <v>5</v>
      </c>
      <c r="C16" t="s">
        <v>6</v>
      </c>
      <c r="D16">
        <v>0.12</v>
      </c>
      <c r="E16">
        <v>33.691000000000003</v>
      </c>
      <c r="F16">
        <f t="shared" si="0"/>
        <v>3.5617820782998422E-3</v>
      </c>
      <c r="G16">
        <v>0.17249999999999999</v>
      </c>
      <c r="H16">
        <f t="shared" si="1"/>
        <v>195.31014492753627</v>
      </c>
    </row>
    <row r="17" spans="1:8" x14ac:dyDescent="0.3">
      <c r="A17" t="s">
        <v>7</v>
      </c>
      <c r="B17">
        <v>6</v>
      </c>
      <c r="C17" t="s">
        <v>4</v>
      </c>
      <c r="D17">
        <v>0.12</v>
      </c>
      <c r="E17">
        <v>18.542999999999999</v>
      </c>
      <c r="F17">
        <f t="shared" si="0"/>
        <v>6.4714447500404462E-3</v>
      </c>
      <c r="G17">
        <v>8.7499999999999994E-2</v>
      </c>
      <c r="H17">
        <f t="shared" si="1"/>
        <v>211.92000000000002</v>
      </c>
    </row>
    <row r="18" spans="1:8" x14ac:dyDescent="0.3">
      <c r="A18" t="s">
        <v>7</v>
      </c>
      <c r="B18">
        <v>6</v>
      </c>
      <c r="C18" t="s">
        <v>5</v>
      </c>
      <c r="D18">
        <v>0.13</v>
      </c>
      <c r="E18">
        <v>18.542999999999999</v>
      </c>
      <c r="F18">
        <f t="shared" si="0"/>
        <v>7.0107318125438179E-3</v>
      </c>
      <c r="G18">
        <v>8.7499999999999994E-2</v>
      </c>
      <c r="H18">
        <f t="shared" si="1"/>
        <v>211.92000000000002</v>
      </c>
    </row>
    <row r="19" spans="1:8" x14ac:dyDescent="0.3">
      <c r="A19" t="s">
        <v>7</v>
      </c>
      <c r="B19">
        <v>6</v>
      </c>
      <c r="C19" t="s">
        <v>6</v>
      </c>
      <c r="D19">
        <v>0.13</v>
      </c>
      <c r="E19">
        <v>18.542999999999999</v>
      </c>
      <c r="F19">
        <f t="shared" si="0"/>
        <v>7.0107318125438179E-3</v>
      </c>
      <c r="G19">
        <v>8.7499999999999994E-2</v>
      </c>
      <c r="H19">
        <f t="shared" si="1"/>
        <v>211.92000000000002</v>
      </c>
    </row>
    <row r="20" spans="1:8" x14ac:dyDescent="0.3">
      <c r="A20" t="s">
        <v>7</v>
      </c>
      <c r="B20">
        <v>7</v>
      </c>
      <c r="C20" t="s">
        <v>4</v>
      </c>
      <c r="D20">
        <v>0.11</v>
      </c>
      <c r="E20">
        <v>25.669</v>
      </c>
      <c r="F20">
        <f t="shared" si="0"/>
        <v>4.2853247107405819E-3</v>
      </c>
      <c r="G20">
        <v>0.15390000000000001</v>
      </c>
      <c r="H20">
        <f t="shared" si="1"/>
        <v>166.79012345679013</v>
      </c>
    </row>
    <row r="21" spans="1:8" x14ac:dyDescent="0.3">
      <c r="A21" t="s">
        <v>7</v>
      </c>
      <c r="B21">
        <v>7</v>
      </c>
      <c r="C21" t="s">
        <v>5</v>
      </c>
      <c r="D21">
        <v>0.13</v>
      </c>
      <c r="E21">
        <v>25.669</v>
      </c>
      <c r="F21">
        <f t="shared" si="0"/>
        <v>5.0644746581479608E-3</v>
      </c>
      <c r="G21">
        <v>0.15390000000000001</v>
      </c>
      <c r="H21">
        <f t="shared" si="1"/>
        <v>166.79012345679013</v>
      </c>
    </row>
    <row r="22" spans="1:8" x14ac:dyDescent="0.3">
      <c r="A22" t="s">
        <v>7</v>
      </c>
      <c r="B22">
        <v>7</v>
      </c>
      <c r="C22" t="s">
        <v>6</v>
      </c>
      <c r="D22">
        <v>0.12</v>
      </c>
      <c r="E22">
        <v>25.669</v>
      </c>
      <c r="F22">
        <f t="shared" si="0"/>
        <v>4.6748996844442709E-3</v>
      </c>
      <c r="G22">
        <v>0.15390000000000001</v>
      </c>
      <c r="H22">
        <f t="shared" si="1"/>
        <v>166.79012345679013</v>
      </c>
    </row>
    <row r="23" spans="1:8" x14ac:dyDescent="0.3">
      <c r="A23" t="s">
        <v>7</v>
      </c>
      <c r="B23">
        <v>8</v>
      </c>
      <c r="C23" t="s">
        <v>4</v>
      </c>
      <c r="D23">
        <v>0.15</v>
      </c>
      <c r="E23">
        <v>32.948</v>
      </c>
      <c r="F23">
        <f t="shared" si="0"/>
        <v>4.552628384120432E-3</v>
      </c>
      <c r="G23">
        <v>0.21049999999999999</v>
      </c>
      <c r="H23">
        <f t="shared" si="1"/>
        <v>156.52256532066508</v>
      </c>
    </row>
    <row r="24" spans="1:8" x14ac:dyDescent="0.3">
      <c r="A24" t="s">
        <v>7</v>
      </c>
      <c r="B24">
        <v>8</v>
      </c>
      <c r="C24" t="s">
        <v>5</v>
      </c>
      <c r="D24">
        <v>0.16</v>
      </c>
      <c r="E24">
        <v>32.948</v>
      </c>
      <c r="F24">
        <f t="shared" si="0"/>
        <v>4.8561369430617941E-3</v>
      </c>
      <c r="G24">
        <v>0.21049999999999999</v>
      </c>
      <c r="H24">
        <f t="shared" si="1"/>
        <v>156.52256532066508</v>
      </c>
    </row>
    <row r="25" spans="1:8" x14ac:dyDescent="0.3">
      <c r="A25" t="s">
        <v>7</v>
      </c>
      <c r="B25">
        <v>8</v>
      </c>
      <c r="C25" t="s">
        <v>6</v>
      </c>
      <c r="D25">
        <v>0.16</v>
      </c>
      <c r="E25">
        <v>32.948</v>
      </c>
      <c r="F25">
        <f t="shared" si="0"/>
        <v>4.8561369430617941E-3</v>
      </c>
      <c r="G25">
        <v>0.21049999999999999</v>
      </c>
      <c r="H25">
        <f t="shared" si="1"/>
        <v>156.52256532066508</v>
      </c>
    </row>
    <row r="26" spans="1:8" x14ac:dyDescent="0.3">
      <c r="A26" t="s">
        <v>7</v>
      </c>
      <c r="B26">
        <v>9</v>
      </c>
      <c r="C26" t="s">
        <v>4</v>
      </c>
      <c r="D26">
        <v>0.16</v>
      </c>
      <c r="E26">
        <v>42.487000000000002</v>
      </c>
      <c r="F26">
        <f t="shared" si="0"/>
        <v>3.7658577917951373E-3</v>
      </c>
      <c r="G26">
        <v>0.20580000000000001</v>
      </c>
      <c r="H26">
        <f t="shared" si="1"/>
        <v>206.44800777453838</v>
      </c>
    </row>
    <row r="27" spans="1:8" x14ac:dyDescent="0.3">
      <c r="A27" t="s">
        <v>7</v>
      </c>
      <c r="B27">
        <v>9</v>
      </c>
      <c r="C27" t="s">
        <v>5</v>
      </c>
      <c r="D27">
        <v>0.15</v>
      </c>
      <c r="E27">
        <v>42.487000000000002</v>
      </c>
      <c r="F27">
        <f t="shared" si="0"/>
        <v>3.530491679807941E-3</v>
      </c>
      <c r="G27">
        <v>0.20580000000000001</v>
      </c>
      <c r="H27">
        <f t="shared" si="1"/>
        <v>206.44800777453838</v>
      </c>
    </row>
    <row r="28" spans="1:8" x14ac:dyDescent="0.3">
      <c r="A28" t="s">
        <v>7</v>
      </c>
      <c r="B28">
        <v>9</v>
      </c>
      <c r="C28" t="s">
        <v>6</v>
      </c>
      <c r="D28">
        <v>0.17</v>
      </c>
      <c r="E28">
        <v>42.487000000000002</v>
      </c>
      <c r="F28">
        <f t="shared" si="0"/>
        <v>4.0012239037823336E-3</v>
      </c>
      <c r="G28">
        <v>0.20580000000000001</v>
      </c>
      <c r="H28">
        <f t="shared" si="1"/>
        <v>206.44800777453838</v>
      </c>
    </row>
    <row r="29" spans="1:8" x14ac:dyDescent="0.3">
      <c r="A29" t="s">
        <v>7</v>
      </c>
      <c r="B29">
        <v>10</v>
      </c>
      <c r="C29" t="s">
        <v>4</v>
      </c>
      <c r="D29">
        <v>0.11</v>
      </c>
      <c r="E29">
        <v>13.273</v>
      </c>
      <c r="F29">
        <f t="shared" si="0"/>
        <v>8.2875009417614706E-3</v>
      </c>
      <c r="G29">
        <v>5.7599999999999998E-2</v>
      </c>
      <c r="H29">
        <f t="shared" si="1"/>
        <v>230.43402777777777</v>
      </c>
    </row>
    <row r="30" spans="1:8" x14ac:dyDescent="0.3">
      <c r="A30" t="s">
        <v>7</v>
      </c>
      <c r="B30">
        <v>10</v>
      </c>
      <c r="C30" t="s">
        <v>5</v>
      </c>
      <c r="D30">
        <v>0.11</v>
      </c>
      <c r="E30">
        <v>13.273</v>
      </c>
      <c r="F30">
        <f t="shared" si="0"/>
        <v>8.2875009417614706E-3</v>
      </c>
      <c r="G30">
        <v>5.7599999999999998E-2</v>
      </c>
      <c r="H30">
        <f t="shared" si="1"/>
        <v>230.43402777777777</v>
      </c>
    </row>
    <row r="31" spans="1:8" x14ac:dyDescent="0.3">
      <c r="A31" t="s">
        <v>7</v>
      </c>
      <c r="B31">
        <v>10</v>
      </c>
      <c r="C31" t="s">
        <v>6</v>
      </c>
      <c r="D31">
        <v>0.11</v>
      </c>
      <c r="E31">
        <v>13.273</v>
      </c>
      <c r="F31">
        <f t="shared" si="0"/>
        <v>8.2875009417614706E-3</v>
      </c>
      <c r="G31">
        <v>5.7599999999999998E-2</v>
      </c>
      <c r="H31">
        <f t="shared" si="1"/>
        <v>230.43402777777777</v>
      </c>
    </row>
    <row r="32" spans="1:8" x14ac:dyDescent="0.3">
      <c r="A32" t="s">
        <v>7</v>
      </c>
      <c r="B32">
        <v>11</v>
      </c>
      <c r="C32" t="s">
        <v>4</v>
      </c>
      <c r="D32">
        <v>0.13</v>
      </c>
      <c r="E32">
        <v>28.146999999999998</v>
      </c>
      <c r="F32">
        <f t="shared" si="0"/>
        <v>4.6186094432799233E-3</v>
      </c>
      <c r="G32">
        <v>0.15229999999999999</v>
      </c>
      <c r="H32">
        <f t="shared" si="1"/>
        <v>184.81286933683521</v>
      </c>
    </row>
    <row r="33" spans="1:8" x14ac:dyDescent="0.3">
      <c r="A33" t="s">
        <v>7</v>
      </c>
      <c r="B33">
        <v>11</v>
      </c>
      <c r="C33" t="s">
        <v>5</v>
      </c>
      <c r="D33">
        <v>0.11</v>
      </c>
      <c r="E33">
        <v>28.146999999999998</v>
      </c>
      <c r="F33">
        <f t="shared" si="0"/>
        <v>3.9080541443137816E-3</v>
      </c>
      <c r="G33">
        <v>0.15229999999999999</v>
      </c>
      <c r="H33">
        <f t="shared" si="1"/>
        <v>184.81286933683521</v>
      </c>
    </row>
    <row r="34" spans="1:8" x14ac:dyDescent="0.3">
      <c r="A34" t="s">
        <v>7</v>
      </c>
      <c r="B34">
        <v>11</v>
      </c>
      <c r="C34" t="s">
        <v>6</v>
      </c>
      <c r="D34">
        <v>0.11</v>
      </c>
      <c r="E34">
        <v>28.146999999999998</v>
      </c>
      <c r="F34">
        <f t="shared" si="0"/>
        <v>3.9080541443137816E-3</v>
      </c>
      <c r="G34">
        <v>0.15229999999999999</v>
      </c>
      <c r="H34">
        <f t="shared" si="1"/>
        <v>184.81286933683521</v>
      </c>
    </row>
    <row r="35" spans="1:8" x14ac:dyDescent="0.3">
      <c r="A35" t="s">
        <v>7</v>
      </c>
      <c r="B35">
        <v>12</v>
      </c>
      <c r="C35" t="s">
        <v>4</v>
      </c>
      <c r="D35">
        <v>0.12</v>
      </c>
      <c r="E35">
        <v>25.945</v>
      </c>
      <c r="F35">
        <f t="shared" si="0"/>
        <v>4.6251686259394876E-3</v>
      </c>
      <c r="G35">
        <v>0.15659999999999999</v>
      </c>
      <c r="H35">
        <f t="shared" si="1"/>
        <v>165.67688378033208</v>
      </c>
    </row>
    <row r="36" spans="1:8" x14ac:dyDescent="0.3">
      <c r="A36" t="s">
        <v>7</v>
      </c>
      <c r="B36">
        <v>12</v>
      </c>
      <c r="C36" t="s">
        <v>5</v>
      </c>
      <c r="D36">
        <v>0.12</v>
      </c>
      <c r="E36">
        <v>25.945</v>
      </c>
      <c r="F36">
        <f t="shared" si="0"/>
        <v>4.6251686259394876E-3</v>
      </c>
      <c r="G36">
        <v>0.15659999999999999</v>
      </c>
      <c r="H36">
        <f t="shared" si="1"/>
        <v>165.67688378033208</v>
      </c>
    </row>
    <row r="37" spans="1:8" x14ac:dyDescent="0.3">
      <c r="A37" t="s">
        <v>7</v>
      </c>
      <c r="B37">
        <v>12</v>
      </c>
      <c r="C37" t="s">
        <v>6</v>
      </c>
      <c r="D37">
        <v>0.12</v>
      </c>
      <c r="E37">
        <v>25.945</v>
      </c>
      <c r="F37">
        <f t="shared" si="0"/>
        <v>4.6251686259394876E-3</v>
      </c>
      <c r="G37">
        <v>0.15659999999999999</v>
      </c>
      <c r="H37">
        <f t="shared" si="1"/>
        <v>165.67688378033208</v>
      </c>
    </row>
    <row r="38" spans="1:8" x14ac:dyDescent="0.3">
      <c r="A38" t="s">
        <v>7</v>
      </c>
      <c r="B38">
        <v>13</v>
      </c>
      <c r="C38" t="s">
        <v>4</v>
      </c>
      <c r="D38">
        <v>0.11</v>
      </c>
      <c r="E38">
        <v>26.53</v>
      </c>
      <c r="F38">
        <f t="shared" si="0"/>
        <v>4.1462495288352805E-3</v>
      </c>
      <c r="G38">
        <v>0.1147</v>
      </c>
      <c r="H38">
        <f t="shared" si="1"/>
        <v>231.29904097646036</v>
      </c>
    </row>
    <row r="39" spans="1:8" x14ac:dyDescent="0.3">
      <c r="A39" t="s">
        <v>7</v>
      </c>
      <c r="B39">
        <v>13</v>
      </c>
      <c r="C39" t="s">
        <v>5</v>
      </c>
      <c r="D39">
        <v>0.12</v>
      </c>
      <c r="E39">
        <v>26.53</v>
      </c>
      <c r="F39">
        <f t="shared" si="0"/>
        <v>4.5231813041839422E-3</v>
      </c>
      <c r="G39">
        <v>0.1147</v>
      </c>
      <c r="H39">
        <f t="shared" si="1"/>
        <v>231.29904097646036</v>
      </c>
    </row>
    <row r="40" spans="1:8" x14ac:dyDescent="0.3">
      <c r="A40" t="s">
        <v>7</v>
      </c>
      <c r="B40">
        <v>13</v>
      </c>
      <c r="C40" t="s">
        <v>6</v>
      </c>
      <c r="D40">
        <v>0.11</v>
      </c>
      <c r="E40">
        <v>26.53</v>
      </c>
      <c r="F40">
        <f t="shared" si="0"/>
        <v>4.1462495288352805E-3</v>
      </c>
      <c r="G40">
        <v>0.1147</v>
      </c>
      <c r="H40">
        <f t="shared" si="1"/>
        <v>231.29904097646036</v>
      </c>
    </row>
    <row r="41" spans="1:8" x14ac:dyDescent="0.3">
      <c r="A41" t="s">
        <v>7</v>
      </c>
      <c r="B41">
        <v>14</v>
      </c>
      <c r="C41" t="s">
        <v>4</v>
      </c>
      <c r="D41">
        <v>0.13</v>
      </c>
      <c r="E41">
        <v>37.048000000000002</v>
      </c>
      <c r="F41">
        <f t="shared" si="0"/>
        <v>3.5089613474411576E-3</v>
      </c>
      <c r="G41">
        <v>0.1993</v>
      </c>
      <c r="H41">
        <f t="shared" si="1"/>
        <v>185.8906171600602</v>
      </c>
    </row>
    <row r="42" spans="1:8" x14ac:dyDescent="0.3">
      <c r="A42" t="s">
        <v>7</v>
      </c>
      <c r="B42">
        <v>14</v>
      </c>
      <c r="C42" t="s">
        <v>5</v>
      </c>
      <c r="D42">
        <v>0.11</v>
      </c>
      <c r="E42">
        <v>37.048000000000002</v>
      </c>
      <c r="F42">
        <f t="shared" si="0"/>
        <v>2.9691211401425177E-3</v>
      </c>
      <c r="G42">
        <v>0.1993</v>
      </c>
      <c r="H42">
        <f t="shared" si="1"/>
        <v>185.8906171600602</v>
      </c>
    </row>
    <row r="43" spans="1:8" x14ac:dyDescent="0.3">
      <c r="A43" t="s">
        <v>7</v>
      </c>
      <c r="B43">
        <v>14</v>
      </c>
      <c r="C43" t="s">
        <v>6</v>
      </c>
      <c r="D43">
        <v>0.11</v>
      </c>
      <c r="E43">
        <v>37.048000000000002</v>
      </c>
      <c r="F43">
        <f t="shared" si="0"/>
        <v>2.9691211401425177E-3</v>
      </c>
      <c r="G43">
        <v>0.1993</v>
      </c>
      <c r="H43">
        <f t="shared" si="1"/>
        <v>185.8906171600602</v>
      </c>
    </row>
    <row r="44" spans="1:8" x14ac:dyDescent="0.3">
      <c r="A44" t="s">
        <v>7</v>
      </c>
      <c r="B44">
        <v>15</v>
      </c>
      <c r="C44" t="s">
        <v>4</v>
      </c>
      <c r="D44">
        <v>0.15</v>
      </c>
      <c r="E44">
        <v>12.254</v>
      </c>
      <c r="F44">
        <f t="shared" si="0"/>
        <v>1.224090093030847E-2</v>
      </c>
      <c r="G44">
        <v>6.8400000000000002E-2</v>
      </c>
      <c r="H44">
        <f t="shared" si="1"/>
        <v>179.15204678362571</v>
      </c>
    </row>
    <row r="45" spans="1:8" x14ac:dyDescent="0.3">
      <c r="A45" t="s">
        <v>7</v>
      </c>
      <c r="B45">
        <v>15</v>
      </c>
      <c r="C45" t="s">
        <v>5</v>
      </c>
      <c r="D45">
        <v>0.14000000000000001</v>
      </c>
      <c r="E45">
        <v>12.254</v>
      </c>
      <c r="F45">
        <f t="shared" si="0"/>
        <v>1.1424840868287907E-2</v>
      </c>
      <c r="G45">
        <v>6.8400000000000002E-2</v>
      </c>
      <c r="H45">
        <f t="shared" si="1"/>
        <v>179.15204678362571</v>
      </c>
    </row>
    <row r="46" spans="1:8" x14ac:dyDescent="0.3">
      <c r="A46" t="s">
        <v>7</v>
      </c>
      <c r="B46">
        <v>15</v>
      </c>
      <c r="C46" t="s">
        <v>6</v>
      </c>
      <c r="D46">
        <v>0.14000000000000001</v>
      </c>
      <c r="E46">
        <v>12.254</v>
      </c>
      <c r="F46">
        <f t="shared" si="0"/>
        <v>1.1424840868287907E-2</v>
      </c>
      <c r="G46">
        <v>6.8400000000000002E-2</v>
      </c>
      <c r="H46">
        <f t="shared" si="1"/>
        <v>179.15204678362571</v>
      </c>
    </row>
    <row r="47" spans="1:8" x14ac:dyDescent="0.3">
      <c r="A47" t="s">
        <v>7</v>
      </c>
      <c r="B47">
        <v>16</v>
      </c>
      <c r="C47" t="s">
        <v>4</v>
      </c>
      <c r="D47">
        <v>0.11</v>
      </c>
      <c r="E47">
        <v>24.9</v>
      </c>
      <c r="F47">
        <f t="shared" si="0"/>
        <v>4.4176706827309242E-3</v>
      </c>
      <c r="G47">
        <v>0.12620000000000001</v>
      </c>
      <c r="H47">
        <f t="shared" si="1"/>
        <v>197.30586370839936</v>
      </c>
    </row>
    <row r="48" spans="1:8" x14ac:dyDescent="0.3">
      <c r="A48" t="s">
        <v>7</v>
      </c>
      <c r="B48">
        <v>16</v>
      </c>
      <c r="C48" t="s">
        <v>5</v>
      </c>
      <c r="D48">
        <v>0.11</v>
      </c>
      <c r="E48">
        <v>24.9</v>
      </c>
      <c r="F48">
        <f t="shared" si="0"/>
        <v>4.4176706827309242E-3</v>
      </c>
      <c r="G48">
        <v>0.12620000000000001</v>
      </c>
      <c r="H48">
        <f t="shared" si="1"/>
        <v>197.30586370839936</v>
      </c>
    </row>
    <row r="49" spans="1:9" x14ac:dyDescent="0.3">
      <c r="A49" t="s">
        <v>7</v>
      </c>
      <c r="B49">
        <v>16</v>
      </c>
      <c r="C49" t="s">
        <v>6</v>
      </c>
      <c r="D49">
        <v>0.11</v>
      </c>
      <c r="E49">
        <v>24.9</v>
      </c>
      <c r="F49">
        <f t="shared" si="0"/>
        <v>4.4176706827309242E-3</v>
      </c>
      <c r="G49">
        <v>0.12620000000000001</v>
      </c>
      <c r="H49">
        <f t="shared" si="1"/>
        <v>197.30586370839936</v>
      </c>
    </row>
    <row r="50" spans="1:9" x14ac:dyDescent="0.3">
      <c r="A50" t="s">
        <v>7</v>
      </c>
      <c r="B50">
        <v>17</v>
      </c>
      <c r="C50" t="s">
        <v>4</v>
      </c>
      <c r="D50">
        <v>0.13</v>
      </c>
      <c r="E50">
        <v>22.413</v>
      </c>
      <c r="F50">
        <f t="shared" si="0"/>
        <v>5.8002052380315E-3</v>
      </c>
      <c r="G50">
        <v>0.1062</v>
      </c>
      <c r="H50">
        <f t="shared" si="1"/>
        <v>211.045197740113</v>
      </c>
    </row>
    <row r="51" spans="1:9" x14ac:dyDescent="0.3">
      <c r="A51" t="s">
        <v>7</v>
      </c>
      <c r="B51">
        <v>17</v>
      </c>
      <c r="C51" t="s">
        <v>5</v>
      </c>
      <c r="D51">
        <v>0.12</v>
      </c>
      <c r="E51">
        <v>22.413</v>
      </c>
      <c r="F51">
        <f t="shared" si="0"/>
        <v>5.3540356043367682E-3</v>
      </c>
      <c r="G51">
        <v>0.1062</v>
      </c>
      <c r="H51">
        <f t="shared" si="1"/>
        <v>211.045197740113</v>
      </c>
    </row>
    <row r="52" spans="1:9" x14ac:dyDescent="0.3">
      <c r="A52" t="s">
        <v>7</v>
      </c>
      <c r="B52">
        <v>17</v>
      </c>
      <c r="C52" t="s">
        <v>6</v>
      </c>
      <c r="D52">
        <v>0.15</v>
      </c>
      <c r="E52">
        <v>22.413</v>
      </c>
      <c r="F52">
        <f t="shared" si="0"/>
        <v>6.6925445054209611E-3</v>
      </c>
      <c r="G52">
        <v>0.1062</v>
      </c>
      <c r="H52">
        <f t="shared" si="1"/>
        <v>211.045197740113</v>
      </c>
    </row>
    <row r="53" spans="1:9" x14ac:dyDescent="0.3">
      <c r="A53" t="s">
        <v>7</v>
      </c>
      <c r="B53">
        <v>18</v>
      </c>
      <c r="C53" t="s">
        <v>4</v>
      </c>
      <c r="D53">
        <v>0.11</v>
      </c>
      <c r="E53">
        <v>41.665999999999997</v>
      </c>
      <c r="F53">
        <f t="shared" si="0"/>
        <v>2.6400422406758512E-3</v>
      </c>
      <c r="G53">
        <v>0.2382</v>
      </c>
      <c r="H53">
        <f t="shared" si="1"/>
        <v>174.92023509655749</v>
      </c>
    </row>
    <row r="54" spans="1:9" x14ac:dyDescent="0.3">
      <c r="A54" t="s">
        <v>7</v>
      </c>
      <c r="B54">
        <v>18</v>
      </c>
      <c r="C54" t="s">
        <v>5</v>
      </c>
      <c r="D54">
        <v>0.12</v>
      </c>
      <c r="E54">
        <v>41.665999999999997</v>
      </c>
      <c r="F54">
        <f t="shared" si="0"/>
        <v>2.8800460807372921E-3</v>
      </c>
      <c r="G54">
        <v>0.2382</v>
      </c>
      <c r="H54">
        <f t="shared" si="1"/>
        <v>174.92023509655749</v>
      </c>
    </row>
    <row r="55" spans="1:9" x14ac:dyDescent="0.3">
      <c r="A55" t="s">
        <v>7</v>
      </c>
      <c r="B55">
        <v>18</v>
      </c>
      <c r="C55" t="s">
        <v>6</v>
      </c>
      <c r="D55">
        <v>0.13</v>
      </c>
      <c r="E55">
        <v>41.665999999999997</v>
      </c>
      <c r="F55">
        <f t="shared" si="0"/>
        <v>3.120049920798733E-3</v>
      </c>
      <c r="G55">
        <v>0.2382</v>
      </c>
      <c r="H55">
        <f t="shared" si="1"/>
        <v>174.92023509655749</v>
      </c>
    </row>
    <row r="56" spans="1:9" x14ac:dyDescent="0.3">
      <c r="A56" t="s">
        <v>7</v>
      </c>
      <c r="B56">
        <v>19</v>
      </c>
      <c r="C56" t="s">
        <v>4</v>
      </c>
      <c r="D56">
        <v>0.1</v>
      </c>
      <c r="E56">
        <v>34.816000000000003</v>
      </c>
      <c r="F56">
        <f t="shared" si="0"/>
        <v>2.8722426470588233E-3</v>
      </c>
      <c r="G56">
        <v>0.20100000000000001</v>
      </c>
      <c r="H56">
        <f t="shared" si="1"/>
        <v>173.21393034825871</v>
      </c>
    </row>
    <row r="57" spans="1:9" x14ac:dyDescent="0.3">
      <c r="A57" t="s">
        <v>7</v>
      </c>
      <c r="B57">
        <v>19</v>
      </c>
      <c r="C57" t="s">
        <v>5</v>
      </c>
      <c r="D57">
        <v>0.13</v>
      </c>
      <c r="E57">
        <v>34.816000000000003</v>
      </c>
      <c r="F57">
        <f t="shared" si="0"/>
        <v>3.7339154411764703E-3</v>
      </c>
      <c r="G57">
        <v>0.20100000000000001</v>
      </c>
      <c r="H57">
        <f t="shared" si="1"/>
        <v>173.21393034825871</v>
      </c>
    </row>
    <row r="58" spans="1:9" x14ac:dyDescent="0.3">
      <c r="A58" t="s">
        <v>7</v>
      </c>
      <c r="B58">
        <v>19</v>
      </c>
      <c r="C58" t="s">
        <v>6</v>
      </c>
      <c r="D58">
        <v>0.14000000000000001</v>
      </c>
      <c r="E58">
        <v>34.816000000000003</v>
      </c>
      <c r="F58">
        <f t="shared" si="0"/>
        <v>4.0211397058823534E-3</v>
      </c>
      <c r="G58">
        <v>0.20100000000000001</v>
      </c>
      <c r="H58">
        <f t="shared" si="1"/>
        <v>173.21393034825871</v>
      </c>
    </row>
    <row r="59" spans="1:9" x14ac:dyDescent="0.3">
      <c r="A59" t="s">
        <v>7</v>
      </c>
      <c r="B59">
        <v>20</v>
      </c>
      <c r="C59" t="s">
        <v>4</v>
      </c>
      <c r="D59">
        <v>0.15</v>
      </c>
      <c r="E59">
        <v>67.183999999999997</v>
      </c>
      <c r="F59">
        <f t="shared" si="0"/>
        <v>2.2326744462967374E-3</v>
      </c>
      <c r="G59">
        <v>0.59040000000000004</v>
      </c>
      <c r="H59">
        <f t="shared" si="1"/>
        <v>113.7940379403794</v>
      </c>
    </row>
    <row r="60" spans="1:9" x14ac:dyDescent="0.3">
      <c r="A60" t="s">
        <v>7</v>
      </c>
      <c r="B60">
        <v>20</v>
      </c>
      <c r="C60" t="s">
        <v>5</v>
      </c>
      <c r="D60">
        <v>0.19</v>
      </c>
      <c r="E60">
        <v>67.183999999999997</v>
      </c>
      <c r="F60">
        <f t="shared" si="0"/>
        <v>2.8280542986425339E-3</v>
      </c>
      <c r="G60">
        <v>0.59040000000000004</v>
      </c>
      <c r="H60">
        <f t="shared" si="1"/>
        <v>113.7940379403794</v>
      </c>
    </row>
    <row r="61" spans="1:9" ht="15" thickBot="1" x14ac:dyDescent="0.35">
      <c r="A61" s="2" t="s">
        <v>7</v>
      </c>
      <c r="B61" s="2">
        <v>20</v>
      </c>
      <c r="C61" s="2" t="s">
        <v>6</v>
      </c>
      <c r="D61" s="2">
        <v>0.18</v>
      </c>
      <c r="E61" s="2">
        <v>67.183999999999997</v>
      </c>
      <c r="F61" s="2">
        <f t="shared" si="0"/>
        <v>2.6792093355560848E-3</v>
      </c>
      <c r="G61" s="2">
        <v>0.59040000000000004</v>
      </c>
      <c r="H61">
        <f t="shared" si="1"/>
        <v>113.7940379403794</v>
      </c>
      <c r="I61" s="2"/>
    </row>
    <row r="62" spans="1:9" ht="15" thickTop="1" x14ac:dyDescent="0.3">
      <c r="A62" t="s">
        <v>8</v>
      </c>
      <c r="B62">
        <v>1</v>
      </c>
      <c r="C62" t="s">
        <v>4</v>
      </c>
      <c r="D62">
        <v>0.19</v>
      </c>
      <c r="E62">
        <v>45.3</v>
      </c>
      <c r="F62">
        <f>D62/E62</f>
        <v>4.1942604856512146E-3</v>
      </c>
      <c r="G62">
        <v>0.31840000000000002</v>
      </c>
      <c r="H62">
        <f t="shared" si="1"/>
        <v>142.27386934673365</v>
      </c>
    </row>
    <row r="63" spans="1:9" x14ac:dyDescent="0.3">
      <c r="A63" t="s">
        <v>8</v>
      </c>
      <c r="B63">
        <v>1</v>
      </c>
      <c r="C63" t="s">
        <v>5</v>
      </c>
      <c r="D63">
        <v>0.21</v>
      </c>
      <c r="E63">
        <v>45.3</v>
      </c>
      <c r="F63">
        <f t="shared" ref="F63:F98" si="2">D63/E63</f>
        <v>4.6357615894039739E-3</v>
      </c>
      <c r="G63">
        <v>0.31840000000000002</v>
      </c>
      <c r="H63">
        <f t="shared" si="1"/>
        <v>142.27386934673365</v>
      </c>
    </row>
    <row r="64" spans="1:9" x14ac:dyDescent="0.3">
      <c r="A64" t="s">
        <v>8</v>
      </c>
      <c r="B64">
        <v>1</v>
      </c>
      <c r="C64" t="s">
        <v>6</v>
      </c>
      <c r="D64">
        <v>0.19</v>
      </c>
      <c r="E64">
        <v>45.3</v>
      </c>
      <c r="F64">
        <f t="shared" si="2"/>
        <v>4.1942604856512146E-3</v>
      </c>
      <c r="G64">
        <v>0.31840000000000002</v>
      </c>
      <c r="H64">
        <f t="shared" si="1"/>
        <v>142.27386934673365</v>
      </c>
    </row>
    <row r="65" spans="1:8" x14ac:dyDescent="0.3">
      <c r="A65" t="s">
        <v>8</v>
      </c>
      <c r="B65">
        <v>2</v>
      </c>
      <c r="C65" t="s">
        <v>4</v>
      </c>
      <c r="D65">
        <v>0.13</v>
      </c>
      <c r="E65">
        <v>37.798000000000002</v>
      </c>
      <c r="F65">
        <f t="shared" si="2"/>
        <v>3.4393354145721994E-3</v>
      </c>
      <c r="G65">
        <v>0.2777</v>
      </c>
      <c r="H65">
        <f t="shared" si="1"/>
        <v>136.11091105509544</v>
      </c>
    </row>
    <row r="66" spans="1:8" x14ac:dyDescent="0.3">
      <c r="A66" t="s">
        <v>8</v>
      </c>
      <c r="B66">
        <v>2</v>
      </c>
      <c r="C66" t="s">
        <v>5</v>
      </c>
      <c r="D66">
        <v>0.14000000000000001</v>
      </c>
      <c r="E66">
        <v>37.798000000000002</v>
      </c>
      <c r="F66">
        <f t="shared" si="2"/>
        <v>3.7038996772315999E-3</v>
      </c>
      <c r="G66">
        <v>0.2777</v>
      </c>
      <c r="H66">
        <f t="shared" si="1"/>
        <v>136.11091105509544</v>
      </c>
    </row>
    <row r="67" spans="1:8" x14ac:dyDescent="0.3">
      <c r="A67" t="s">
        <v>8</v>
      </c>
      <c r="B67">
        <v>2</v>
      </c>
      <c r="C67" t="s">
        <v>6</v>
      </c>
      <c r="D67">
        <v>0.12</v>
      </c>
      <c r="E67">
        <v>37.798000000000002</v>
      </c>
      <c r="F67">
        <f t="shared" si="2"/>
        <v>3.1747711519127995E-3</v>
      </c>
      <c r="G67">
        <v>0.2777</v>
      </c>
      <c r="H67">
        <f t="shared" ref="H67:H121" si="3">E67/G67</f>
        <v>136.11091105509544</v>
      </c>
    </row>
    <row r="68" spans="1:8" x14ac:dyDescent="0.3">
      <c r="A68" t="s">
        <v>8</v>
      </c>
      <c r="B68">
        <v>3</v>
      </c>
      <c r="C68" t="s">
        <v>4</v>
      </c>
      <c r="D68">
        <v>0.2</v>
      </c>
      <c r="E68">
        <v>45.378999999999998</v>
      </c>
      <c r="F68">
        <f t="shared" si="2"/>
        <v>4.4073249741069659E-3</v>
      </c>
      <c r="G68">
        <v>0.4108</v>
      </c>
      <c r="H68">
        <f t="shared" si="3"/>
        <v>110.4649464459591</v>
      </c>
    </row>
    <row r="69" spans="1:8" x14ac:dyDescent="0.3">
      <c r="A69" t="s">
        <v>8</v>
      </c>
      <c r="B69">
        <v>3</v>
      </c>
      <c r="C69" t="s">
        <v>5</v>
      </c>
      <c r="D69">
        <v>0.21</v>
      </c>
      <c r="E69">
        <v>45.378999999999998</v>
      </c>
      <c r="F69">
        <f t="shared" si="2"/>
        <v>4.6276912228123144E-3</v>
      </c>
      <c r="G69">
        <v>0.4108</v>
      </c>
      <c r="H69">
        <f t="shared" si="3"/>
        <v>110.4649464459591</v>
      </c>
    </row>
    <row r="70" spans="1:8" x14ac:dyDescent="0.3">
      <c r="A70" t="s">
        <v>8</v>
      </c>
      <c r="B70">
        <v>3</v>
      </c>
      <c r="C70" t="s">
        <v>6</v>
      </c>
      <c r="D70">
        <v>0.19</v>
      </c>
      <c r="E70">
        <v>45.378999999999998</v>
      </c>
      <c r="F70">
        <f t="shared" si="2"/>
        <v>4.1869587254016174E-3</v>
      </c>
      <c r="G70">
        <v>0.4108</v>
      </c>
      <c r="H70">
        <f t="shared" si="3"/>
        <v>110.4649464459591</v>
      </c>
    </row>
    <row r="71" spans="1:8" x14ac:dyDescent="0.3">
      <c r="A71" t="s">
        <v>8</v>
      </c>
      <c r="B71">
        <v>4</v>
      </c>
      <c r="C71" t="s">
        <v>4</v>
      </c>
      <c r="D71">
        <v>0.21</v>
      </c>
      <c r="E71">
        <v>18.8</v>
      </c>
      <c r="F71">
        <f t="shared" si="2"/>
        <v>1.1170212765957446E-2</v>
      </c>
      <c r="G71">
        <v>0.13059999999999999</v>
      </c>
      <c r="H71">
        <f t="shared" si="3"/>
        <v>143.9509954058193</v>
      </c>
    </row>
    <row r="72" spans="1:8" x14ac:dyDescent="0.3">
      <c r="A72" t="s">
        <v>8</v>
      </c>
      <c r="B72">
        <v>4</v>
      </c>
      <c r="C72" t="s">
        <v>5</v>
      </c>
      <c r="D72">
        <v>0.18</v>
      </c>
      <c r="E72">
        <v>18.8</v>
      </c>
      <c r="F72">
        <f t="shared" si="2"/>
        <v>9.5744680851063829E-3</v>
      </c>
      <c r="G72">
        <v>0.13059999999999999</v>
      </c>
      <c r="H72">
        <f t="shared" si="3"/>
        <v>143.9509954058193</v>
      </c>
    </row>
    <row r="73" spans="1:8" x14ac:dyDescent="0.3">
      <c r="A73" t="s">
        <v>8</v>
      </c>
      <c r="B73">
        <v>4</v>
      </c>
      <c r="C73" t="s">
        <v>6</v>
      </c>
      <c r="D73">
        <v>0.19</v>
      </c>
      <c r="E73">
        <v>18.8</v>
      </c>
      <c r="F73">
        <f t="shared" si="2"/>
        <v>1.0106382978723403E-2</v>
      </c>
      <c r="G73">
        <v>0.13059999999999999</v>
      </c>
      <c r="H73">
        <f t="shared" si="3"/>
        <v>143.9509954058193</v>
      </c>
    </row>
    <row r="74" spans="1:8" x14ac:dyDescent="0.3">
      <c r="A74" t="s">
        <v>8</v>
      </c>
      <c r="B74">
        <v>5</v>
      </c>
      <c r="C74" t="s">
        <v>4</v>
      </c>
      <c r="D74">
        <v>0.21</v>
      </c>
      <c r="E74">
        <v>42.576999999999998</v>
      </c>
      <c r="F74">
        <f t="shared" si="2"/>
        <v>4.9322404114897711E-3</v>
      </c>
      <c r="G74">
        <v>0.29070000000000001</v>
      </c>
      <c r="H74">
        <f t="shared" si="3"/>
        <v>146.46370829033367</v>
      </c>
    </row>
    <row r="75" spans="1:8" x14ac:dyDescent="0.3">
      <c r="A75" t="s">
        <v>8</v>
      </c>
      <c r="B75">
        <v>5</v>
      </c>
      <c r="C75" t="s">
        <v>5</v>
      </c>
      <c r="D75">
        <v>0.17</v>
      </c>
      <c r="E75">
        <v>42.576999999999998</v>
      </c>
      <c r="F75">
        <f t="shared" si="2"/>
        <v>3.9927660473964817E-3</v>
      </c>
      <c r="G75">
        <v>0.29070000000000001</v>
      </c>
      <c r="H75">
        <f t="shared" si="3"/>
        <v>146.46370829033367</v>
      </c>
    </row>
    <row r="76" spans="1:8" x14ac:dyDescent="0.3">
      <c r="A76" t="s">
        <v>8</v>
      </c>
      <c r="B76">
        <v>5</v>
      </c>
      <c r="C76" t="s">
        <v>6</v>
      </c>
      <c r="D76">
        <v>0.18</v>
      </c>
      <c r="E76">
        <v>42.576999999999998</v>
      </c>
      <c r="F76">
        <f t="shared" si="2"/>
        <v>4.2276346384198041E-3</v>
      </c>
      <c r="G76">
        <v>0.29070000000000001</v>
      </c>
      <c r="H76">
        <f t="shared" si="3"/>
        <v>146.46370829033367</v>
      </c>
    </row>
    <row r="77" spans="1:8" x14ac:dyDescent="0.3">
      <c r="A77" t="s">
        <v>8</v>
      </c>
      <c r="B77">
        <v>6</v>
      </c>
      <c r="C77" t="s">
        <v>4</v>
      </c>
      <c r="D77">
        <v>0.12</v>
      </c>
      <c r="E77">
        <v>45.628</v>
      </c>
      <c r="F77">
        <f t="shared" si="2"/>
        <v>2.6299640571578855E-3</v>
      </c>
      <c r="G77">
        <v>0.27429999999999999</v>
      </c>
      <c r="H77">
        <f t="shared" si="3"/>
        <v>166.34341961356179</v>
      </c>
    </row>
    <row r="78" spans="1:8" x14ac:dyDescent="0.3">
      <c r="A78" t="s">
        <v>8</v>
      </c>
      <c r="B78">
        <v>6</v>
      </c>
      <c r="C78" t="s">
        <v>5</v>
      </c>
      <c r="D78">
        <v>0.17</v>
      </c>
      <c r="E78">
        <v>45.628</v>
      </c>
      <c r="F78">
        <f t="shared" si="2"/>
        <v>3.7257824143070049E-3</v>
      </c>
      <c r="G78">
        <v>0.27429999999999999</v>
      </c>
      <c r="H78">
        <f t="shared" si="3"/>
        <v>166.34341961356179</v>
      </c>
    </row>
    <row r="79" spans="1:8" x14ac:dyDescent="0.3">
      <c r="A79" t="s">
        <v>8</v>
      </c>
      <c r="B79">
        <v>6</v>
      </c>
      <c r="C79" t="s">
        <v>6</v>
      </c>
      <c r="D79">
        <v>0.16</v>
      </c>
      <c r="E79">
        <v>45.628</v>
      </c>
      <c r="F79">
        <f t="shared" si="2"/>
        <v>3.5066187428771808E-3</v>
      </c>
      <c r="G79">
        <v>0.27429999999999999</v>
      </c>
      <c r="H79">
        <f t="shared" si="3"/>
        <v>166.34341961356179</v>
      </c>
    </row>
    <row r="80" spans="1:8" x14ac:dyDescent="0.3">
      <c r="A80" t="s">
        <v>8</v>
      </c>
      <c r="B80">
        <v>7</v>
      </c>
      <c r="C80" t="s">
        <v>4</v>
      </c>
      <c r="D80">
        <v>0.2</v>
      </c>
      <c r="E80">
        <v>51.103000000000002</v>
      </c>
      <c r="F80">
        <f t="shared" si="2"/>
        <v>3.9136645598105788E-3</v>
      </c>
      <c r="G80">
        <v>0.40710000000000002</v>
      </c>
      <c r="H80">
        <f t="shared" si="3"/>
        <v>125.52935396708425</v>
      </c>
    </row>
    <row r="81" spans="1:8" x14ac:dyDescent="0.3">
      <c r="A81" t="s">
        <v>8</v>
      </c>
      <c r="B81">
        <v>7</v>
      </c>
      <c r="C81" t="s">
        <v>5</v>
      </c>
      <c r="D81">
        <v>0.16</v>
      </c>
      <c r="E81">
        <v>51.103000000000002</v>
      </c>
      <c r="F81">
        <f t="shared" si="2"/>
        <v>3.1309316478484628E-3</v>
      </c>
      <c r="G81">
        <v>0.40710000000000002</v>
      </c>
      <c r="H81">
        <f t="shared" si="3"/>
        <v>125.52935396708425</v>
      </c>
    </row>
    <row r="82" spans="1:8" x14ac:dyDescent="0.3">
      <c r="A82" t="s">
        <v>8</v>
      </c>
      <c r="B82">
        <v>7</v>
      </c>
      <c r="C82" t="s">
        <v>6</v>
      </c>
      <c r="D82">
        <v>0.18</v>
      </c>
      <c r="E82">
        <v>51.103000000000002</v>
      </c>
      <c r="F82">
        <f t="shared" si="2"/>
        <v>3.5222981038295206E-3</v>
      </c>
      <c r="G82">
        <v>0.40710000000000002</v>
      </c>
      <c r="H82">
        <f t="shared" si="3"/>
        <v>125.52935396708425</v>
      </c>
    </row>
    <row r="83" spans="1:8" x14ac:dyDescent="0.3">
      <c r="A83" t="s">
        <v>8</v>
      </c>
      <c r="B83">
        <v>8</v>
      </c>
      <c r="C83" t="s">
        <v>4</v>
      </c>
      <c r="D83">
        <v>0.22</v>
      </c>
      <c r="E83">
        <v>74.81</v>
      </c>
      <c r="F83">
        <f t="shared" si="2"/>
        <v>2.9407833177382704E-3</v>
      </c>
      <c r="G83">
        <v>0.55120000000000002</v>
      </c>
      <c r="H83">
        <f t="shared" si="3"/>
        <v>135.72206095791</v>
      </c>
    </row>
    <row r="84" spans="1:8" x14ac:dyDescent="0.3">
      <c r="A84" t="s">
        <v>8</v>
      </c>
      <c r="B84">
        <v>8</v>
      </c>
      <c r="C84" t="s">
        <v>5</v>
      </c>
      <c r="D84">
        <v>0.19</v>
      </c>
      <c r="E84">
        <v>74.81</v>
      </c>
      <c r="F84">
        <f t="shared" si="2"/>
        <v>2.5397674107739605E-3</v>
      </c>
      <c r="G84">
        <v>0.55120000000000002</v>
      </c>
      <c r="H84">
        <f t="shared" si="3"/>
        <v>135.72206095791</v>
      </c>
    </row>
    <row r="85" spans="1:8" x14ac:dyDescent="0.3">
      <c r="A85" t="s">
        <v>8</v>
      </c>
      <c r="B85">
        <v>8</v>
      </c>
      <c r="C85" t="s">
        <v>6</v>
      </c>
      <c r="D85">
        <v>0.2</v>
      </c>
      <c r="E85">
        <v>74.81</v>
      </c>
      <c r="F85">
        <f t="shared" si="2"/>
        <v>2.6734393797620639E-3</v>
      </c>
      <c r="G85">
        <v>0.55120000000000002</v>
      </c>
      <c r="H85">
        <f t="shared" si="3"/>
        <v>135.72206095791</v>
      </c>
    </row>
    <row r="86" spans="1:8" x14ac:dyDescent="0.3">
      <c r="A86" t="s">
        <v>8</v>
      </c>
      <c r="B86">
        <v>9</v>
      </c>
      <c r="C86" t="s">
        <v>4</v>
      </c>
      <c r="D86">
        <v>0.2</v>
      </c>
      <c r="E86">
        <v>32.866999999999997</v>
      </c>
      <c r="F86">
        <f t="shared" si="2"/>
        <v>6.0851309824443978E-3</v>
      </c>
      <c r="G86">
        <v>0.20979999999999999</v>
      </c>
      <c r="H86">
        <f t="shared" si="3"/>
        <v>156.65872259294565</v>
      </c>
    </row>
    <row r="87" spans="1:8" x14ac:dyDescent="0.3">
      <c r="A87" t="s">
        <v>8</v>
      </c>
      <c r="B87">
        <v>9</v>
      </c>
      <c r="C87" t="s">
        <v>5</v>
      </c>
      <c r="D87">
        <v>0.18</v>
      </c>
      <c r="E87">
        <v>32.866999999999997</v>
      </c>
      <c r="F87">
        <f t="shared" si="2"/>
        <v>5.4766178841999576E-3</v>
      </c>
      <c r="G87">
        <v>0.20979999999999999</v>
      </c>
      <c r="H87">
        <f t="shared" si="3"/>
        <v>156.65872259294565</v>
      </c>
    </row>
    <row r="88" spans="1:8" x14ac:dyDescent="0.3">
      <c r="A88" t="s">
        <v>8</v>
      </c>
      <c r="B88">
        <v>9</v>
      </c>
      <c r="C88" t="s">
        <v>6</v>
      </c>
      <c r="D88">
        <v>0.19</v>
      </c>
      <c r="E88">
        <v>32.866999999999997</v>
      </c>
      <c r="F88">
        <f t="shared" si="2"/>
        <v>5.7808744333221777E-3</v>
      </c>
      <c r="G88">
        <v>0.20979999999999999</v>
      </c>
      <c r="H88">
        <f t="shared" si="3"/>
        <v>156.65872259294565</v>
      </c>
    </row>
    <row r="89" spans="1:8" x14ac:dyDescent="0.3">
      <c r="A89" t="s">
        <v>8</v>
      </c>
      <c r="B89">
        <v>10</v>
      </c>
      <c r="C89" t="s">
        <v>4</v>
      </c>
      <c r="D89">
        <v>0.21</v>
      </c>
      <c r="E89">
        <v>20.535</v>
      </c>
      <c r="F89">
        <f t="shared" si="2"/>
        <v>1.022644265887509E-2</v>
      </c>
      <c r="G89">
        <v>0.1525</v>
      </c>
      <c r="H89">
        <f t="shared" si="3"/>
        <v>134.65573770491804</v>
      </c>
    </row>
    <row r="90" spans="1:8" x14ac:dyDescent="0.3">
      <c r="A90" t="s">
        <v>8</v>
      </c>
      <c r="B90">
        <v>10</v>
      </c>
      <c r="C90" t="s">
        <v>5</v>
      </c>
      <c r="D90">
        <v>0.16</v>
      </c>
      <c r="E90">
        <v>20.535</v>
      </c>
      <c r="F90">
        <f t="shared" si="2"/>
        <v>7.7915753591429266E-3</v>
      </c>
      <c r="G90">
        <v>0.1525</v>
      </c>
      <c r="H90">
        <f t="shared" si="3"/>
        <v>134.65573770491804</v>
      </c>
    </row>
    <row r="91" spans="1:8" x14ac:dyDescent="0.3">
      <c r="A91" t="s">
        <v>8</v>
      </c>
      <c r="B91">
        <v>10</v>
      </c>
      <c r="C91" t="s">
        <v>6</v>
      </c>
      <c r="D91">
        <v>0.18</v>
      </c>
      <c r="E91">
        <v>20.535</v>
      </c>
      <c r="F91">
        <f t="shared" si="2"/>
        <v>8.7655222790357923E-3</v>
      </c>
      <c r="G91">
        <v>0.1525</v>
      </c>
      <c r="H91">
        <f t="shared" si="3"/>
        <v>134.65573770491804</v>
      </c>
    </row>
    <row r="92" spans="1:8" x14ac:dyDescent="0.3">
      <c r="A92" t="s">
        <v>8</v>
      </c>
      <c r="B92">
        <v>11</v>
      </c>
      <c r="C92" t="s">
        <v>4</v>
      </c>
      <c r="D92">
        <v>0.21</v>
      </c>
      <c r="E92">
        <v>61.292000000000002</v>
      </c>
      <c r="F92">
        <f t="shared" si="2"/>
        <v>3.4262220191868431E-3</v>
      </c>
      <c r="G92">
        <v>0.52459999999999996</v>
      </c>
      <c r="H92">
        <f t="shared" si="3"/>
        <v>116.83568433091881</v>
      </c>
    </row>
    <row r="93" spans="1:8" x14ac:dyDescent="0.3">
      <c r="A93" t="s">
        <v>8</v>
      </c>
      <c r="B93">
        <v>11</v>
      </c>
      <c r="C93" t="s">
        <v>5</v>
      </c>
      <c r="D93">
        <v>0.19</v>
      </c>
      <c r="E93">
        <v>61.292000000000002</v>
      </c>
      <c r="F93">
        <f t="shared" si="2"/>
        <v>3.0999151602166676E-3</v>
      </c>
      <c r="G93">
        <v>0.52459999999999996</v>
      </c>
      <c r="H93">
        <f t="shared" si="3"/>
        <v>116.83568433091881</v>
      </c>
    </row>
    <row r="94" spans="1:8" x14ac:dyDescent="0.3">
      <c r="A94" t="s">
        <v>8</v>
      </c>
      <c r="B94">
        <v>11</v>
      </c>
      <c r="C94" t="s">
        <v>6</v>
      </c>
      <c r="D94">
        <v>0.2</v>
      </c>
      <c r="E94">
        <v>61.292000000000002</v>
      </c>
      <c r="F94">
        <f t="shared" si="2"/>
        <v>3.2630685897017558E-3</v>
      </c>
      <c r="G94">
        <v>0.52459999999999996</v>
      </c>
      <c r="H94">
        <f t="shared" si="3"/>
        <v>116.83568433091881</v>
      </c>
    </row>
    <row r="95" spans="1:8" x14ac:dyDescent="0.3">
      <c r="A95" t="s">
        <v>8</v>
      </c>
      <c r="B95">
        <v>12</v>
      </c>
      <c r="C95" t="s">
        <v>4</v>
      </c>
      <c r="D95">
        <v>0.19</v>
      </c>
      <c r="E95">
        <v>36.582000000000001</v>
      </c>
      <c r="F95">
        <f t="shared" si="2"/>
        <v>5.1938111639604177E-3</v>
      </c>
      <c r="G95">
        <v>0.29360000000000003</v>
      </c>
      <c r="H95">
        <f t="shared" si="3"/>
        <v>124.59809264305176</v>
      </c>
    </row>
    <row r="96" spans="1:8" x14ac:dyDescent="0.3">
      <c r="A96" t="s">
        <v>8</v>
      </c>
      <c r="B96">
        <v>12</v>
      </c>
      <c r="C96" t="s">
        <v>5</v>
      </c>
      <c r="D96">
        <v>0.18</v>
      </c>
      <c r="E96">
        <v>36.582000000000001</v>
      </c>
      <c r="F96">
        <f t="shared" si="2"/>
        <v>4.9204526816467109E-3</v>
      </c>
      <c r="G96">
        <v>0.29360000000000003</v>
      </c>
      <c r="H96">
        <f t="shared" si="3"/>
        <v>124.59809264305176</v>
      </c>
    </row>
    <row r="97" spans="1:8" x14ac:dyDescent="0.3">
      <c r="A97" t="s">
        <v>8</v>
      </c>
      <c r="B97">
        <v>12</v>
      </c>
      <c r="C97" t="s">
        <v>6</v>
      </c>
      <c r="D97">
        <v>0.19</v>
      </c>
      <c r="E97">
        <v>36.582000000000001</v>
      </c>
      <c r="F97">
        <f t="shared" si="2"/>
        <v>5.1938111639604177E-3</v>
      </c>
      <c r="G97">
        <v>0.29360000000000003</v>
      </c>
      <c r="H97">
        <f t="shared" si="3"/>
        <v>124.59809264305176</v>
      </c>
    </row>
    <row r="98" spans="1:8" x14ac:dyDescent="0.3">
      <c r="A98" t="s">
        <v>8</v>
      </c>
      <c r="B98">
        <v>13</v>
      </c>
      <c r="C98" t="s">
        <v>4</v>
      </c>
      <c r="D98">
        <v>0.21</v>
      </c>
      <c r="E98">
        <v>71.004000000000005</v>
      </c>
      <c r="F98">
        <f t="shared" si="2"/>
        <v>2.9575798546560752E-3</v>
      </c>
      <c r="G98">
        <v>0.50680000000000003</v>
      </c>
      <c r="H98">
        <f t="shared" si="3"/>
        <v>140.10260457774271</v>
      </c>
    </row>
    <row r="99" spans="1:8" x14ac:dyDescent="0.3">
      <c r="A99" t="s">
        <v>8</v>
      </c>
      <c r="B99">
        <v>13</v>
      </c>
      <c r="C99" t="s">
        <v>5</v>
      </c>
      <c r="D99">
        <v>0.22</v>
      </c>
      <c r="E99">
        <v>71.004000000000005</v>
      </c>
      <c r="F99">
        <f>D99/E99</f>
        <v>3.098416990592079E-3</v>
      </c>
      <c r="G99">
        <v>0.50680000000000003</v>
      </c>
      <c r="H99">
        <f t="shared" si="3"/>
        <v>140.10260457774271</v>
      </c>
    </row>
    <row r="100" spans="1:8" x14ac:dyDescent="0.3">
      <c r="A100" t="s">
        <v>8</v>
      </c>
      <c r="B100">
        <v>13</v>
      </c>
      <c r="C100" t="s">
        <v>6</v>
      </c>
      <c r="D100">
        <v>0.21</v>
      </c>
      <c r="E100">
        <v>71.004000000000005</v>
      </c>
      <c r="F100">
        <f t="shared" ref="F100:F121" si="4">D100/E100</f>
        <v>2.9575798546560752E-3</v>
      </c>
      <c r="G100">
        <v>0.50680000000000003</v>
      </c>
      <c r="H100">
        <f t="shared" si="3"/>
        <v>140.10260457774271</v>
      </c>
    </row>
    <row r="101" spans="1:8" x14ac:dyDescent="0.3">
      <c r="A101" t="s">
        <v>8</v>
      </c>
      <c r="B101">
        <v>14</v>
      </c>
      <c r="C101" t="s">
        <v>4</v>
      </c>
      <c r="D101">
        <v>0.19</v>
      </c>
      <c r="E101">
        <v>76.355000000000004</v>
      </c>
      <c r="F101">
        <f t="shared" si="4"/>
        <v>2.4883766616462574E-3</v>
      </c>
      <c r="G101">
        <v>0.47939999999999999</v>
      </c>
      <c r="H101">
        <f t="shared" si="3"/>
        <v>159.27200667501043</v>
      </c>
    </row>
    <row r="102" spans="1:8" x14ac:dyDescent="0.3">
      <c r="A102" t="s">
        <v>8</v>
      </c>
      <c r="B102">
        <v>14</v>
      </c>
      <c r="C102" t="s">
        <v>5</v>
      </c>
      <c r="D102">
        <v>0.18</v>
      </c>
      <c r="E102">
        <v>76.355000000000004</v>
      </c>
      <c r="F102">
        <f t="shared" si="4"/>
        <v>2.3574094689280331E-3</v>
      </c>
      <c r="G102">
        <v>0.47939999999999999</v>
      </c>
      <c r="H102">
        <f t="shared" si="3"/>
        <v>159.27200667501043</v>
      </c>
    </row>
    <row r="103" spans="1:8" x14ac:dyDescent="0.3">
      <c r="A103" t="s">
        <v>8</v>
      </c>
      <c r="B103">
        <v>14</v>
      </c>
      <c r="C103" t="s">
        <v>6</v>
      </c>
      <c r="D103">
        <v>0.18</v>
      </c>
      <c r="E103">
        <v>76.355000000000004</v>
      </c>
      <c r="F103">
        <f t="shared" si="4"/>
        <v>2.3574094689280331E-3</v>
      </c>
      <c r="G103">
        <v>0.47939999999999999</v>
      </c>
      <c r="H103">
        <f t="shared" si="3"/>
        <v>159.27200667501043</v>
      </c>
    </row>
    <row r="104" spans="1:8" x14ac:dyDescent="0.3">
      <c r="A104" t="s">
        <v>8</v>
      </c>
      <c r="B104">
        <v>15</v>
      </c>
      <c r="C104" t="s">
        <v>4</v>
      </c>
      <c r="D104">
        <v>0.17</v>
      </c>
      <c r="E104">
        <v>54.436</v>
      </c>
      <c r="F104">
        <f t="shared" si="4"/>
        <v>3.1229333529282097E-3</v>
      </c>
      <c r="G104">
        <v>0.36220000000000002</v>
      </c>
      <c r="H104">
        <f t="shared" si="3"/>
        <v>150.29265599116511</v>
      </c>
    </row>
    <row r="105" spans="1:8" x14ac:dyDescent="0.3">
      <c r="A105" t="s">
        <v>8</v>
      </c>
      <c r="B105">
        <v>15</v>
      </c>
      <c r="C105" t="s">
        <v>5</v>
      </c>
      <c r="D105">
        <v>0.15</v>
      </c>
      <c r="E105">
        <v>54.436</v>
      </c>
      <c r="F105">
        <f t="shared" si="4"/>
        <v>2.7555294290543021E-3</v>
      </c>
      <c r="G105">
        <v>0.36220000000000002</v>
      </c>
      <c r="H105">
        <f t="shared" si="3"/>
        <v>150.29265599116511</v>
      </c>
    </row>
    <row r="106" spans="1:8" x14ac:dyDescent="0.3">
      <c r="A106" t="s">
        <v>8</v>
      </c>
      <c r="B106">
        <v>15</v>
      </c>
      <c r="C106" t="s">
        <v>6</v>
      </c>
      <c r="D106">
        <v>0.17</v>
      </c>
      <c r="E106">
        <v>54.436</v>
      </c>
      <c r="F106">
        <f t="shared" si="4"/>
        <v>3.1229333529282097E-3</v>
      </c>
      <c r="G106">
        <v>0.36220000000000002</v>
      </c>
      <c r="H106">
        <f t="shared" si="3"/>
        <v>150.29265599116511</v>
      </c>
    </row>
    <row r="107" spans="1:8" x14ac:dyDescent="0.3">
      <c r="A107" t="s">
        <v>8</v>
      </c>
      <c r="B107">
        <v>16</v>
      </c>
      <c r="C107" t="s">
        <v>4</v>
      </c>
      <c r="D107">
        <v>0.2</v>
      </c>
      <c r="E107">
        <v>54.962000000000003</v>
      </c>
      <c r="F107">
        <f t="shared" si="4"/>
        <v>3.6388777700957025E-3</v>
      </c>
      <c r="G107">
        <v>0.48880000000000001</v>
      </c>
      <c r="H107">
        <f t="shared" si="3"/>
        <v>112.44271685761048</v>
      </c>
    </row>
    <row r="108" spans="1:8" x14ac:dyDescent="0.3">
      <c r="A108" t="s">
        <v>8</v>
      </c>
      <c r="B108">
        <v>16</v>
      </c>
      <c r="C108" t="s">
        <v>5</v>
      </c>
      <c r="D108">
        <v>0.21</v>
      </c>
      <c r="E108">
        <v>54.962000000000003</v>
      </c>
      <c r="F108">
        <f t="shared" si="4"/>
        <v>3.8208216586004874E-3</v>
      </c>
      <c r="G108">
        <v>0.48880000000000001</v>
      </c>
      <c r="H108">
        <f t="shared" si="3"/>
        <v>112.44271685761048</v>
      </c>
    </row>
    <row r="109" spans="1:8" x14ac:dyDescent="0.3">
      <c r="A109" t="s">
        <v>8</v>
      </c>
      <c r="B109">
        <v>16</v>
      </c>
      <c r="C109" t="s">
        <v>6</v>
      </c>
      <c r="D109">
        <v>0.21</v>
      </c>
      <c r="E109">
        <v>54.962000000000003</v>
      </c>
      <c r="F109">
        <f t="shared" si="4"/>
        <v>3.8208216586004874E-3</v>
      </c>
      <c r="G109">
        <v>0.48880000000000001</v>
      </c>
      <c r="H109">
        <f t="shared" si="3"/>
        <v>112.44271685761048</v>
      </c>
    </row>
    <row r="110" spans="1:8" x14ac:dyDescent="0.3">
      <c r="A110" t="s">
        <v>8</v>
      </c>
      <c r="B110">
        <v>17</v>
      </c>
      <c r="C110" t="s">
        <v>4</v>
      </c>
      <c r="D110">
        <v>0.17</v>
      </c>
      <c r="E110">
        <v>65.072999999999993</v>
      </c>
      <c r="F110">
        <f t="shared" si="4"/>
        <v>2.6124506323667272E-3</v>
      </c>
      <c r="G110">
        <v>0.6038</v>
      </c>
      <c r="H110">
        <f t="shared" si="3"/>
        <v>107.77244120569723</v>
      </c>
    </row>
    <row r="111" spans="1:8" x14ac:dyDescent="0.3">
      <c r="A111" t="s">
        <v>8</v>
      </c>
      <c r="B111">
        <v>17</v>
      </c>
      <c r="C111" t="s">
        <v>5</v>
      </c>
      <c r="D111">
        <v>0.17</v>
      </c>
      <c r="E111">
        <v>65.072999999999993</v>
      </c>
      <c r="F111">
        <f t="shared" si="4"/>
        <v>2.6124506323667272E-3</v>
      </c>
      <c r="G111">
        <v>0.6038</v>
      </c>
      <c r="H111">
        <f t="shared" si="3"/>
        <v>107.77244120569723</v>
      </c>
    </row>
    <row r="112" spans="1:8" x14ac:dyDescent="0.3">
      <c r="A112" t="s">
        <v>8</v>
      </c>
      <c r="B112">
        <v>17</v>
      </c>
      <c r="C112" t="s">
        <v>6</v>
      </c>
      <c r="D112">
        <v>0.19</v>
      </c>
      <c r="E112">
        <v>65.072999999999993</v>
      </c>
      <c r="F112">
        <f t="shared" si="4"/>
        <v>2.9197977655863417E-3</v>
      </c>
      <c r="G112">
        <v>0.6038</v>
      </c>
      <c r="H112">
        <f t="shared" si="3"/>
        <v>107.77244120569723</v>
      </c>
    </row>
    <row r="113" spans="1:8" x14ac:dyDescent="0.3">
      <c r="A113" t="s">
        <v>8</v>
      </c>
      <c r="B113">
        <v>18</v>
      </c>
      <c r="C113" t="s">
        <v>4</v>
      </c>
      <c r="D113">
        <v>0.22</v>
      </c>
      <c r="E113">
        <v>55.655000000000001</v>
      </c>
      <c r="F113">
        <f t="shared" si="4"/>
        <v>3.9529242655646389E-3</v>
      </c>
      <c r="G113">
        <v>0.46179999999999999</v>
      </c>
      <c r="H113">
        <f t="shared" si="3"/>
        <v>120.51754006063231</v>
      </c>
    </row>
    <row r="114" spans="1:8" x14ac:dyDescent="0.3">
      <c r="A114" t="s">
        <v>8</v>
      </c>
      <c r="B114">
        <v>18</v>
      </c>
      <c r="C114" t="s">
        <v>5</v>
      </c>
      <c r="D114">
        <v>0.2</v>
      </c>
      <c r="E114">
        <v>55.655000000000001</v>
      </c>
      <c r="F114">
        <f t="shared" si="4"/>
        <v>3.5935675141496723E-3</v>
      </c>
      <c r="G114">
        <v>0.46179999999999999</v>
      </c>
      <c r="H114">
        <f t="shared" si="3"/>
        <v>120.51754006063231</v>
      </c>
    </row>
    <row r="115" spans="1:8" x14ac:dyDescent="0.3">
      <c r="A115" t="s">
        <v>8</v>
      </c>
      <c r="B115">
        <v>18</v>
      </c>
      <c r="C115" t="s">
        <v>6</v>
      </c>
      <c r="D115">
        <v>0.2</v>
      </c>
      <c r="E115">
        <v>55.655000000000001</v>
      </c>
      <c r="F115">
        <f t="shared" si="4"/>
        <v>3.5935675141496723E-3</v>
      </c>
      <c r="G115">
        <v>0.46179999999999999</v>
      </c>
      <c r="H115">
        <f t="shared" si="3"/>
        <v>120.51754006063231</v>
      </c>
    </row>
    <row r="116" spans="1:8" x14ac:dyDescent="0.3">
      <c r="A116" t="s">
        <v>8</v>
      </c>
      <c r="B116">
        <v>19</v>
      </c>
      <c r="C116" t="s">
        <v>4</v>
      </c>
      <c r="D116">
        <v>0.2</v>
      </c>
      <c r="E116">
        <v>54.777000000000001</v>
      </c>
      <c r="F116">
        <f t="shared" si="4"/>
        <v>3.6511674607955895E-3</v>
      </c>
      <c r="G116">
        <v>0.36080000000000001</v>
      </c>
      <c r="H116">
        <f t="shared" si="3"/>
        <v>151.82095343680709</v>
      </c>
    </row>
    <row r="117" spans="1:8" x14ac:dyDescent="0.3">
      <c r="A117" t="s">
        <v>8</v>
      </c>
      <c r="B117">
        <v>19</v>
      </c>
      <c r="C117" t="s">
        <v>5</v>
      </c>
      <c r="D117">
        <v>0.21</v>
      </c>
      <c r="E117">
        <v>54.777000000000001</v>
      </c>
      <c r="F117">
        <f t="shared" si="4"/>
        <v>3.8337258338353684E-3</v>
      </c>
      <c r="G117">
        <v>0.36080000000000001</v>
      </c>
      <c r="H117">
        <f t="shared" si="3"/>
        <v>151.82095343680709</v>
      </c>
    </row>
    <row r="118" spans="1:8" x14ac:dyDescent="0.3">
      <c r="A118" t="s">
        <v>8</v>
      </c>
      <c r="B118">
        <v>19</v>
      </c>
      <c r="C118" t="s">
        <v>6</v>
      </c>
      <c r="D118">
        <v>0.17</v>
      </c>
      <c r="E118">
        <v>54.777000000000001</v>
      </c>
      <c r="F118">
        <f t="shared" si="4"/>
        <v>3.1034923416762513E-3</v>
      </c>
      <c r="G118">
        <v>0.36080000000000001</v>
      </c>
      <c r="H118">
        <f t="shared" si="3"/>
        <v>151.82095343680709</v>
      </c>
    </row>
    <row r="119" spans="1:8" x14ac:dyDescent="0.3">
      <c r="A119" t="s">
        <v>8</v>
      </c>
      <c r="B119">
        <v>20</v>
      </c>
      <c r="C119" t="s">
        <v>4</v>
      </c>
      <c r="D119">
        <v>0.15</v>
      </c>
      <c r="E119">
        <v>20.18</v>
      </c>
      <c r="F119">
        <f t="shared" si="4"/>
        <v>7.4331020812685826E-3</v>
      </c>
      <c r="G119">
        <v>0.14449999999999999</v>
      </c>
      <c r="H119">
        <f t="shared" si="3"/>
        <v>139.65397923875435</v>
      </c>
    </row>
    <row r="120" spans="1:8" x14ac:dyDescent="0.3">
      <c r="A120" t="s">
        <v>8</v>
      </c>
      <c r="B120">
        <v>20</v>
      </c>
      <c r="C120" t="s">
        <v>5</v>
      </c>
      <c r="D120">
        <v>0.13</v>
      </c>
      <c r="E120">
        <v>20.18</v>
      </c>
      <c r="F120">
        <f t="shared" si="4"/>
        <v>6.4420218037661058E-3</v>
      </c>
      <c r="G120">
        <v>0.14449999999999999</v>
      </c>
      <c r="H120">
        <f t="shared" si="3"/>
        <v>139.65397923875435</v>
      </c>
    </row>
    <row r="121" spans="1:8" x14ac:dyDescent="0.3">
      <c r="A121" t="s">
        <v>8</v>
      </c>
      <c r="B121">
        <v>20</v>
      </c>
      <c r="C121" t="s">
        <v>6</v>
      </c>
      <c r="D121">
        <v>0.12</v>
      </c>
      <c r="E121">
        <v>20.18</v>
      </c>
      <c r="F121">
        <f t="shared" si="4"/>
        <v>5.9464816650148661E-3</v>
      </c>
      <c r="G121">
        <v>0.14449999999999999</v>
      </c>
      <c r="H121">
        <f t="shared" si="3"/>
        <v>139.65397923875435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79142-395A-41C3-8FF5-88F3C78DAA4F}">
  <dimension ref="A3:P13"/>
  <sheetViews>
    <sheetView topLeftCell="A19" workbookViewId="0">
      <selection activeCell="F17" sqref="F17"/>
    </sheetView>
  </sheetViews>
  <sheetFormatPr defaultRowHeight="14.4" x14ac:dyDescent="0.3"/>
  <cols>
    <col min="1" max="1" width="13.44140625" bestFit="1" customWidth="1"/>
    <col min="2" max="2" width="25.109375" bestFit="1" customWidth="1"/>
    <col min="3" max="3" width="25.6640625" bestFit="1" customWidth="1"/>
    <col min="4" max="4" width="24.5546875" bestFit="1" customWidth="1"/>
    <col min="5" max="5" width="20.109375" bestFit="1" customWidth="1"/>
    <col min="6" max="6" width="18.88671875" bestFit="1" customWidth="1"/>
    <col min="7" max="7" width="19.33203125" bestFit="1" customWidth="1"/>
    <col min="8" max="9" width="19.109375" bestFit="1" customWidth="1"/>
    <col min="10" max="10" width="12" bestFit="1" customWidth="1"/>
    <col min="13" max="15" width="18.33203125" bestFit="1" customWidth="1"/>
    <col min="16" max="16" width="11" bestFit="1" customWidth="1"/>
  </cols>
  <sheetData>
    <row r="3" spans="1:16" x14ac:dyDescent="0.3">
      <c r="A3" s="4" t="s">
        <v>9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</row>
    <row r="4" spans="1:16" x14ac:dyDescent="0.3">
      <c r="A4" s="5" t="s">
        <v>7</v>
      </c>
      <c r="B4">
        <v>0.13016666666666671</v>
      </c>
      <c r="C4">
        <v>2.1031990699131326E-2</v>
      </c>
      <c r="D4">
        <v>30.60595</v>
      </c>
      <c r="E4">
        <v>12.293264060803548</v>
      </c>
      <c r="F4">
        <v>4.9024771211915027E-3</v>
      </c>
      <c r="G4">
        <v>2.1664619235791014E-3</v>
      </c>
    </row>
    <row r="5" spans="1:16" x14ac:dyDescent="0.3">
      <c r="A5" s="5" t="s">
        <v>8</v>
      </c>
      <c r="B5">
        <v>0.18383333333333335</v>
      </c>
      <c r="C5">
        <v>2.5913262533715099E-2</v>
      </c>
      <c r="D5">
        <v>48.255649999999996</v>
      </c>
      <c r="E5">
        <v>16.899167507150931</v>
      </c>
      <c r="F5">
        <v>4.4094683615964973E-3</v>
      </c>
      <c r="G5">
        <v>2.073721688518524E-3</v>
      </c>
    </row>
    <row r="6" spans="1:16" x14ac:dyDescent="0.3">
      <c r="A6" s="5" t="s">
        <v>10</v>
      </c>
      <c r="B6">
        <v>0.15700000000000006</v>
      </c>
      <c r="C6">
        <v>3.5753591815803162E-2</v>
      </c>
      <c r="D6">
        <v>39.430800000000019</v>
      </c>
      <c r="E6">
        <v>17.177037467052823</v>
      </c>
      <c r="F6">
        <v>4.6559727413939978E-3</v>
      </c>
      <c r="G6">
        <v>2.1261291308965536E-3</v>
      </c>
    </row>
    <row r="11" spans="1:16" x14ac:dyDescent="0.3">
      <c r="C11" s="10" t="s">
        <v>11</v>
      </c>
      <c r="D11" s="10" t="s">
        <v>12</v>
      </c>
      <c r="E11" s="10" t="s">
        <v>17</v>
      </c>
      <c r="H11" s="9" t="s">
        <v>13</v>
      </c>
      <c r="I11" s="9" t="s">
        <v>14</v>
      </c>
      <c r="J11" s="9" t="s">
        <v>17</v>
      </c>
      <c r="N11" s="8" t="s">
        <v>15</v>
      </c>
      <c r="O11" s="8" t="s">
        <v>16</v>
      </c>
      <c r="P11" s="8" t="s">
        <v>17</v>
      </c>
    </row>
    <row r="12" spans="1:16" x14ac:dyDescent="0.3">
      <c r="B12" s="10" t="s">
        <v>7</v>
      </c>
      <c r="C12" s="3">
        <v>0.13016666666666671</v>
      </c>
      <c r="D12" s="3">
        <v>2.1031990699131326E-2</v>
      </c>
      <c r="E12" s="3">
        <f>D12/(SQRT(20))</f>
        <v>4.7028960905400969E-3</v>
      </c>
      <c r="G12" s="9" t="s">
        <v>7</v>
      </c>
      <c r="H12" s="7">
        <v>30.60595</v>
      </c>
      <c r="I12" s="7">
        <v>12.293264060803548</v>
      </c>
      <c r="J12" s="7">
        <f>I12/(SQRT(20))</f>
        <v>2.7488574105311838</v>
      </c>
      <c r="M12" s="8" t="s">
        <v>7</v>
      </c>
      <c r="N12" s="6">
        <v>4.9024771211915027E-3</v>
      </c>
      <c r="O12" s="6">
        <v>2.1664619235791014E-3</v>
      </c>
      <c r="P12" s="6">
        <f>O12/((SQRT(20)))</f>
        <v>4.8443561317878251E-4</v>
      </c>
    </row>
    <row r="13" spans="1:16" x14ac:dyDescent="0.3">
      <c r="B13" s="10" t="s">
        <v>8</v>
      </c>
      <c r="C13" s="3">
        <v>0.18383333333333335</v>
      </c>
      <c r="D13" s="3">
        <v>2.5913262533715099E-2</v>
      </c>
      <c r="E13" s="3">
        <f>D13/(SQRT(20))</f>
        <v>5.7943816544185397E-3</v>
      </c>
      <c r="G13" s="9" t="s">
        <v>8</v>
      </c>
      <c r="H13" s="7">
        <v>48.255649999999996</v>
      </c>
      <c r="I13" s="7">
        <v>16.899167507150931</v>
      </c>
      <c r="J13" s="7">
        <f>I13/(SQRT(20))</f>
        <v>3.7787687309145146</v>
      </c>
      <c r="M13" s="8" t="s">
        <v>8</v>
      </c>
      <c r="N13" s="6">
        <v>4.4094683615964973E-3</v>
      </c>
      <c r="O13" s="6">
        <v>2.073721688518524E-3</v>
      </c>
      <c r="P13" s="6">
        <f>O13/((SQRT(20)))</f>
        <v>4.6369826619430647E-4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E59FD-DF58-4966-8D0D-7D320BD5ECC4}">
  <dimension ref="A3:N11"/>
  <sheetViews>
    <sheetView topLeftCell="A3" workbookViewId="0">
      <selection activeCell="E7" sqref="E7"/>
    </sheetView>
  </sheetViews>
  <sheetFormatPr defaultRowHeight="14.4" x14ac:dyDescent="0.3"/>
  <cols>
    <col min="1" max="1" width="12.44140625" bestFit="1" customWidth="1"/>
    <col min="2" max="2" width="23" bestFit="1" customWidth="1"/>
    <col min="3" max="3" width="18.21875" bestFit="1" customWidth="1"/>
    <col min="4" max="4" width="18.33203125" bestFit="1" customWidth="1"/>
    <col min="5" max="5" width="15.6640625" bestFit="1" customWidth="1"/>
    <col min="6" max="6" width="20.44140625" bestFit="1" customWidth="1"/>
    <col min="7" max="7" width="19.88671875" bestFit="1" customWidth="1"/>
    <col min="8" max="8" width="18.5546875" bestFit="1" customWidth="1"/>
    <col min="9" max="9" width="11" bestFit="1" customWidth="1"/>
    <col min="13" max="13" width="18.44140625" bestFit="1" customWidth="1"/>
    <col min="14" max="14" width="11" bestFit="1" customWidth="1"/>
  </cols>
  <sheetData>
    <row r="3" spans="1:14" x14ac:dyDescent="0.3">
      <c r="A3" s="4" t="s">
        <v>9</v>
      </c>
      <c r="B3" t="s">
        <v>11</v>
      </c>
      <c r="C3" t="s">
        <v>13</v>
      </c>
      <c r="D3" t="s">
        <v>18</v>
      </c>
    </row>
    <row r="4" spans="1:14" x14ac:dyDescent="0.3">
      <c r="A4" s="5" t="s">
        <v>7</v>
      </c>
      <c r="B4">
        <v>0.13016666666666671</v>
      </c>
      <c r="C4">
        <v>30.60595</v>
      </c>
      <c r="D4">
        <v>0.17301000000000008</v>
      </c>
    </row>
    <row r="5" spans="1:14" x14ac:dyDescent="0.3">
      <c r="A5" s="5" t="s">
        <v>8</v>
      </c>
      <c r="B5">
        <v>0.18383333333333335</v>
      </c>
      <c r="C5">
        <v>48.255649999999996</v>
      </c>
      <c r="D5">
        <v>0.36247000000000007</v>
      </c>
    </row>
    <row r="6" spans="1:14" x14ac:dyDescent="0.3">
      <c r="A6" s="5" t="s">
        <v>10</v>
      </c>
      <c r="B6">
        <v>0.15700000000000006</v>
      </c>
      <c r="C6">
        <v>39.430800000000019</v>
      </c>
      <c r="D6">
        <v>0.26774000000000009</v>
      </c>
    </row>
    <row r="9" spans="1:14" x14ac:dyDescent="0.3">
      <c r="C9" t="s">
        <v>13</v>
      </c>
      <c r="D9" t="s">
        <v>19</v>
      </c>
      <c r="E9" t="s">
        <v>17</v>
      </c>
      <c r="G9" t="s">
        <v>18</v>
      </c>
      <c r="H9" t="s">
        <v>20</v>
      </c>
      <c r="I9" t="s">
        <v>17</v>
      </c>
      <c r="L9" t="s">
        <v>21</v>
      </c>
      <c r="M9" t="s">
        <v>22</v>
      </c>
      <c r="N9" t="s">
        <v>17</v>
      </c>
    </row>
    <row r="10" spans="1:14" x14ac:dyDescent="0.3">
      <c r="B10" s="5" t="s">
        <v>7</v>
      </c>
      <c r="C10">
        <v>30.60595</v>
      </c>
      <c r="D10">
        <v>12.293264060803548</v>
      </c>
      <c r="E10">
        <f>D10/(SQRT(20))</f>
        <v>2.7488574105311838</v>
      </c>
      <c r="F10" s="5" t="s">
        <v>7</v>
      </c>
      <c r="G10">
        <v>0.17301000000000008</v>
      </c>
      <c r="H10">
        <v>0.10861303367803389</v>
      </c>
      <c r="I10">
        <f>H10/(SQRT(20))</f>
        <v>2.4286612654655777E-2</v>
      </c>
      <c r="K10" s="5" t="s">
        <v>7</v>
      </c>
      <c r="L10">
        <v>5.4215260654852278E-3</v>
      </c>
      <c r="M10">
        <v>9.6567440241180757E-4</v>
      </c>
      <c r="N10">
        <f>M10/(SQRT(20))</f>
        <v>2.1593136079242885E-4</v>
      </c>
    </row>
    <row r="11" spans="1:14" x14ac:dyDescent="0.3">
      <c r="B11" s="5" t="s">
        <v>8</v>
      </c>
      <c r="C11">
        <v>48.255649999999996</v>
      </c>
      <c r="D11">
        <v>16.899167507150931</v>
      </c>
      <c r="E11">
        <f>D11/(SQRT(20))</f>
        <v>3.7787687309145146</v>
      </c>
      <c r="F11" s="5" t="s">
        <v>8</v>
      </c>
      <c r="G11">
        <v>0.36247000000000007</v>
      </c>
      <c r="H11">
        <v>0.13905337141434176</v>
      </c>
      <c r="I11">
        <f>H11/(SQRT(20))</f>
        <v>3.1093279098299426E-2</v>
      </c>
      <c r="K11" s="5" t="s">
        <v>8</v>
      </c>
      <c r="L11">
        <v>7.4615024702971329E-3</v>
      </c>
      <c r="M11">
        <v>9.4373413302490858E-4</v>
      </c>
      <c r="N11">
        <f>M11/(SQRT(20))</f>
        <v>2.1102536741305248E-4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PivotThickSA</vt:lpstr>
      <vt:lpstr>PivotSAWeight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Rush, Harlee</dc:creator>
  <cp:lastModifiedBy>Rush, Harlee</cp:lastModifiedBy>
  <dcterms:created xsi:type="dcterms:W3CDTF">2024-06-17T16:52:57Z</dcterms:created>
  <dcterms:modified xsi:type="dcterms:W3CDTF">2026-03-11T21:13:51Z</dcterms:modified>
</cp:coreProperties>
</file>